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4"/>
  <workbookPr/>
  <mc:AlternateContent xmlns:mc="http://schemas.openxmlformats.org/markup-compatibility/2006">
    <mc:Choice Requires="x15">
      <x15ac:absPath xmlns:x15ac="http://schemas.microsoft.com/office/spreadsheetml/2010/11/ac" url="C:\Users\573167\Box\マーケティンググループ\デジタルマーケティングDiv\マーケティング本部\社内ドキュメント\"/>
    </mc:Choice>
  </mc:AlternateContent>
  <xr:revisionPtr revIDLastSave="8" documentId="13_ncr:1_{CF730195-7629-4D24-9AA2-51259C562C34}" xr6:coauthVersionLast="47" xr6:coauthVersionMax="47" xr10:uidLastSave="{288D0C7F-07FC-44E8-91CA-3881CDC3598D}"/>
  <bookViews>
    <workbookView xWindow="-110" yWindow="-110" windowWidth="19420" windowHeight="11500" firstSheet="2" activeTab="2" xr2:uid="{64C25E6A-A4AE-4C27-8312-2D0A777B8AAC}"/>
  </bookViews>
  <sheets>
    <sheet name="rawdata_案件判定データ" sheetId="4" r:id="rId1"/>
    <sheet name="流入チャネル別顧客一覧" sheetId="1" r:id="rId2"/>
    <sheet name="流入チャネル別顧客一覧_ユニーク" sheetId="3" r:id="rId3"/>
    <sheet name="資料DL｜アタックリスト" sheetId="5" r:id="rId4"/>
    <sheet name="資料DL｜週別集計" sheetId="6" r:id="rId5"/>
    <sheet name="IS｜CVレポート" sheetId="7" r:id="rId6"/>
    <sheet name="流入チャネル別集計" sheetId="2" r:id="rId7"/>
  </sheets>
  <definedNames>
    <definedName name="_xlnm._FilterDatabase" localSheetId="1" hidden="1">流入チャネル別顧客一覧!$A$1:$O$196</definedName>
    <definedName name="_xlnm._FilterDatabase" localSheetId="2" hidden="1">流入チャネル別顧客一覧_ユニーク!$A$1:$W$360</definedName>
  </definedNames>
  <calcPr calcId="191028"/>
  <pivotCaches>
    <pivotCache cacheId="878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7" i="3" l="1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Q242" i="3"/>
  <c r="Q243" i="3"/>
  <c r="Q244" i="3"/>
  <c r="Q245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192" i="3"/>
  <c r="Q205" i="3"/>
  <c r="Q206" i="3"/>
  <c r="Q195" i="3"/>
  <c r="Q196" i="3"/>
  <c r="Q197" i="3"/>
  <c r="Q198" i="3"/>
  <c r="Q199" i="3"/>
  <c r="Q200" i="3"/>
  <c r="Q201" i="3"/>
  <c r="Q202" i="3"/>
  <c r="Q203" i="3"/>
  <c r="Q204" i="3"/>
  <c r="Q193" i="3"/>
  <c r="Q194" i="3"/>
  <c r="X34" i="6"/>
  <c r="V34" i="6"/>
  <c r="T34" i="6"/>
  <c r="R34" i="6"/>
  <c r="X33" i="6"/>
  <c r="V33" i="6"/>
  <c r="T33" i="6"/>
  <c r="R33" i="6"/>
  <c r="X32" i="6"/>
  <c r="V32" i="6"/>
  <c r="T32" i="6"/>
  <c r="R32" i="6"/>
  <c r="X31" i="6"/>
  <c r="V31" i="6"/>
  <c r="T31" i="6"/>
  <c r="R31" i="6"/>
  <c r="X30" i="6"/>
  <c r="V30" i="6"/>
  <c r="T30" i="6"/>
  <c r="R30" i="6"/>
  <c r="X29" i="6"/>
  <c r="V29" i="6"/>
  <c r="T29" i="6"/>
  <c r="R29" i="6"/>
  <c r="X28" i="6"/>
  <c r="V28" i="6"/>
  <c r="T28" i="6"/>
  <c r="R28" i="6"/>
  <c r="X27" i="6"/>
  <c r="V27" i="6"/>
  <c r="T27" i="6"/>
  <c r="R27" i="6"/>
  <c r="X26" i="6"/>
  <c r="V26" i="6"/>
  <c r="T26" i="6"/>
  <c r="R26" i="6"/>
  <c r="X25" i="6"/>
  <c r="V25" i="6"/>
  <c r="T25" i="6"/>
  <c r="R25" i="6"/>
  <c r="X24" i="6"/>
  <c r="V24" i="6"/>
  <c r="T24" i="6"/>
  <c r="R24" i="6"/>
  <c r="X23" i="6"/>
  <c r="V23" i="6"/>
  <c r="T23" i="6"/>
  <c r="R23" i="6"/>
  <c r="X22" i="6"/>
  <c r="V22" i="6"/>
  <c r="T22" i="6"/>
  <c r="R22" i="6"/>
  <c r="X21" i="6"/>
  <c r="V21" i="6"/>
  <c r="T21" i="6"/>
  <c r="R21" i="6"/>
  <c r="X20" i="6"/>
  <c r="V20" i="6"/>
  <c r="T20" i="6"/>
  <c r="R20" i="6"/>
  <c r="X19" i="6"/>
  <c r="V19" i="6"/>
  <c r="T19" i="6"/>
  <c r="R19" i="6"/>
  <c r="X18" i="6"/>
  <c r="V18" i="6"/>
  <c r="T18" i="6"/>
  <c r="R18" i="6"/>
  <c r="X17" i="6"/>
  <c r="V17" i="6"/>
  <c r="T17" i="6"/>
  <c r="R17" i="6"/>
  <c r="X16" i="6"/>
  <c r="V16" i="6"/>
  <c r="T16" i="6"/>
  <c r="R16" i="6"/>
  <c r="X15" i="6"/>
  <c r="V15" i="6"/>
  <c r="T15" i="6"/>
  <c r="R15" i="6"/>
  <c r="X14" i="6"/>
  <c r="V14" i="6"/>
  <c r="T14" i="6"/>
  <c r="R14" i="6"/>
  <c r="X13" i="6"/>
  <c r="V13" i="6"/>
  <c r="T13" i="6"/>
  <c r="R13" i="6"/>
  <c r="X12" i="6"/>
  <c r="V12" i="6"/>
  <c r="T12" i="6"/>
  <c r="R12" i="6"/>
  <c r="X11" i="6"/>
  <c r="V11" i="6"/>
  <c r="T11" i="6"/>
  <c r="R11" i="6"/>
  <c r="X10" i="6"/>
  <c r="V10" i="6"/>
  <c r="T10" i="6"/>
  <c r="R10" i="6"/>
  <c r="X9" i="6"/>
  <c r="V9" i="6"/>
  <c r="T9" i="6"/>
  <c r="R9" i="6"/>
  <c r="X8" i="6"/>
  <c r="V8" i="6"/>
  <c r="T8" i="6"/>
  <c r="R8" i="6"/>
  <c r="X7" i="6"/>
  <c r="V7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U7" i="6"/>
  <c r="T7" i="6"/>
  <c r="R7" i="6"/>
  <c r="G7" i="6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E7" i="6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C7" i="6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X6" i="6"/>
  <c r="V6" i="6"/>
  <c r="T6" i="6"/>
  <c r="R6" i="6"/>
  <c r="O6" i="6"/>
  <c r="O7" i="6" s="1"/>
  <c r="O8" i="6" s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O26" i="6" s="1"/>
  <c r="O27" i="6" s="1"/>
  <c r="O28" i="6" s="1"/>
  <c r="O29" i="6" s="1"/>
  <c r="O30" i="6" s="1"/>
  <c r="O31" i="6" s="1"/>
  <c r="O32" i="6" s="1"/>
  <c r="O33" i="6" s="1"/>
  <c r="O34" i="6" s="1"/>
  <c r="M6" i="6"/>
  <c r="M7" i="6" s="1"/>
  <c r="M8" i="6" s="1"/>
  <c r="M9" i="6" s="1"/>
  <c r="M10" i="6" s="1"/>
  <c r="M11" i="6" s="1"/>
  <c r="M12" i="6" s="1"/>
  <c r="M13" i="6" s="1"/>
  <c r="M14" i="6" s="1"/>
  <c r="M15" i="6" s="1"/>
  <c r="M16" i="6" s="1"/>
  <c r="M17" i="6" s="1"/>
  <c r="M18" i="6" s="1"/>
  <c r="M19" i="6" s="1"/>
  <c r="M20" i="6" s="1"/>
  <c r="M21" i="6" s="1"/>
  <c r="M22" i="6" s="1"/>
  <c r="M23" i="6" s="1"/>
  <c r="M24" i="6" s="1"/>
  <c r="M25" i="6" s="1"/>
  <c r="M26" i="6" s="1"/>
  <c r="M27" i="6" s="1"/>
  <c r="M28" i="6" s="1"/>
  <c r="M29" i="6" s="1"/>
  <c r="M30" i="6" s="1"/>
  <c r="M31" i="6" s="1"/>
  <c r="M32" i="6" s="1"/>
  <c r="M33" i="6" s="1"/>
  <c r="M34" i="6" s="1"/>
  <c r="K6" i="6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G6" i="6"/>
  <c r="E6" i="6"/>
  <c r="C6" i="6"/>
  <c r="Y5" i="6"/>
  <c r="X5" i="6"/>
  <c r="V5" i="6"/>
  <c r="T5" i="6"/>
  <c r="R5" i="6"/>
  <c r="Q5" i="6"/>
  <c r="Q6" i="6" s="1"/>
  <c r="Q7" i="6" s="1"/>
  <c r="Q8" i="6" s="1"/>
  <c r="Q9" i="6" s="1"/>
  <c r="Q10" i="6" s="1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29" i="6" s="1"/>
  <c r="Q30" i="6" s="1"/>
  <c r="Q31" i="6" s="1"/>
  <c r="Q32" i="6" s="1"/>
  <c r="Q33" i="6" s="1"/>
  <c r="Q34" i="6" s="1"/>
  <c r="O5" i="6"/>
  <c r="M5" i="6"/>
  <c r="K5" i="6"/>
  <c r="I5" i="6"/>
  <c r="G5" i="6"/>
  <c r="E5" i="6"/>
  <c r="C5" i="6"/>
  <c r="X4" i="6"/>
  <c r="V4" i="6"/>
  <c r="W5" i="6" s="1"/>
  <c r="W6" i="6" s="1"/>
  <c r="T4" i="6"/>
  <c r="U5" i="6" s="1"/>
  <c r="U6" i="6" s="1"/>
  <c r="R4" i="6"/>
  <c r="S5" i="6" s="1"/>
  <c r="S6" i="6" s="1"/>
  <c r="S7" i="6" s="1"/>
  <c r="S8" i="6" s="1"/>
  <c r="S9" i="6" s="1"/>
  <c r="S10" i="6" s="1"/>
  <c r="S11" i="6" s="1"/>
  <c r="S12" i="6" s="1"/>
  <c r="S13" i="6" s="1"/>
  <c r="S14" i="6" s="1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Q191" i="3"/>
  <c r="Q190" i="3"/>
  <c r="Q189" i="3"/>
  <c r="Q188" i="3"/>
  <c r="Q187" i="3"/>
  <c r="Q186" i="3"/>
  <c r="Q185" i="3"/>
  <c r="L30" i="2"/>
  <c r="M30" i="2" s="1"/>
  <c r="L28" i="2"/>
  <c r="M28" i="2" s="1"/>
  <c r="L27" i="2"/>
  <c r="M27" i="2" s="1"/>
  <c r="L31" i="2"/>
  <c r="M31" i="2" s="1"/>
  <c r="L29" i="2"/>
  <c r="L26" i="2"/>
  <c r="L25" i="2"/>
  <c r="K29" i="2"/>
  <c r="K26" i="2"/>
  <c r="I26" i="2"/>
  <c r="K25" i="2"/>
  <c r="Q164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R160" i="3"/>
  <c r="R161" i="3"/>
  <c r="Q163" i="3"/>
  <c r="R96" i="3"/>
  <c r="R95" i="3"/>
  <c r="L4" i="2" a="1"/>
  <c r="L4" i="2" s="1"/>
  <c r="J4" i="2" a="1"/>
  <c r="J4" i="2" s="1"/>
  <c r="N6" i="2" a="1"/>
  <c r="N6" i="2" s="1"/>
  <c r="L6" i="2" a="1"/>
  <c r="L6" i="2" s="1"/>
  <c r="J6" i="2" a="1"/>
  <c r="J6" i="2" s="1"/>
  <c r="N5" i="2" a="1"/>
  <c r="N5" i="2" s="1"/>
  <c r="L5" i="2" a="1"/>
  <c r="L5" i="2" s="1"/>
  <c r="J5" i="2" a="1"/>
  <c r="J5" i="2" s="1"/>
  <c r="N4" i="2" a="1"/>
  <c r="N4" i="2" s="1"/>
  <c r="I29" i="2"/>
  <c r="H29" i="2"/>
  <c r="G29" i="2"/>
  <c r="F29" i="2"/>
  <c r="E29" i="2"/>
  <c r="D29" i="2"/>
  <c r="C29" i="2"/>
  <c r="B29" i="2"/>
  <c r="H26" i="2"/>
  <c r="G26" i="2"/>
  <c r="F26" i="2"/>
  <c r="E26" i="2"/>
  <c r="D26" i="2"/>
  <c r="C26" i="2"/>
  <c r="B26" i="2"/>
  <c r="I25" i="2"/>
  <c r="H25" i="2"/>
  <c r="G25" i="2"/>
  <c r="F25" i="2"/>
  <c r="E25" i="2"/>
  <c r="D25" i="2"/>
  <c r="C25" i="2"/>
  <c r="B25" i="2"/>
  <c r="Q155" i="3"/>
  <c r="Q162" i="3"/>
  <c r="R158" i="3"/>
  <c r="R156" i="3"/>
  <c r="R157" i="3"/>
  <c r="R152" i="3"/>
  <c r="R146" i="3"/>
  <c r="Q152" i="3"/>
  <c r="Q151" i="3"/>
  <c r="Q154" i="3"/>
  <c r="Q153" i="3"/>
  <c r="Q157" i="3"/>
  <c r="Q156" i="3"/>
  <c r="Q158" i="3"/>
  <c r="Q161" i="3"/>
  <c r="Q160" i="3"/>
  <c r="Q159" i="3"/>
  <c r="Q150" i="3"/>
  <c r="Q149" i="3"/>
  <c r="Q148" i="3"/>
  <c r="Q147" i="3"/>
  <c r="R43" i="3"/>
  <c r="R42" i="3"/>
  <c r="R54" i="3"/>
  <c r="R23" i="3"/>
  <c r="R67" i="3"/>
  <c r="R41" i="3"/>
  <c r="R81" i="3"/>
  <c r="Q146" i="3"/>
  <c r="Q145" i="3"/>
  <c r="Q143" i="3"/>
  <c r="Q142" i="3"/>
  <c r="Q141" i="3"/>
  <c r="Q140" i="3"/>
  <c r="Q139" i="3"/>
  <c r="Q138" i="3"/>
  <c r="Q144" i="3"/>
  <c r="Q137" i="3"/>
  <c r="Q136" i="3"/>
  <c r="Q135" i="3"/>
  <c r="Q134" i="3"/>
  <c r="Q132" i="3"/>
  <c r="Q131" i="3"/>
  <c r="Q130" i="3"/>
  <c r="Q133" i="3"/>
  <c r="B20" i="2"/>
  <c r="B19" i="2"/>
  <c r="B18" i="2"/>
  <c r="B21" i="2"/>
  <c r="Q129" i="3"/>
  <c r="Q128" i="3"/>
  <c r="Q127" i="3"/>
  <c r="Q126" i="3"/>
  <c r="Q124" i="3"/>
  <c r="Q125" i="3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F18" i="2"/>
  <c r="E18" i="2"/>
  <c r="D18" i="2"/>
  <c r="D21" i="2" s="1"/>
  <c r="C20" i="2"/>
  <c r="C19" i="2"/>
  <c r="C18" i="2"/>
  <c r="I21" i="2"/>
  <c r="H21" i="2"/>
  <c r="G21" i="2"/>
  <c r="F21" i="2"/>
  <c r="E21" i="2"/>
  <c r="Q121" i="3"/>
  <c r="Q120" i="3"/>
  <c r="Q116" i="3"/>
  <c r="Q83" i="3"/>
  <c r="Q107" i="3"/>
  <c r="Q59" i="3"/>
  <c r="Q81" i="3"/>
  <c r="Q104" i="3"/>
  <c r="Q112" i="3"/>
  <c r="Q86" i="3"/>
  <c r="Q84" i="3"/>
  <c r="Q90" i="3"/>
  <c r="Q91" i="3"/>
  <c r="Q70" i="3"/>
  <c r="Q93" i="3"/>
  <c r="Q85" i="3"/>
  <c r="Q75" i="3"/>
  <c r="Q58" i="3"/>
  <c r="Q64" i="3"/>
  <c r="Q68" i="3"/>
  <c r="Q78" i="3"/>
  <c r="Q102" i="3"/>
  <c r="Q110" i="3"/>
  <c r="Q69" i="3"/>
  <c r="Q73" i="3"/>
  <c r="Q72" i="3"/>
  <c r="Q74" i="3"/>
  <c r="Q109" i="3"/>
  <c r="Q77" i="3"/>
  <c r="Q113" i="3"/>
  <c r="Q63" i="3"/>
  <c r="Q65" i="3"/>
  <c r="Q3" i="3"/>
  <c r="Q56" i="3"/>
  <c r="Q76" i="3"/>
  <c r="Q103" i="3"/>
  <c r="Q92" i="3"/>
  <c r="Q60" i="3"/>
  <c r="Q98" i="3"/>
  <c r="Q66" i="3"/>
  <c r="Q67" i="3"/>
  <c r="Q80" i="3"/>
  <c r="Q95" i="3"/>
  <c r="Q97" i="3"/>
  <c r="Q111" i="3"/>
  <c r="Q100" i="3"/>
  <c r="Q57" i="3"/>
  <c r="Q71" i="3"/>
  <c r="Q79" i="3"/>
  <c r="Q108" i="3"/>
  <c r="Q96" i="3"/>
  <c r="Q105" i="3"/>
  <c r="Q82" i="3"/>
  <c r="Q62" i="3"/>
  <c r="Q87" i="3"/>
  <c r="Q106" i="3"/>
  <c r="Q88" i="3"/>
  <c r="Q94" i="3"/>
  <c r="Q61" i="3"/>
  <c r="Q89" i="3"/>
  <c r="Q101" i="3"/>
  <c r="Q99" i="3"/>
  <c r="Q114" i="3"/>
  <c r="Q55" i="3"/>
  <c r="Q53" i="3"/>
  <c r="Q52" i="3"/>
  <c r="Q51" i="3"/>
  <c r="Q49" i="3"/>
  <c r="Q48" i="3"/>
  <c r="Q46" i="3"/>
  <c r="Q45" i="3"/>
  <c r="Q47" i="3"/>
  <c r="Q41" i="3"/>
  <c r="Q29" i="3"/>
  <c r="Q24" i="3"/>
  <c r="Q23" i="3"/>
  <c r="Q14" i="3"/>
  <c r="Q8" i="3"/>
  <c r="Q7" i="3"/>
  <c r="Q115" i="3"/>
  <c r="Q50" i="3"/>
  <c r="Q39" i="3"/>
  <c r="Q40" i="3"/>
  <c r="Q34" i="3"/>
  <c r="Q31" i="3"/>
  <c r="Q37" i="3"/>
  <c r="Q36" i="3"/>
  <c r="Q38" i="3"/>
  <c r="Q30" i="3"/>
  <c r="Q35" i="3"/>
  <c r="Q32" i="3"/>
  <c r="Q33" i="3"/>
  <c r="Q26" i="3"/>
  <c r="Q25" i="3"/>
  <c r="Q22" i="3"/>
  <c r="Q20" i="3"/>
  <c r="Q19" i="3"/>
  <c r="Q16" i="3"/>
  <c r="Q13" i="3"/>
  <c r="Q12" i="3"/>
  <c r="Q11" i="3"/>
  <c r="Q10" i="3"/>
  <c r="Q2" i="3"/>
  <c r="Q123" i="3"/>
  <c r="Q122" i="3"/>
  <c r="Q119" i="3"/>
  <c r="Q118" i="3"/>
  <c r="Q117" i="3"/>
  <c r="Q54" i="3"/>
  <c r="Q44" i="3"/>
  <c r="Q43" i="3"/>
  <c r="Q42" i="3"/>
  <c r="Q28" i="3"/>
  <c r="Q27" i="3"/>
  <c r="Q21" i="3"/>
  <c r="Q18" i="3"/>
  <c r="Q17" i="3"/>
  <c r="Q15" i="3"/>
  <c r="Q9" i="3"/>
  <c r="Q6" i="3"/>
  <c r="Q5" i="3"/>
  <c r="Q4" i="3"/>
  <c r="H7" i="2"/>
  <c r="I7" i="2"/>
  <c r="G8" i="2"/>
  <c r="G7" i="2"/>
  <c r="G6" i="2"/>
  <c r="G5" i="2"/>
  <c r="G4" i="2"/>
  <c r="F11" i="2"/>
  <c r="F14" i="2"/>
  <c r="E11" i="2"/>
  <c r="D13" i="2"/>
  <c r="C13" i="2"/>
  <c r="D11" i="2"/>
  <c r="E13" i="2"/>
  <c r="C11" i="2"/>
  <c r="B13" i="2"/>
  <c r="B11" i="2"/>
  <c r="D12" i="2"/>
  <c r="F13" i="2"/>
  <c r="B14" i="2"/>
  <c r="D14" i="2"/>
  <c r="B12" i="2"/>
  <c r="U8" i="6" l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D32" i="2"/>
  <c r="B32" i="2"/>
  <c r="M29" i="2"/>
  <c r="G32" i="2"/>
  <c r="E32" i="2"/>
  <c r="K32" i="2"/>
  <c r="I32" i="2"/>
  <c r="H32" i="2"/>
  <c r="F32" i="2"/>
  <c r="L32" i="2"/>
  <c r="C32" i="2"/>
  <c r="M25" i="2"/>
  <c r="C53" i="2"/>
  <c r="B53" i="2"/>
  <c r="C52" i="2"/>
  <c r="B52" i="2"/>
  <c r="C51" i="2"/>
  <c r="B51" i="2"/>
  <c r="C50" i="2"/>
  <c r="B50" i="2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J18" i="2"/>
  <c r="J19" i="2"/>
  <c r="J20" i="2"/>
  <c r="C21" i="2"/>
  <c r="M6" i="2"/>
  <c r="M5" i="2"/>
  <c r="K4" i="2"/>
  <c r="O5" i="2"/>
  <c r="O4" i="2"/>
  <c r="K5" i="2"/>
  <c r="F12" i="2"/>
  <c r="E12" i="2"/>
  <c r="E14" i="2"/>
  <c r="C12" i="2"/>
  <c r="C14" i="2"/>
  <c r="C35" i="2" l="1"/>
  <c r="J21" i="2"/>
  <c r="B35" i="2"/>
  <c r="O6" i="2"/>
  <c r="M4" i="2"/>
  <c r="J7" i="2"/>
  <c r="K7" i="2" s="1"/>
  <c r="N7" i="2" l="1"/>
  <c r="O7" i="2" s="1"/>
  <c r="L7" i="2"/>
  <c r="M7" i="2" s="1"/>
  <c r="K6" i="2"/>
  <c r="J29" i="2" l="1"/>
  <c r="J25" i="2"/>
  <c r="J26" i="2"/>
  <c r="J32" i="2" l="1"/>
  <c r="M26" i="2"/>
  <c r="M3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tc={7E9D1615-658E-4E32-8A31-261A96499DF4}</author>
    <author>田川　和樹</author>
    <author>向山　あいる</author>
    <author>原野　大樹</author>
  </authors>
  <commentList>
    <comment ref="E77" authorId="0" shapeId="0" xr:uid="{7E9D1615-658E-4E32-8A31-261A96499DF4}">
      <text>
        <t>[Threaded comment]
Your version of Excel allows you to read this threaded comment; however, any edits to it will get removed if the file is opened in a newer version of Excel. Learn more: https://go.microsoft.com/fwlink/?linkid=870924
Comment:
    サプライヤー（東京　製品仕入れ先）
です</t>
      </text>
    </comment>
    <comment ref="R157" authorId="1" shapeId="0" xr:uid="{BB40C040-5A90-4C44-B4F2-62C25867FBBE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田川　和樹:
</t>
        </r>
      </text>
    </comment>
    <comment ref="R192" authorId="2" shapeId="0" xr:uid="{B37E9C15-F0ED-4467-8ED5-7C4135690A60}">
      <text>
        <r>
          <rPr>
            <sz val="11"/>
            <color theme="1"/>
            <rFont val="游ゴシック"/>
            <family val="2"/>
            <charset val="128"/>
            <scheme val="minor"/>
          </rPr>
          <t>向山　あいる:
・問合せのリピート希望ケープ製造元が廃業済　
・　現担当　＆　アプローチ中担当者　フォローされない意向確認済み　
⇒　断り済</t>
        </r>
      </text>
    </comment>
    <comment ref="R198" authorId="3" shapeId="0" xr:uid="{9F18D789-E773-4161-B3B6-576821D7E5BB}">
      <text>
        <r>
          <rPr>
            <sz val="11"/>
            <color theme="1"/>
            <rFont val="游ゴシック"/>
            <family val="2"/>
            <charset val="128"/>
            <scheme val="minor"/>
          </rPr>
          <t>田川さんからインサイドセールスアプローチ中</t>
        </r>
      </text>
    </comment>
    <comment ref="R200" authorId="3" shapeId="0" xr:uid="{5B226C90-1DE5-48E9-BFC1-7121CB82A145}">
      <text>
        <r>
          <rPr>
            <sz val="11"/>
            <color theme="1"/>
            <rFont val="游ゴシック"/>
            <family val="2"/>
            <charset val="128"/>
            <scheme val="minor"/>
          </rPr>
          <t>担当坂本さんよりアプローチ中</t>
        </r>
      </text>
    </comment>
    <comment ref="R204" authorId="3" shapeId="0" xr:uid="{D1E6F1F3-F0E3-487E-80D1-C0AF3013B7BD}">
      <text>
        <r>
          <rPr>
            <sz val="11"/>
            <color theme="1"/>
            <rFont val="游ゴシック"/>
            <family val="2"/>
            <charset val="128"/>
            <scheme val="minor"/>
          </rPr>
          <t>担当長谷川たくみさんから確認中</t>
        </r>
      </text>
    </comment>
    <comment ref="E245" authorId="2" shapeId="0" xr:uid="{0EBC55C1-9255-4233-B129-7FC88B20AC85}">
      <text>
        <r>
          <rPr>
            <sz val="11"/>
            <color theme="1"/>
            <rFont val="游ゴシック"/>
            <family val="2"/>
            <charset val="128"/>
            <scheme val="minor"/>
          </rPr>
          <t>向山　あいる:
※派遣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tc={40CCF45B-E33F-40D2-816B-682E5D50327C}</author>
    <author>tc={0AC5C160-484E-463E-872C-98A4F1B47CCA}</author>
    <author>tc={738ABAF1-1968-433F-BDC1-85FEB0114C4B}</author>
    <author>tc={CAD3B2B3-3A47-42A9-9EDC-9B43B29F05BD}</author>
    <author>tc={11C0FC18-5FDD-4A33-9F3F-E97EB07C580E}</author>
  </authors>
  <commentList>
    <comment ref="I3" authorId="0" shapeId="0" xr:uid="{40CCF45B-E33F-40D2-816B-682E5D50327C}">
      <text>
        <t>[Threaded comment]
Your version of Excel allows you to read this threaded comment; however, any edits to it will get removed if the file is opened in a newer version of Excel. Learn more: https://go.microsoft.com/fwlink/?linkid=870924
Comment:
    営業がアプローチしているリードの数。SAで、アプローチしているか確認。</t>
      </text>
    </comment>
    <comment ref="G7" authorId="1" shapeId="0" xr:uid="{0AC5C160-484E-463E-872C-98A4F1B47CCA}">
      <text>
        <t>[Threaded comment]
Your version of Excel allows you to read this threaded comment; however, any edits to it will get removed if the file is opened in a newer version of Excel. Learn more: https://go.microsoft.com/fwlink/?linkid=870924
Comment:
    非ユニーク</t>
      </text>
    </comment>
    <comment ref="H7" authorId="2" shapeId="0" xr:uid="{738ABAF1-1968-433F-BDC1-85FEB0114C4B}">
      <text>
        <t>[Threaded comment]
Your version of Excel allows you to read this threaded comment; however, any edits to it will get removed if the file is opened in a newer version of Excel. Learn more: https://go.microsoft.com/fwlink/?linkid=870924
Comment:
    ユニーク</t>
      </text>
    </comment>
    <comment ref="I7" authorId="3" shapeId="0" xr:uid="{CAD3B2B3-3A47-42A9-9EDC-9B43B29F05BD}">
      <text>
        <t>[Threaded comment]
Your version of Excel allows you to read this threaded comment; however, any edits to it will get removed if the file is opened in a newer version of Excel. Learn more: https://go.microsoft.com/fwlink/?linkid=870924
Comment:
    ユニーク</t>
      </text>
    </comment>
    <comment ref="G8" authorId="4" shapeId="0" xr:uid="{11C0FC18-5FDD-4A33-9F3F-E97EB07C580E}">
      <text>
        <t>[Threaded comment]
Your version of Excel allows you to read this threaded comment; however, any edits to it will get removed if the file is opened in a newer version of Excel. Learn more: https://go.microsoft.com/fwlink/?linkid=870924
Comment:
    非ユニーク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<sst xmlns="http://schemas.openxmlformats.org/spreadsheetml/2006/main" count="8881" uniqueCount="2988">
  <si>
    <t>案件: 案件名</t>
  </si>
  <si>
    <t>案件: レコードタイプ</t>
  </si>
  <si>
    <t>得意先</t>
  </si>
  <si>
    <t>案件: 作成日</t>
  </si>
  <si>
    <t>ファンケル【通販】2025年3月ご愛顧</t>
  </si>
  <si>
    <t>05.IS</t>
  </si>
  <si>
    <t>株式会社ファンケル</t>
  </si>
  <si>
    <t>よこしん年金プレゼント2025年度</t>
  </si>
  <si>
    <t>横浜信用金庫</t>
  </si>
  <si>
    <t>【ACRO】THREE24年冬GWP</t>
  </si>
  <si>
    <t>株式会社ACRO</t>
  </si>
  <si>
    <t>【天一食品商事】　2024年　スタンプカードキャンペーン</t>
  </si>
  <si>
    <t>株式会社天一食品商事</t>
  </si>
  <si>
    <t>【池田泉州銀行】2024冬キャンペーン</t>
  </si>
  <si>
    <t>株式会社池田泉州銀行</t>
  </si>
  <si>
    <t>文明堂東京2025MC</t>
  </si>
  <si>
    <t>01.企業UN</t>
  </si>
  <si>
    <t>株式会社文明堂東京</t>
  </si>
  <si>
    <t>【ジャストシステム】（国内）定番タブレットカバー</t>
  </si>
  <si>
    <t>株式会社ジャストシステム</t>
  </si>
  <si>
    <t>ウジエスーパー</t>
  </si>
  <si>
    <t>株式会社ウジエスーパー</t>
  </si>
  <si>
    <t>制服切替</t>
  </si>
  <si>
    <t>04.スクール</t>
  </si>
  <si>
    <t>学校法人育成学園</t>
  </si>
  <si>
    <t>【王将フードサービス】25年度お客様感謝CP</t>
  </si>
  <si>
    <t>株式会社王将フードサービス</t>
  </si>
  <si>
    <t>【ブロンコビリー】2025年冬福袋</t>
  </si>
  <si>
    <t>株式会社ブロンコビリー</t>
  </si>
  <si>
    <t>【SBJ】FY25HolidayＴシャツ</t>
  </si>
  <si>
    <t>スターバックスコーヒージャパン株式会社</t>
  </si>
  <si>
    <t>【POLA】グランラグゼ 風呂敷バッグ</t>
  </si>
  <si>
    <t>株式会社ポーラ</t>
  </si>
  <si>
    <t>【エランコジャパン】2025年　処方サポートグッズ</t>
  </si>
  <si>
    <t>エランコジャパン株式会社</t>
  </si>
  <si>
    <t>桐光学園スクールバッグ</t>
  </si>
  <si>
    <t>桐光学園中学校・高等学校</t>
  </si>
  <si>
    <t>【ココス】2025年冬福袋</t>
  </si>
  <si>
    <t>株式会社ココスジャパン</t>
  </si>
  <si>
    <t>JAあさか野ジュエリー展示会</t>
  </si>
  <si>
    <t>06.TS_JA</t>
  </si>
  <si>
    <t>あさか野農業協同組合</t>
  </si>
  <si>
    <t>JAふかやジュエリー展示会</t>
  </si>
  <si>
    <t>ふかや農業協同組合</t>
  </si>
  <si>
    <t>コープ魚沼ジュエリー展示会</t>
  </si>
  <si>
    <t>株式会社コープ魚沼</t>
  </si>
  <si>
    <t>JAさいたま南部メンズ展示会</t>
  </si>
  <si>
    <t>さいたま農業協同組合</t>
  </si>
  <si>
    <t>JAさいたま中部メンズ展示会</t>
  </si>
  <si>
    <t>炭平コーポレーション　東京支店メンズ展示会</t>
  </si>
  <si>
    <t>07.TS_TS</t>
  </si>
  <si>
    <t>炭平コーポレーション株式会社</t>
  </si>
  <si>
    <t>JAさいたま北部メンズ展示会</t>
  </si>
  <si>
    <t>土田商店メンズ展示会</t>
  </si>
  <si>
    <t>株式会社土田商店</t>
  </si>
  <si>
    <t>ふたばメンズ展示会</t>
  </si>
  <si>
    <t>株式会社ふたば</t>
  </si>
  <si>
    <t>【大戸屋】25年冬福袋</t>
  </si>
  <si>
    <t>株式会社大戸屋</t>
  </si>
  <si>
    <t>【物語コーポレーション】キッズ向けカード</t>
  </si>
  <si>
    <t>株式会社物語コーポレーション</t>
  </si>
  <si>
    <t>【セブン＆アイフードシステムズ】Denny'sリブランディング(メニュー)</t>
  </si>
  <si>
    <t>株式会社セブン&amp;アイ・フードシステムズ</t>
  </si>
  <si>
    <t>【日立Astemo】全世界UNモデルチェンジ</t>
  </si>
  <si>
    <t>日立Astemo株式会社</t>
  </si>
  <si>
    <t>K511リフレッシュルーム</t>
  </si>
  <si>
    <t>三菱電機株式会社</t>
  </si>
  <si>
    <t>テスト</t>
  </si>
  <si>
    <t>09. TS_社販</t>
  </si>
  <si>
    <t>thomas株式会社</t>
  </si>
  <si>
    <t>【エームサービス】管理栄養士/SV/NSSVユニフォーム刷新</t>
  </si>
  <si>
    <t>エームサービス株式会社</t>
  </si>
  <si>
    <t>赤穂オフィス改修</t>
  </si>
  <si>
    <t>2025MC</t>
  </si>
  <si>
    <t>KDDI株式会社</t>
  </si>
  <si>
    <t>【早稲田アカデミー】2024年度　2025年入塾記念品</t>
  </si>
  <si>
    <t>株式会社早稲田アカデミー</t>
  </si>
  <si>
    <t>【日本ケロッグ】2025シリアルフェス</t>
  </si>
  <si>
    <t>日本ケロッグ合同会社</t>
  </si>
  <si>
    <t>AIVAR</t>
  </si>
  <si>
    <t>2025/2着用開始 新店舗UN</t>
  </si>
  <si>
    <t>株式会社ヨークベニマル</t>
  </si>
  <si>
    <t>【大戸屋】福袋</t>
  </si>
  <si>
    <t>創価小学校</t>
  </si>
  <si>
    <t>学校法人創価学園</t>
  </si>
  <si>
    <t>【エスケー化研】2024年エスケープレミアムキャンペーン</t>
  </si>
  <si>
    <t>エスケー化研株式会社</t>
  </si>
  <si>
    <t>アユーラ2025年3末MC案件</t>
  </si>
  <si>
    <t>株式会社アインファーマシーズ</t>
  </si>
  <si>
    <t>【ハーバー研究所】2025年3月＆5月キャンペーン</t>
  </si>
  <si>
    <t>株式会社ハーバー研究所</t>
  </si>
  <si>
    <t>八王子学園八王子中学校・高等学校</t>
  </si>
  <si>
    <t>八王子学園八王子高等学校</t>
  </si>
  <si>
    <t>ヤクルト90周年記念品</t>
  </si>
  <si>
    <t>株式会社ヤクルト本社</t>
  </si>
  <si>
    <t>2026年春キャンペーン施策向けノベルティ提案</t>
  </si>
  <si>
    <t>【ドトールコーヒー】2025年　初荷（福袋）</t>
  </si>
  <si>
    <t>株式会社ドトールコーヒー</t>
  </si>
  <si>
    <t>テスト2</t>
  </si>
  <si>
    <t>提案</t>
  </si>
  <si>
    <t>HITOWAフードサービス株式会社</t>
  </si>
  <si>
    <t>2026年1月MC　RMK</t>
  </si>
  <si>
    <t>株式会社エキップ</t>
  </si>
  <si>
    <t>2026年1月MC　SUQQU</t>
  </si>
  <si>
    <t>2027年3月MC　CPB</t>
  </si>
  <si>
    <t>株式会社資生堂</t>
  </si>
  <si>
    <t>花王　工場作業服</t>
  </si>
  <si>
    <t>花王株式会社</t>
  </si>
  <si>
    <t>【横浜マリノス】2025年度ファンクラブ入会特典</t>
  </si>
  <si>
    <t>横浜マリノス株式会社</t>
  </si>
  <si>
    <t>【川崎フロンターレ】2025年度ファンクラブ入会特典</t>
  </si>
  <si>
    <t>株式会社川崎フロンターレ</t>
  </si>
  <si>
    <t>テスト３</t>
  </si>
  <si>
    <t>【東海マツダ】2024年　ポロシャツ</t>
  </si>
  <si>
    <t>東海マツダ販売株式会社</t>
  </si>
  <si>
    <t>2025年度更新ユニフォーム</t>
  </si>
  <si>
    <t>大井川農業協同組合</t>
  </si>
  <si>
    <t>【zoff 】新店オープンノベルティ</t>
  </si>
  <si>
    <t>株式会社インターメスティック</t>
  </si>
  <si>
    <t>【La Ohana】　2024年秋CP</t>
  </si>
  <si>
    <t>株式会社すかいらーくホールディングス</t>
  </si>
  <si>
    <t>女子パンツスーツ</t>
  </si>
  <si>
    <t>筑紫女学園高等学校</t>
  </si>
  <si>
    <t>西日本高速道路メンテナンス関西〈作業服〉</t>
  </si>
  <si>
    <t>西日本高速道路メンテナンス関西株式会社</t>
  </si>
  <si>
    <t>【シャトレーゼ】25年度バレンタインバッグ</t>
  </si>
  <si>
    <t>株式会社シャトレーゼ</t>
  </si>
  <si>
    <t>【日本ピザハット】ピザハットテイクアウトバッグ</t>
  </si>
  <si>
    <t>日本ピザハット株式会社</t>
  </si>
  <si>
    <t>【ACRO】THREE資材（フレグランス、キット）</t>
  </si>
  <si>
    <t>【三井住友トラストクラブ】ダイナース25年BDギフト</t>
  </si>
  <si>
    <t>三井住友トラストクラブ株式会社</t>
  </si>
  <si>
    <t>【ファンケル店舗】2025年店舗6月金額縛り</t>
  </si>
  <si>
    <t>【サッポロビール】2024年ヱビスビールジャンパー</t>
  </si>
  <si>
    <t>サッポロビール株式会社</t>
  </si>
  <si>
    <t>【リーガル】2024テディベア</t>
  </si>
  <si>
    <t>株式会社リーガルコーポレーション</t>
  </si>
  <si>
    <t>K&amp;Oエナジー25年</t>
  </si>
  <si>
    <t>K&amp;Oエナジーグループ株式会社</t>
  </si>
  <si>
    <t>オルビス店舗制服リニューアル</t>
  </si>
  <si>
    <t>オルビス株式会社</t>
  </si>
  <si>
    <t>ナースステージ　新型（プルオーバー）</t>
  </si>
  <si>
    <t>03.メディカル_別注</t>
  </si>
  <si>
    <t>株式会社ナースステージ</t>
  </si>
  <si>
    <t>テスト４</t>
  </si>
  <si>
    <t>02.メディカル_カタログ</t>
  </si>
  <si>
    <t>店舗ユニフォーム更新　日産レンタカー</t>
  </si>
  <si>
    <t>株式会社日産カーレンタルソリューション</t>
  </si>
  <si>
    <t>【なか卯】2025年冬福袋</t>
  </si>
  <si>
    <t>株式会社ゼンショーファストホールディングス</t>
  </si>
  <si>
    <t>【ジョナサン】　2025冬福袋</t>
  </si>
  <si>
    <t>【SBJ】FY25カスタマイズジャーニーセット</t>
  </si>
  <si>
    <t>【NEWART】銀座ダイヤモンドシライシ　ご来店（＆ご成約特典）</t>
  </si>
  <si>
    <t>株式会社ＮＥＷＡＲＴＨＯＬＤＩＮＧＳ</t>
  </si>
  <si>
    <t>TOHOシネマズ　2025MC</t>
  </si>
  <si>
    <t>TOHOシネマズ株式会社</t>
  </si>
  <si>
    <t>【セレッソ大阪】2025年FC特典</t>
  </si>
  <si>
    <t>株式会社セレッソ大阪</t>
  </si>
  <si>
    <t>【名古屋グランパス】2025FC特典</t>
  </si>
  <si>
    <t>株式会社名古屋グランパスエイト</t>
  </si>
  <si>
    <t>【アテニア】2025年夏キャンペーン</t>
  </si>
  <si>
    <t>株式会社アテニア</t>
  </si>
  <si>
    <t>【むさしの森珈琲】　2025冬福袋</t>
  </si>
  <si>
    <t>【La Ohana】　2025年冬福袋</t>
  </si>
  <si>
    <t>【アトム】2025年度　ステーキ宮の福袋</t>
  </si>
  <si>
    <t>株式会社アトム</t>
  </si>
  <si>
    <t>【千趣会】2025年度　ちょこちょこ販売商品</t>
  </si>
  <si>
    <t>株式会社千趣会</t>
  </si>
  <si>
    <t>【八天堂】2025年度　セット販売バッグ</t>
  </si>
  <si>
    <t>株式会社八天堂</t>
  </si>
  <si>
    <t>【日本生命】2026年展開タブレットケース</t>
  </si>
  <si>
    <t>日本生命保険相互会社</t>
  </si>
  <si>
    <t>【エム・シィオー】2025年　お歳暮ギフト</t>
  </si>
  <si>
    <t>株式会社エム・シィオー</t>
  </si>
  <si>
    <t>2025年度　処方サポートグッズ</t>
  </si>
  <si>
    <t>ベーリンガーインゲルハイムアニマルヘルスジャパン式会社</t>
  </si>
  <si>
    <t>祐誠高校　モデルチェンジ</t>
  </si>
  <si>
    <t>学校法人久留米工業大学　祐誠高等学校</t>
  </si>
  <si>
    <t>【キャメル珈琲】2025年度　レモンサワー用保冷バッグ</t>
  </si>
  <si>
    <t>株式会社キャメル珈琲</t>
  </si>
  <si>
    <t>【四谷大塚】2024年通塾バッグ</t>
  </si>
  <si>
    <t>株式会社四谷大塚</t>
  </si>
  <si>
    <t>丸広百貨店2026食品女性制服MC</t>
  </si>
  <si>
    <t>株式会社丸広百貨店</t>
  </si>
  <si>
    <t>ドトール社員エンゲージメントアップ提案</t>
  </si>
  <si>
    <t>【横浜ゴム】　2025年　冬ジャンパー</t>
  </si>
  <si>
    <t>横浜ゴム株式会社</t>
  </si>
  <si>
    <t>【日本ケロッグ】2024年　シリアルフェス</t>
  </si>
  <si>
    <t>【再春館製薬所】2025年　ドモホルンリンクル購入特典（基本４点セット３日分プレゼント）　50th限定企画</t>
  </si>
  <si>
    <t>株式会社再春館製薬所</t>
  </si>
  <si>
    <t>【星和ビジネスリンク】損保キャンペーン2024年度第Ⅲ期</t>
  </si>
  <si>
    <t>株式会社星和ビジネスリンク</t>
  </si>
  <si>
    <t>ジュエリー展</t>
  </si>
  <si>
    <t>埼玉中央農業協同組合</t>
  </si>
  <si>
    <t>男性POスーツ制服、女性制服、作業服</t>
  </si>
  <si>
    <t>08.TS_UN</t>
  </si>
  <si>
    <t>献血参加　促進施策</t>
  </si>
  <si>
    <t>株式会社日赤サービス</t>
  </si>
  <si>
    <t>【JNTL】2024年度 25年CL1月号</t>
  </si>
  <si>
    <t>JNTLコンシューマーヘルス株式会社</t>
  </si>
  <si>
    <t>男性POスーツ制服</t>
  </si>
  <si>
    <t>ほくさい農業協同組合</t>
  </si>
  <si>
    <t>ちちぶ農業協同組合</t>
  </si>
  <si>
    <t>越谷市農業協同組合</t>
  </si>
  <si>
    <t>埼玉みずほ農業協同組合</t>
  </si>
  <si>
    <t>紳士服採寸会</t>
  </si>
  <si>
    <t>【ディーエイチシー】2025年11月通販施策</t>
  </si>
  <si>
    <t>株式会社ディーエイチシー</t>
  </si>
  <si>
    <t>【エム・シィオー】2025年　12月コンサートグッズ</t>
  </si>
  <si>
    <t>2重作成</t>
  </si>
  <si>
    <t>鍋小屋　おちょこ＆空間提案</t>
  </si>
  <si>
    <t>株式会社横浜赤レンガ</t>
  </si>
  <si>
    <t>【楽天】UNリニューアル</t>
  </si>
  <si>
    <t>楽天トータルソリューションズ株式会社</t>
  </si>
  <si>
    <t>【サクラクレパス】水彩画セット</t>
  </si>
  <si>
    <t>株式会社サクラクレパス</t>
  </si>
  <si>
    <t>【ジョリーパスタ】2025年　夏福袋</t>
  </si>
  <si>
    <t>株式会社ジョリーパスタ</t>
  </si>
  <si>
    <t>【阪神タイガース】2025年TORACO</t>
  </si>
  <si>
    <t>株式会社阪神タイガース</t>
  </si>
  <si>
    <t>【Zoetis Japan】2025年度　処方サポートグッズ</t>
  </si>
  <si>
    <t>ゾエティス・ジャパン株式会社</t>
  </si>
  <si>
    <t>多摩運送2029年80周年MC</t>
  </si>
  <si>
    <t>多摩運送株式会社</t>
  </si>
  <si>
    <t>【ぺんてる】2025年度　画材セット</t>
  </si>
  <si>
    <t>ぺんてる株式会社</t>
  </si>
  <si>
    <t>【シャトレーゼ】25年さくらバッグ</t>
  </si>
  <si>
    <t>【シャトレーゼ】入学式向けランドセルバッグ</t>
  </si>
  <si>
    <t>【吉野家】牛ポ　パワスピ</t>
  </si>
  <si>
    <t>株式会社吉野家ホールディングス</t>
  </si>
  <si>
    <t>株式会社やまびこ</t>
  </si>
  <si>
    <t>2025MC JR東日本メッツホテル</t>
  </si>
  <si>
    <t>日本ホテル株式会社</t>
  </si>
  <si>
    <t>2026MC 相鉄フレッサイン</t>
  </si>
  <si>
    <t>株式会社相鉄ホテルマネジメント</t>
  </si>
  <si>
    <t>2025MC  DHC</t>
  </si>
  <si>
    <t>タカミヤ</t>
  </si>
  <si>
    <t>株式会社タカミヤ</t>
  </si>
  <si>
    <t>【ファンケル通販】2025年7月11月ご愛顧CP</t>
  </si>
  <si>
    <t>【ファンケル通販】2025年5月新基礎発売CP</t>
  </si>
  <si>
    <t>【SUBARU】2025年初売フェア</t>
  </si>
  <si>
    <t>株式会社SUBARU</t>
  </si>
  <si>
    <t>獨協自習室空間デザイン</t>
  </si>
  <si>
    <t>学校法人獨協学園獨協中学校・獨協高等学校</t>
  </si>
  <si>
    <t>獨協ポロシャツ</t>
  </si>
  <si>
    <t>芝制服</t>
  </si>
  <si>
    <t>芝高等学校</t>
  </si>
  <si>
    <t>横須賀制服</t>
  </si>
  <si>
    <t>横須賀学院中学校高等学校</t>
  </si>
  <si>
    <t>【ダンロップタイヤ】2024大谷翔平タオル</t>
  </si>
  <si>
    <t>株式会社ダンロップタイヤ</t>
  </si>
  <si>
    <t>三協立山　関東支店　CPジャンパー</t>
  </si>
  <si>
    <t>三協立山株式会社</t>
  </si>
  <si>
    <t>【ディーエイチシー】2025年　全会員向け施策</t>
  </si>
  <si>
    <t>【福岡ソフトバンクホークス】お父さんケーブルバイト</t>
  </si>
  <si>
    <t>福岡ソフトバンクホークス株式会社</t>
  </si>
  <si>
    <t>【JNTL】2024年度 25年CL2.3月号</t>
  </si>
  <si>
    <t>持田製薬工場女性半袖作業服引き合い</t>
  </si>
  <si>
    <t>持田製薬工場株式会社</t>
  </si>
  <si>
    <t>【パルシステム生活協同組合連合会】2025年度ノベルティ</t>
  </si>
  <si>
    <t>パルシステム生活協同組合連合会</t>
  </si>
  <si>
    <t>JAふかや女子制服</t>
  </si>
  <si>
    <t>2025年ファンクラブ入会特典品</t>
  </si>
  <si>
    <t>株式会社広島東洋カープ</t>
  </si>
  <si>
    <t>【ライフ】PB　販売品</t>
  </si>
  <si>
    <t>株式会社ライフコーポレーション</t>
  </si>
  <si>
    <t>【紀伊国屋書店】ヨシタケシンスケコラボグッズ</t>
  </si>
  <si>
    <t>株式会社紀伊國屋書店</t>
  </si>
  <si>
    <t>【第一三共ヘルスケア】2024　ブライトエイジ継続特典</t>
  </si>
  <si>
    <t>第一三共ヘルスケアダイレクト株式会社</t>
  </si>
  <si>
    <t>【本田技研工業】2024　ユニフォームアップサイクル</t>
  </si>
  <si>
    <t>本田技研工業株式会社</t>
  </si>
  <si>
    <t>【ACRO】2025年度 THREE25年夏GWP</t>
  </si>
  <si>
    <t>【シャトレーゼ】25年母の日バッグ</t>
  </si>
  <si>
    <t>【TBC】VIP会員向け企画</t>
  </si>
  <si>
    <t>TBC グループ株式会社</t>
  </si>
  <si>
    <t>【夢庵・藍屋】2025食事キャンペーン</t>
  </si>
  <si>
    <t>【DBC】10周年ジャンパー</t>
  </si>
  <si>
    <t>株式会社ダイハツビジネスサポートセンター</t>
  </si>
  <si>
    <t>【ヤンマーマルシェ】2025年　3から5月</t>
  </si>
  <si>
    <t>ヤンマーマルシェ株式会社</t>
  </si>
  <si>
    <t>【キリンビバレッジ】東北エリア　記念ジャンバー</t>
  </si>
  <si>
    <t>キリンビバレッジ株式会社</t>
  </si>
  <si>
    <t>【やずや】還元祭</t>
  </si>
  <si>
    <t>株式会社やずや</t>
  </si>
  <si>
    <t>【えがお】2025バースデー</t>
  </si>
  <si>
    <t>株式会社えがお</t>
  </si>
  <si>
    <t>2025年サマーバッグ</t>
  </si>
  <si>
    <t>株式会社コメダ</t>
  </si>
  <si>
    <t>【ACRO】2024年度 NewYearGWP</t>
  </si>
  <si>
    <t>【日本生命】2025タブレットケース</t>
  </si>
  <si>
    <t>ユニフォームモデルチェンジ</t>
  </si>
  <si>
    <t>株式会社日立インダストリアルプロダクツ</t>
  </si>
  <si>
    <t>店舗リブランディング提案</t>
  </si>
  <si>
    <t>【東邦ガス】2025ガス展販促、会員特典</t>
  </si>
  <si>
    <t>東邦ガスライフソリューションズ株式会社</t>
  </si>
  <si>
    <t>2025年　大阪万博エコバッグ</t>
  </si>
  <si>
    <t>大塚製薬株式会社</t>
  </si>
  <si>
    <t>【大塚製薬】2026年　インナーシグナル　バースデーギフト</t>
  </si>
  <si>
    <t>2025年　ノベルティ</t>
  </si>
  <si>
    <t>日野自動車株式会社</t>
  </si>
  <si>
    <t>来場・試乗査定記念品</t>
  </si>
  <si>
    <t>フォルクスワーゲングループジャパン株式会社</t>
  </si>
  <si>
    <t>アスリートウェア　リニューアル</t>
  </si>
  <si>
    <t>セントラルスポーツ株式会社</t>
  </si>
  <si>
    <t>中華祭り2025</t>
  </si>
  <si>
    <t>株式会社SLCreations</t>
  </si>
  <si>
    <t>クリスマスフェア2025</t>
  </si>
  <si>
    <t>26年6月MC案件</t>
  </si>
  <si>
    <t>株式会社アコモデーションファースト</t>
  </si>
  <si>
    <t>【TOTO】2025年施工店向け夏ノベルティ</t>
  </si>
  <si>
    <t>TOTO株式会社</t>
  </si>
  <si>
    <t>蓮屋珈琲OPEN記念品</t>
  </si>
  <si>
    <t>25年夏福袋</t>
  </si>
  <si>
    <t>株式会社はま寿司</t>
  </si>
  <si>
    <t>【リーガル】　2025春キャンペーン</t>
  </si>
  <si>
    <t>【ディーエイチシー】2025　化粧品限定ポーチ施策_３月</t>
  </si>
  <si>
    <t>551蓬莱</t>
  </si>
  <si>
    <t>株式会社蓬莱</t>
  </si>
  <si>
    <t>ダイキン工業〈秘書制服〉</t>
  </si>
  <si>
    <t>ダイキン工業株式会社</t>
  </si>
  <si>
    <t>大鉄工業〈作業服〉</t>
  </si>
  <si>
    <t>大鉄工業株式会社</t>
  </si>
  <si>
    <t>アルビオン；24AWカットソー</t>
  </si>
  <si>
    <t>株式会社アルビオン</t>
  </si>
  <si>
    <t>積水樹脂〈作業服〉</t>
  </si>
  <si>
    <t>積水樹脂株式会社</t>
  </si>
  <si>
    <t>第一三共　グループ統一UN</t>
  </si>
  <si>
    <t>第一三共株式会社</t>
  </si>
  <si>
    <t>【ECC】2025紹介キャンペーン</t>
  </si>
  <si>
    <t>株式会社スタジオ・エフ</t>
  </si>
  <si>
    <t>25年バースデーDMプレゼント</t>
  </si>
  <si>
    <t>株式会社鎌倉パスタ</t>
  </si>
  <si>
    <t>【日本生命】2024年第2期FCアカデミー</t>
  </si>
  <si>
    <t>【パーソルテンプスタッフ】テンプの日ギフト</t>
  </si>
  <si>
    <t>パーソルテンプスタッフ株式会社</t>
  </si>
  <si>
    <t>【関東マツダ】2025年　福袋</t>
  </si>
  <si>
    <t>株式会社関東マツダ</t>
  </si>
  <si>
    <t>中部国際空港旅客サービス；接客ユニフォーム</t>
  </si>
  <si>
    <t>中部国際空港旅客サービス株式会社</t>
  </si>
  <si>
    <t>矢崎総業グループ統一UN</t>
  </si>
  <si>
    <t>矢崎総業株式会社</t>
  </si>
  <si>
    <t>リケングループ統一UN</t>
  </si>
  <si>
    <t>株式会社リケン</t>
  </si>
  <si>
    <t>ハチバン；店舗ユニフォーム（60周年）</t>
  </si>
  <si>
    <t>株式会社ハチバン</t>
  </si>
  <si>
    <t>アルビオン：AL26SS制服</t>
  </si>
  <si>
    <t>新店舗ユニフォーム</t>
  </si>
  <si>
    <t>上組</t>
  </si>
  <si>
    <t>株式会社上組</t>
  </si>
  <si>
    <t>作業服モデルチェンジ</t>
  </si>
  <si>
    <t>関西電力送配電株式会社</t>
  </si>
  <si>
    <t>住友電気工業〈作業服〉</t>
  </si>
  <si>
    <t>住友電気工業株式会社</t>
  </si>
  <si>
    <t>おおさかパルコープ〈配送UN〉</t>
  </si>
  <si>
    <t>生活協同組合おおさかパルコープ</t>
  </si>
  <si>
    <t>【SUBARU】2024　成約プレミア</t>
  </si>
  <si>
    <t>【エランコジャパン】2025年　看護師向けノベルティ</t>
  </si>
  <si>
    <t>MEBS25年3月～MC</t>
  </si>
  <si>
    <t>三菱電機ビルソリューションズ株式会社</t>
  </si>
  <si>
    <t>【三井住友トラストクラブ】2025年度 ダイナース銀座プレミアムラウンジ_ドリンクカウンター</t>
  </si>
  <si>
    <t>男女統合パンツマイナーチェンジ</t>
  </si>
  <si>
    <t>社会福祉法人三篠会特別養護老人ホーム介護老人保健施設ひうな荘</t>
  </si>
  <si>
    <t>【フェリシモ】もしもしもきほんのき追加</t>
  </si>
  <si>
    <t>株式会社フェリシモ</t>
  </si>
  <si>
    <t>佐世保共済病院MC</t>
  </si>
  <si>
    <t>佐世保共済病院</t>
  </si>
  <si>
    <t>【むさしの森珈琲】2025春福袋</t>
  </si>
  <si>
    <t>【花王】メリーズ2025フロッキー人形＆ブランケット</t>
  </si>
  <si>
    <t>アプリポイント交換グッズ</t>
  </si>
  <si>
    <t>【JNTL】2025年度 25年CL4,5月号</t>
  </si>
  <si>
    <t>【ファーマフーズ】GWP企画</t>
  </si>
  <si>
    <t>株式会社ファーマフーズ</t>
  </si>
  <si>
    <t>【フェリシモ】2025もしもしも　車防災</t>
  </si>
  <si>
    <t>牟田病院MC</t>
  </si>
  <si>
    <t>誠和会　牟田病院</t>
  </si>
  <si>
    <t>油山病院MC</t>
  </si>
  <si>
    <t>油山病院</t>
  </si>
  <si>
    <t>中国電力〈防寒着/雨衣〉</t>
  </si>
  <si>
    <t>中国電力株式会社</t>
  </si>
  <si>
    <t>【日清食品チルド】2024年_べた付け用保冷バッグ</t>
  </si>
  <si>
    <t>日清食品チルド株式会社</t>
  </si>
  <si>
    <t>【ディーエイチシー】2025年2月化粧品施策_ヘアケア</t>
  </si>
  <si>
    <t>【ココス】2025年夏福袋</t>
  </si>
  <si>
    <t>【施工管理】24年12月末MC</t>
  </si>
  <si>
    <t>住友林業ホームエンジニアリング株式会社</t>
  </si>
  <si>
    <t>【アワーズ】アドベンチャーワールド2025年福袋</t>
  </si>
  <si>
    <t>株式会社アワーズ</t>
  </si>
  <si>
    <t>インナーシグナル・サクラエ　ブルゾン</t>
  </si>
  <si>
    <t>中華祭り、クリスマス購入特典</t>
  </si>
  <si>
    <t>2026年　SMILEBOX【福袋】</t>
  </si>
  <si>
    <t>株式会社すき家</t>
  </si>
  <si>
    <t>【キャメル珈琲】2025年 夏のコーヒーバッグ</t>
  </si>
  <si>
    <t>【キャメル珈琲】2025年 レモンバッグ</t>
  </si>
  <si>
    <t>【キャメル珈琲】2025年 スパイスバッグ</t>
  </si>
  <si>
    <t>【日清食品】阪神タイガース応援CP2024</t>
  </si>
  <si>
    <t>日清食品株式会社</t>
  </si>
  <si>
    <t>【POLA】BA2024年6月キャンペーン</t>
  </si>
  <si>
    <t>【JNTL】2024年度 24年CL5,6月号</t>
  </si>
  <si>
    <t>【SBJ】FY24　SUMMER２　Promotion サステナ雑貨</t>
  </si>
  <si>
    <t>【SBJ】SUMMER　Promotion　Tシャツ</t>
  </si>
  <si>
    <t>【JNTL】2024年度 24年CL8,9,10月号</t>
  </si>
  <si>
    <t>【ファンケル通販】販売ODM 8月号</t>
  </si>
  <si>
    <t>【日清食品】8月CVS店頭施策</t>
  </si>
  <si>
    <t>【ファンケル店舗】2024年度スタンプラリー企画</t>
  </si>
  <si>
    <t>【ディーエイチシー】2024年 全会員向け施策</t>
  </si>
  <si>
    <t>【ウォータースタンド】AIロボット（Romi）衣装</t>
  </si>
  <si>
    <t>ウォータースタンド株式会社</t>
  </si>
  <si>
    <t>【ファンケル通店合同】健康食品30周年ご愛顧CP</t>
  </si>
  <si>
    <t>【カネボウ化粧品】リサージご購入者プレゼント</t>
  </si>
  <si>
    <t>株式会社カネボウ化粧品</t>
  </si>
  <si>
    <t>【ANA】2024機内玩具</t>
  </si>
  <si>
    <t>全日本空輸株式会社</t>
  </si>
  <si>
    <t>【イオン】2024年イオン超春トク祭り</t>
  </si>
  <si>
    <t>イオンリテール株式会社</t>
  </si>
  <si>
    <t>【イオン】2024年BLACK FRIDAY</t>
  </si>
  <si>
    <t>【イオン】2025年トップバリュ福袋</t>
  </si>
  <si>
    <t>【ECC】　紹介キャンペーン</t>
  </si>
  <si>
    <t>【鎌倉パスタ】25年バースデーギフト</t>
  </si>
  <si>
    <t>【ココス】25年夏福袋</t>
  </si>
  <si>
    <t>【物語コーポレーション】アプリ特典</t>
  </si>
  <si>
    <t>暑さ対策アイテム提案</t>
  </si>
  <si>
    <t>三菱地所コミュニティ株式会社</t>
  </si>
  <si>
    <t>作業服</t>
  </si>
  <si>
    <t>株式会社JR東日本環境アクセス</t>
  </si>
  <si>
    <t>店舗制服リニューアル</t>
  </si>
  <si>
    <t>フルラジャパン株式会社</t>
  </si>
  <si>
    <t>ゲラン制服リニューアル</t>
  </si>
  <si>
    <t>株式会社ソシエ・ワールド</t>
  </si>
  <si>
    <t>防災関連</t>
  </si>
  <si>
    <t>日本赤十字社</t>
  </si>
  <si>
    <t>一般社団法人日本自動車連盟</t>
  </si>
  <si>
    <t>店舗制服（既製品）</t>
  </si>
  <si>
    <t>株式会社タックルベリー</t>
  </si>
  <si>
    <t>株式会社ヤマダホームズ</t>
  </si>
  <si>
    <t>百貨店店舗制服</t>
  </si>
  <si>
    <t>キーコーヒー株式会社</t>
  </si>
  <si>
    <t>株式会社メッセ</t>
  </si>
  <si>
    <t>レインウェア</t>
  </si>
  <si>
    <t>株式会社読売新聞グループ本社</t>
  </si>
  <si>
    <t>EFウェア</t>
  </si>
  <si>
    <t>ドレス事業制服（既製品）</t>
  </si>
  <si>
    <t>株式会社ノバレーゼ</t>
  </si>
  <si>
    <t>作業服（夏服）</t>
  </si>
  <si>
    <t>東日本電信電話株式会社</t>
  </si>
  <si>
    <t>株式会社ペッパーフードサービス</t>
  </si>
  <si>
    <t>介護施設制服リニューアル</t>
  </si>
  <si>
    <t>SOMPOケア株式会社</t>
  </si>
  <si>
    <t>実践学園制服</t>
  </si>
  <si>
    <t>実践学園中学・高等学校</t>
  </si>
  <si>
    <t>霞ヶ浦制服</t>
  </si>
  <si>
    <t>学校法人霞ヶ浦高等学校</t>
  </si>
  <si>
    <t>桐朋女子制服</t>
  </si>
  <si>
    <t>学校法人桐朋学園女子部門桐朋女子中・高等学校</t>
  </si>
  <si>
    <t>西武学園文理制服</t>
  </si>
  <si>
    <t>西武学園文理中学・高等学校</t>
  </si>
  <si>
    <t>星野制服</t>
  </si>
  <si>
    <t>星野高等学校</t>
  </si>
  <si>
    <t>ラーニングコモンズ空間デザイン</t>
  </si>
  <si>
    <t>東京農業大学第三中学高等学校</t>
  </si>
  <si>
    <t>獨協制服</t>
  </si>
  <si>
    <t>食堂空間デザイン</t>
  </si>
  <si>
    <t>学校法人翔光学園横浜創学館高等学校</t>
  </si>
  <si>
    <t>大泉制服</t>
  </si>
  <si>
    <t>東京都立大泉高等学校・高等学校附属中学校</t>
  </si>
  <si>
    <t>渋谷本町こども園制服</t>
  </si>
  <si>
    <t>渋谷教育学園渋谷本町こども園</t>
  </si>
  <si>
    <t>跡見体操着</t>
  </si>
  <si>
    <t>跡見学園高等学校</t>
  </si>
  <si>
    <t>跡見ポロシャツ</t>
  </si>
  <si>
    <t>成徳ポロシャツ</t>
  </si>
  <si>
    <t>東京成徳大学中学・高等学校</t>
  </si>
  <si>
    <t>国立印刷局　作業服</t>
  </si>
  <si>
    <t>独立行政法人国立印刷局</t>
  </si>
  <si>
    <t>あおもり国スポ・障スポ</t>
  </si>
  <si>
    <t>青森県</t>
  </si>
  <si>
    <t>岐阜信用金庫　事務服</t>
  </si>
  <si>
    <t>岐阜信用金庫</t>
  </si>
  <si>
    <t>ソニー　作業服</t>
  </si>
  <si>
    <t>ソニー株式会社</t>
  </si>
  <si>
    <t>つばめ自動車　乗務員制服</t>
  </si>
  <si>
    <t>つばめ自動車株式会社</t>
  </si>
  <si>
    <t>SUBARU　工場作業服</t>
  </si>
  <si>
    <t>SUBARU　メカニック用ユニフォーム</t>
  </si>
  <si>
    <t>浜松ホトニクス　工場作業服</t>
  </si>
  <si>
    <t>浜松ホトニクス株式会社</t>
  </si>
  <si>
    <t>デクセリアルズ</t>
  </si>
  <si>
    <t>デクセリアルズ株式会社</t>
  </si>
  <si>
    <t>紅屋商事</t>
  </si>
  <si>
    <t>紅屋商事株式会社</t>
  </si>
  <si>
    <t>コープサンネット東北</t>
  </si>
  <si>
    <t>生活協同組合連合会コープ東北サンネット事業連合</t>
  </si>
  <si>
    <t>盛岡信用金庫</t>
  </si>
  <si>
    <t>JA津軽みらい</t>
  </si>
  <si>
    <t>津軽みらい農業協同組合</t>
  </si>
  <si>
    <t>JR北海道バス</t>
  </si>
  <si>
    <t>ジェイ・アール北海道バス株式会社</t>
  </si>
  <si>
    <t>サトー商会</t>
  </si>
  <si>
    <t>株式会社サトー商会</t>
  </si>
  <si>
    <t>トスネット</t>
  </si>
  <si>
    <t>株式会社トスネット</t>
  </si>
  <si>
    <t>2027MC/防寒・レイン</t>
  </si>
  <si>
    <t>一般財団法人東北電気保安協会</t>
  </si>
  <si>
    <t>関東エリアクリーン</t>
  </si>
  <si>
    <t>株式会社関東エリアクリーン</t>
  </si>
  <si>
    <t>トヨタレンタリース茨城</t>
  </si>
  <si>
    <t>株式会社トヨタレンタリース茨城</t>
  </si>
  <si>
    <t>カメイ</t>
  </si>
  <si>
    <t>カメイ株式会社</t>
  </si>
  <si>
    <t>九里学園高校</t>
  </si>
  <si>
    <t>九里学園高等学校</t>
  </si>
  <si>
    <t>仙台西高校</t>
  </si>
  <si>
    <t>仙台西高等学校</t>
  </si>
  <si>
    <t>迫桜高校</t>
  </si>
  <si>
    <t>宮城県迫桜高等学校</t>
  </si>
  <si>
    <t>聖和学園高校</t>
  </si>
  <si>
    <t>聖和学園高等学校</t>
  </si>
  <si>
    <t>公立置賜総合病院</t>
  </si>
  <si>
    <t>大原綜合病院</t>
  </si>
  <si>
    <t>一般財団法人大原記念財団大原綜合病院</t>
  </si>
  <si>
    <t>JA福島厚生連</t>
  </si>
  <si>
    <t>ＪＡ福島厚生連業務部（本部）</t>
  </si>
  <si>
    <t>栗原市統一</t>
  </si>
  <si>
    <t>栗原中央病院</t>
  </si>
  <si>
    <t>カレス記念病院</t>
  </si>
  <si>
    <t>社会医療法人社団カレスサッポロカレス記念病院</t>
  </si>
  <si>
    <t>総合南東北病院（岩沼）</t>
  </si>
  <si>
    <t>将道会　総合南東北病院</t>
  </si>
  <si>
    <t>健生病院</t>
  </si>
  <si>
    <t>津軽保健生活協同組合健生病院</t>
  </si>
  <si>
    <t>東北医科薬科大学病院</t>
  </si>
  <si>
    <t>太田綜合病院</t>
  </si>
  <si>
    <t>一般財団法人太田綜合病院</t>
  </si>
  <si>
    <t>総合南東北病院（郡山）</t>
  </si>
  <si>
    <t>一般財団法人脳神経疾患研究所附属総合南東北病院</t>
  </si>
  <si>
    <t>石巻赤十字病院</t>
  </si>
  <si>
    <t>函館中央病院</t>
  </si>
  <si>
    <t>山形済生病院</t>
  </si>
  <si>
    <t>山形県立統一</t>
  </si>
  <si>
    <t>山形県立中央病院</t>
  </si>
  <si>
    <t>手稲渓仁会病院</t>
  </si>
  <si>
    <t>医療法人渓仁会手稲渓仁会病院</t>
  </si>
  <si>
    <t>仙台オープン病院</t>
  </si>
  <si>
    <t>仙台徳洲会病院</t>
  </si>
  <si>
    <t>公立岩瀬病院</t>
  </si>
  <si>
    <t>あづま脳神経外科病院</t>
  </si>
  <si>
    <t>岩見沢市立総合病院</t>
  </si>
  <si>
    <t>市立札幌病院</t>
  </si>
  <si>
    <t>札幌市病院局市立札幌病院</t>
  </si>
  <si>
    <t>JA北海道厚生連</t>
  </si>
  <si>
    <t>北海道厚生農業協同組合連合会</t>
  </si>
  <si>
    <t>仙台市立病院</t>
  </si>
  <si>
    <t>旭川医科大学病院</t>
  </si>
  <si>
    <t>がん研有明病院</t>
  </si>
  <si>
    <t>山梨厚生病院</t>
  </si>
  <si>
    <t>公立藤岡総合病院</t>
  </si>
  <si>
    <t>平塚市民病院</t>
  </si>
  <si>
    <t>新小山市民病院</t>
  </si>
  <si>
    <t>地方独立行政法人新小山市民病院</t>
  </si>
  <si>
    <t>田中脳神経外科病院</t>
  </si>
  <si>
    <t>九段坂病院</t>
  </si>
  <si>
    <t>総合相模更生病院</t>
  </si>
  <si>
    <t>水戸医療センター</t>
  </si>
  <si>
    <t>さいたま市立看護学院</t>
  </si>
  <si>
    <t>さいたま市立高等看護学院</t>
  </si>
  <si>
    <t>アルフレッサメディカルサービス株式会社</t>
  </si>
  <si>
    <t>順天堂越谷病院</t>
  </si>
  <si>
    <t>順天堂大学医学部附属順天堂越谷病院</t>
  </si>
  <si>
    <t>さやま総合クリニック</t>
  </si>
  <si>
    <t>社会医療法人財団　石心会　さやま総合クリニック</t>
  </si>
  <si>
    <t>山梨県立中央病院</t>
  </si>
  <si>
    <t>国立病院機構関東信越ブロック</t>
  </si>
  <si>
    <t>同愛記念病院</t>
  </si>
  <si>
    <t>社会福祉法人同愛記念病院財団</t>
  </si>
  <si>
    <t>安曇野赤十字</t>
  </si>
  <si>
    <t>安曇野赤十字病院</t>
  </si>
  <si>
    <t>墨東病院</t>
  </si>
  <si>
    <t>東京都立墨東病院</t>
  </si>
  <si>
    <t>真岡病院</t>
  </si>
  <si>
    <t>大栄病院</t>
  </si>
  <si>
    <t>白十字総合病院</t>
  </si>
  <si>
    <t>東京家政大学</t>
  </si>
  <si>
    <t>防衛医科大学病院</t>
  </si>
  <si>
    <t>牛久愛和総合病院</t>
  </si>
  <si>
    <t>JA新潟県厚生連</t>
  </si>
  <si>
    <t>新潟県厚生農業協同組合連合会</t>
  </si>
  <si>
    <t>根岸病院</t>
  </si>
  <si>
    <t>医療法人社団根岸病院</t>
  </si>
  <si>
    <t>ひたち医療センター</t>
  </si>
  <si>
    <t>石和温泉病院</t>
  </si>
  <si>
    <t>医療法人石和温泉病院</t>
  </si>
  <si>
    <t>鹿嶋病院</t>
  </si>
  <si>
    <t>慈誠会　光が丘病院</t>
  </si>
  <si>
    <t>練馬光が丘病院</t>
  </si>
  <si>
    <t>入間川病院</t>
  </si>
  <si>
    <t>社会医療法人入間川病院</t>
  </si>
  <si>
    <t>春日部市立医療センター</t>
  </si>
  <si>
    <t>成田赤十字病院</t>
  </si>
  <si>
    <t>聖隷横浜病院</t>
  </si>
  <si>
    <t>川崎市立川崎病院</t>
  </si>
  <si>
    <t>筑波メディカルセンター</t>
  </si>
  <si>
    <t>公益財団法人筑波メディカルセンター</t>
  </si>
  <si>
    <t>獨協医科大学埼玉医療センター</t>
  </si>
  <si>
    <t>陵北病院</t>
  </si>
  <si>
    <t>東名厚木病院</t>
  </si>
  <si>
    <t>深谷赤十字病院</t>
  </si>
  <si>
    <t>済生会川口総合病院</t>
  </si>
  <si>
    <t>飯能老年病センター</t>
  </si>
  <si>
    <t>千葉しすい病院</t>
  </si>
  <si>
    <t>医療法人社団千葉光徳会千葉しすい病院</t>
  </si>
  <si>
    <t>土浦厚生病院</t>
  </si>
  <si>
    <t>健昌会</t>
  </si>
  <si>
    <t>医療法人健昌会</t>
  </si>
  <si>
    <t>新潟県けんこう財団</t>
  </si>
  <si>
    <t>一般財団法人新潟県けんこう財団</t>
  </si>
  <si>
    <t>河北総合病院</t>
  </si>
  <si>
    <t>日本医科大学付属病院</t>
  </si>
  <si>
    <t>関大一高MC</t>
  </si>
  <si>
    <t>関西大学第一高等学校</t>
  </si>
  <si>
    <t>空間デザイン</t>
  </si>
  <si>
    <t>大阪学院大学高等学校</t>
  </si>
  <si>
    <t>大手町病院MC</t>
  </si>
  <si>
    <t>大手町病院</t>
  </si>
  <si>
    <t>セカンドユニフォーム</t>
  </si>
  <si>
    <t>帝塚山学院泉ヶ丘中学校高等学校</t>
  </si>
  <si>
    <t>制服MC</t>
  </si>
  <si>
    <t>マイナーチェンジ</t>
  </si>
  <si>
    <t>学校法人大隈記念早稲田佐賀学園早稲田佐賀中学校・高等学校</t>
  </si>
  <si>
    <t>甲南高等学校・中学校</t>
  </si>
  <si>
    <t>学校法人三田学園三田学園中学校・高等学校</t>
  </si>
  <si>
    <t>広島市立病院機構</t>
  </si>
  <si>
    <t>地方独立行政法人広島市立病院機構</t>
  </si>
  <si>
    <t>春海会</t>
  </si>
  <si>
    <t>社会福祉法人春海会</t>
  </si>
  <si>
    <t>小泉病院</t>
  </si>
  <si>
    <t>特定医療法人仁康会小泉病院</t>
  </si>
  <si>
    <t>本郷中央病院</t>
  </si>
  <si>
    <t>新南陽市民病院</t>
  </si>
  <si>
    <t>公益財団法人周南市医療公社周南市立新南陽市民病院</t>
  </si>
  <si>
    <t>佐伯中央病院</t>
  </si>
  <si>
    <t>医療法人社団貴和会　佐伯中央病院</t>
  </si>
  <si>
    <t>興生総合病院</t>
  </si>
  <si>
    <t>社会医療法人里仁会興生総合病院</t>
  </si>
  <si>
    <t>三原病院</t>
  </si>
  <si>
    <t>特定医療法人大慈会三原病院</t>
  </si>
  <si>
    <t>倉敷老健</t>
  </si>
  <si>
    <t>社会医療法人全仁会倉敷老健倉敷在宅総合ケアセンター</t>
  </si>
  <si>
    <t>渡辺病院</t>
  </si>
  <si>
    <t>医療法人思誠会　渡辺病院</t>
  </si>
  <si>
    <t>山口大学医学部附属病院</t>
  </si>
  <si>
    <t>福山市民病院</t>
  </si>
  <si>
    <t>岐阜厚生サービス</t>
  </si>
  <si>
    <t>株式会社岐阜厚生サービス</t>
  </si>
  <si>
    <t>刈谷豊田総合病院</t>
  </si>
  <si>
    <t>医療法人豊田会刈谷豊田総合病院</t>
  </si>
  <si>
    <t>三重大学病院</t>
  </si>
  <si>
    <t>国立大学法人　三重大学医学部附属病院</t>
  </si>
  <si>
    <t>福井大学病院</t>
  </si>
  <si>
    <t>国立大学法人　福井大学医学部附属病院</t>
  </si>
  <si>
    <t>江南厚生病院</t>
  </si>
  <si>
    <t>ＪＡ愛知厚生連　江南厚生病院</t>
  </si>
  <si>
    <t>海南厚生病院</t>
  </si>
  <si>
    <t>愛知県厚生農業協同組合連合会海南病院</t>
  </si>
  <si>
    <t>稲沢厚生病院</t>
  </si>
  <si>
    <t>足助厚生病院</t>
  </si>
  <si>
    <t>JA愛知厚生連足助病院</t>
  </si>
  <si>
    <t>小山田記念温泉病院</t>
  </si>
  <si>
    <t>医療法人社団主体会小山田記念温泉病院</t>
  </si>
  <si>
    <t>桑名総合医療センター</t>
  </si>
  <si>
    <t>地方独立行政法人桑名市総合医療センター</t>
  </si>
  <si>
    <t>市立長浜病院</t>
  </si>
  <si>
    <t>大津市民病院</t>
  </si>
  <si>
    <t>地方独立行政法人市立大津市民病院</t>
  </si>
  <si>
    <t>滋賀県立総合病院</t>
  </si>
  <si>
    <t>済生会奈良病院</t>
  </si>
  <si>
    <t>京都ルネス病院</t>
  </si>
  <si>
    <t>大阪南医療センター</t>
  </si>
  <si>
    <t>京都府立医科大学附属病院</t>
  </si>
  <si>
    <t>京都府立医科大学付属病院</t>
  </si>
  <si>
    <t>宝塚市立病院</t>
  </si>
  <si>
    <t>美原病院</t>
  </si>
  <si>
    <t>医療法人好寿会美原病院</t>
  </si>
  <si>
    <t>姫路第一病院</t>
  </si>
  <si>
    <t>浜寺病院</t>
  </si>
  <si>
    <t>医療法人微風会浜寺病院</t>
  </si>
  <si>
    <t>有馬病院</t>
  </si>
  <si>
    <t>医療法人内海慈仁会有馬病院</t>
  </si>
  <si>
    <t>神戸大学医学部附属病院</t>
  </si>
  <si>
    <t>大阪医科薬科大学病院</t>
  </si>
  <si>
    <t>湘南　大野支店</t>
  </si>
  <si>
    <t>湘南農業協同組合</t>
  </si>
  <si>
    <t>メガネのハラダ</t>
  </si>
  <si>
    <t>株式会社メガネのハラダ</t>
  </si>
  <si>
    <t>丹波ささやま</t>
  </si>
  <si>
    <t>丹波ささやま農業協同組合</t>
  </si>
  <si>
    <t>前橋市</t>
  </si>
  <si>
    <t>前橋市農業協同組合</t>
  </si>
  <si>
    <t>北総産業　春</t>
  </si>
  <si>
    <t>北総産業株式会社</t>
  </si>
  <si>
    <t>ふじ伊豆　富士宮地区</t>
  </si>
  <si>
    <t>JAふじ伊豆</t>
  </si>
  <si>
    <t>佐波伊勢崎</t>
  </si>
  <si>
    <t>佐波伊勢崎農業協同組合</t>
  </si>
  <si>
    <t>ユニフォームニシジマ春</t>
  </si>
  <si>
    <t>株式会社ユニフォームニシジマ</t>
  </si>
  <si>
    <t>全農本所　採寸会</t>
  </si>
  <si>
    <t>全国農業協同組合連合会</t>
  </si>
  <si>
    <t>ふじ伊豆　富士地区</t>
  </si>
  <si>
    <t>東京むさし</t>
  </si>
  <si>
    <t>東京むさし農業協同組合</t>
  </si>
  <si>
    <t>安房（クールビズ）</t>
  </si>
  <si>
    <t>安房農業協同組合</t>
  </si>
  <si>
    <t>北つくば（買取）</t>
  </si>
  <si>
    <t>北つくば農業協同組合</t>
  </si>
  <si>
    <t>多野藤岡</t>
  </si>
  <si>
    <t>多野藤岡医療事務市町村組合立藤岡総合病院</t>
  </si>
  <si>
    <t>POコレクション</t>
  </si>
  <si>
    <t>茨城むつみ（前売り）</t>
  </si>
  <si>
    <t>茨城むつみ農業協同組合</t>
  </si>
  <si>
    <t>多気郡　春夏</t>
  </si>
  <si>
    <t>多気郡農業協同組合</t>
  </si>
  <si>
    <t>ふじ伊豆　御殿場地区本部</t>
  </si>
  <si>
    <t>氷見市　６月</t>
  </si>
  <si>
    <t>氷見市農業協同組合</t>
  </si>
  <si>
    <t>福島さくら　いわき・ふたば</t>
  </si>
  <si>
    <t>福島さくら農業協同組合</t>
  </si>
  <si>
    <t>成田市</t>
  </si>
  <si>
    <t>成田市農業協同組合</t>
  </si>
  <si>
    <t>ふじ伊豆（あいら伊豆 地区）</t>
  </si>
  <si>
    <t>伊勢　南紀</t>
  </si>
  <si>
    <t>伊勢農業協同組合</t>
  </si>
  <si>
    <t>Ｈｏｓａｋａ</t>
  </si>
  <si>
    <t>株式会社Hosaka</t>
  </si>
  <si>
    <t>会津よつば　いいで地区</t>
  </si>
  <si>
    <t>会津よつば農業協同組合</t>
  </si>
  <si>
    <t>茨城みなみ</t>
  </si>
  <si>
    <t>茨城みなみ農業協同組合</t>
  </si>
  <si>
    <t>いしのまき　夏（６月）</t>
  </si>
  <si>
    <t>いしのまき農業協同組合</t>
  </si>
  <si>
    <t>関東自動車（株）</t>
  </si>
  <si>
    <t>関東自動車株式会社</t>
  </si>
  <si>
    <t>たじま</t>
  </si>
  <si>
    <t>きたじま田岡病院</t>
  </si>
  <si>
    <t>東西しらかわ</t>
  </si>
  <si>
    <t>東西しらかわ農業協同組合</t>
  </si>
  <si>
    <t>西三河買取イベント</t>
  </si>
  <si>
    <t>西三河農業協同組合</t>
  </si>
  <si>
    <t>福島さくら　郡山</t>
  </si>
  <si>
    <t>朝日ガスエナジー</t>
  </si>
  <si>
    <t>朝日ガスエナジー株式会社</t>
  </si>
  <si>
    <t>コープ魚沼</t>
  </si>
  <si>
    <t>長正</t>
  </si>
  <si>
    <t>長生農業協同組合</t>
  </si>
  <si>
    <t>大阪宴</t>
  </si>
  <si>
    <t>JAジュエリー統合店</t>
  </si>
  <si>
    <t>はが野</t>
  </si>
  <si>
    <t>はが野農業協同組合</t>
  </si>
  <si>
    <t>庄内みどり</t>
  </si>
  <si>
    <t>JA庄内みどり</t>
  </si>
  <si>
    <t>埼玉中央</t>
  </si>
  <si>
    <t>静岡経済連　本所</t>
  </si>
  <si>
    <t>静岡県経済農業協同組合連合会</t>
  </si>
  <si>
    <t>北つくば</t>
  </si>
  <si>
    <t>北つくば農協葬祭株式会社</t>
  </si>
  <si>
    <t>角弘　本社　M</t>
  </si>
  <si>
    <t>株式会社角弘</t>
  </si>
  <si>
    <t>㈱富士野</t>
  </si>
  <si>
    <t>株式会社富士野</t>
  </si>
  <si>
    <t>ネクスト・ワン</t>
  </si>
  <si>
    <t>ネクスト・ワン株式会社</t>
  </si>
  <si>
    <t>ボンド商事</t>
  </si>
  <si>
    <t>ボンド商事株式会社</t>
  </si>
  <si>
    <t>茨城むつみ</t>
  </si>
  <si>
    <t>野川商事</t>
  </si>
  <si>
    <t>野川商事株式会社</t>
  </si>
  <si>
    <t>いちかわ</t>
  </si>
  <si>
    <t>市川市農業協同組合</t>
  </si>
  <si>
    <t>たかさき</t>
  </si>
  <si>
    <t>高崎市農業協同組合</t>
  </si>
  <si>
    <t>さいた南部ま（戸田支店）</t>
  </si>
  <si>
    <t>伊勢　本店・鳥羽志摩地区</t>
  </si>
  <si>
    <t>山武郡市</t>
  </si>
  <si>
    <t>山武郡市農業協同組合</t>
  </si>
  <si>
    <t>さいた南部ま（新田支店）</t>
  </si>
  <si>
    <t>さいた南部ま（新郷支店）</t>
  </si>
  <si>
    <t>全農兵庫</t>
  </si>
  <si>
    <t>角弘　拠点　M</t>
  </si>
  <si>
    <t>ユニフォームニシジマ秋</t>
  </si>
  <si>
    <t>土田商店　秋</t>
  </si>
  <si>
    <t>越谷市　M</t>
  </si>
  <si>
    <t>北総産業　秋</t>
  </si>
  <si>
    <t>甘楽富岡J</t>
  </si>
  <si>
    <t>甘楽富岡農業協同組合</t>
  </si>
  <si>
    <t>多気郡　秋冬</t>
  </si>
  <si>
    <t>あさか野（和光支店）</t>
  </si>
  <si>
    <t>南関東東京日野自動車（下期）</t>
  </si>
  <si>
    <t>南関東日野自動車株式会社</t>
  </si>
  <si>
    <t>あさか野（新座支店）昨年志木支店</t>
  </si>
  <si>
    <t>近新家具</t>
  </si>
  <si>
    <t>株式会社近新</t>
  </si>
  <si>
    <t>はぐくみ</t>
  </si>
  <si>
    <t>はぐくみ農業協同組合</t>
  </si>
  <si>
    <t>サンディミカミ</t>
  </si>
  <si>
    <t>株式会社サンディ</t>
  </si>
  <si>
    <t>北河内</t>
  </si>
  <si>
    <t>北河内農業協同組合</t>
  </si>
  <si>
    <t>あがつま</t>
  </si>
  <si>
    <t>あがつま農業協同組合</t>
  </si>
  <si>
    <t>ちばみどり（旭、そうさ）</t>
  </si>
  <si>
    <t>ちばみどり農業協同組合</t>
  </si>
  <si>
    <t>なのはな　秋</t>
  </si>
  <si>
    <t>なのはな農業協同組合</t>
  </si>
  <si>
    <t>ふじ伊豆御殿場地区ファッションふれあい広場</t>
  </si>
  <si>
    <t>炭平　東京</t>
  </si>
  <si>
    <t>ちちぶ</t>
  </si>
  <si>
    <t>ＪＡ高知県　香美地区</t>
  </si>
  <si>
    <t>JA高知県　香美地区</t>
  </si>
  <si>
    <t>おおいがわ　大富</t>
  </si>
  <si>
    <t>ふたば</t>
  </si>
  <si>
    <t>医療法人社団和恒会　ふたば病院</t>
  </si>
  <si>
    <t>大阪市</t>
  </si>
  <si>
    <t>JA津安芸</t>
  </si>
  <si>
    <t>安房</t>
  </si>
  <si>
    <t>安房地域医療センター</t>
  </si>
  <si>
    <t>越谷市　J</t>
  </si>
  <si>
    <t>おおいがわ　本店</t>
  </si>
  <si>
    <t>ふかや</t>
  </si>
  <si>
    <t>ＪＡ高知県　土長地区</t>
  </si>
  <si>
    <t>JA高知県　土長地区</t>
  </si>
  <si>
    <t>氷見市　１１月</t>
  </si>
  <si>
    <t>おおいがわ　島田</t>
  </si>
  <si>
    <t>㈱アサダ　11月</t>
  </si>
  <si>
    <t>アサダ株式会社</t>
  </si>
  <si>
    <t>いすみ</t>
  </si>
  <si>
    <t>いすみ医療センター</t>
  </si>
  <si>
    <t>いしのまき　秋（11月）</t>
  </si>
  <si>
    <t>おおいがわ　川根</t>
  </si>
  <si>
    <t>埼玉みずほ</t>
  </si>
  <si>
    <t>グリーン大阪</t>
  </si>
  <si>
    <t>グリーン大阪農業協同組合</t>
  </si>
  <si>
    <t>イワセキ</t>
  </si>
  <si>
    <t>イワセキ株式会社</t>
  </si>
  <si>
    <t>ＪＡ高知県　安芸地区</t>
  </si>
  <si>
    <t>高知県厚生農業協同組合連合会　ＪＡ高知病院</t>
  </si>
  <si>
    <t>エイコウ（よねおり）</t>
  </si>
  <si>
    <t>よねおりかんこうセンター</t>
  </si>
  <si>
    <t>新川ブロック展</t>
  </si>
  <si>
    <t>魚津市農業協同組合</t>
  </si>
  <si>
    <t>いみず野紳士オーダー展示会</t>
  </si>
  <si>
    <t>いみず野農業協同組合</t>
  </si>
  <si>
    <t>ふくしま未来（そうま）</t>
  </si>
  <si>
    <t>ふくしま未来農業協同組合</t>
  </si>
  <si>
    <t>北大阪</t>
  </si>
  <si>
    <t>医療法人成和会　北大阪ほうせんか病院</t>
  </si>
  <si>
    <t>【ジョナサン】2025春夏キャンペーン</t>
  </si>
  <si>
    <t>【フジオフード】SAM’S販売品バッグ</t>
  </si>
  <si>
    <t>株式会社フジオフードシステム</t>
  </si>
  <si>
    <t>【SBJ】2025年度 グリーンエプロン</t>
  </si>
  <si>
    <t>太平ビル　２３区ポロシャツ　Bマーク入れ</t>
  </si>
  <si>
    <t>太平ビルサービス株式会社</t>
  </si>
  <si>
    <t>常総ひかり事務服</t>
  </si>
  <si>
    <t>常総ひかり農業協同組合</t>
  </si>
  <si>
    <t>ちばみどり事務服</t>
  </si>
  <si>
    <t>2024-11-08 09:20:32 medical-総合カタログ</t>
  </si>
  <si>
    <t>レコードタイプなし</t>
  </si>
  <si>
    <t>株式会社廣瀬商会</t>
  </si>
  <si>
    <t>【ヤマナカ】Franteオリジナルバッグ</t>
  </si>
  <si>
    <t>株式会社ヤマナカ</t>
  </si>
  <si>
    <t>【スズキ】2025年　スイフトスポーツ成約記念品</t>
  </si>
  <si>
    <t>スズキ株式会社</t>
  </si>
  <si>
    <t>【ACRO】THREEポイントプログラム（ボトル）</t>
  </si>
  <si>
    <t>【ANA X】Diamond+more会員向け特典</t>
  </si>
  <si>
    <t>ANAX株式会社</t>
  </si>
  <si>
    <t>【いなげや】25年冬セルリキ企画</t>
  </si>
  <si>
    <t>株式会社いなげや</t>
  </si>
  <si>
    <t>【SBJ】勤続表彰リニューアル企画</t>
  </si>
  <si>
    <t>【事前】日本生命2025ニッセイグランプリ</t>
  </si>
  <si>
    <t>【キリン】スプリングバレー　ジャンバー</t>
  </si>
  <si>
    <t>キリンビール株式会社</t>
  </si>
  <si>
    <t>【トップス】26年4月導入MC</t>
  </si>
  <si>
    <t>株式会社トップス</t>
  </si>
  <si>
    <t>【ディーエイチシー】2025年5月エクオールCP</t>
  </si>
  <si>
    <t>DMノベルティ</t>
  </si>
  <si>
    <t>株式会社ケーズホールディングス</t>
  </si>
  <si>
    <t>2026福袋</t>
  </si>
  <si>
    <t>25夏福袋</t>
  </si>
  <si>
    <t>株式会社ゼンショーグローバルレストランホールディングス</t>
  </si>
  <si>
    <t>アルビオン：DR26SS制服</t>
  </si>
  <si>
    <t>【キャメル珈琲】2025年度いぬのお散歩バッグ</t>
  </si>
  <si>
    <t>メニュー修正</t>
  </si>
  <si>
    <t>【三井住友トラストクラブ】2026年度 26年BDギフト</t>
  </si>
  <si>
    <t>【BLIZZAK】2025年度リニューアル各種ウェア提案</t>
  </si>
  <si>
    <t>ブリヂストンタイヤソリューションジャパン株式会社</t>
  </si>
  <si>
    <t>【ファンケル店舗】2024年リニューアル店舗配布ノベルティ</t>
  </si>
  <si>
    <t>WAT2025年6月作業服MC</t>
  </si>
  <si>
    <t>株式会社ウェーブロック・アドバンスト・テクノロジー</t>
  </si>
  <si>
    <t>【POLA】2025年度7月CP</t>
  </si>
  <si>
    <t>【パーソルテンプスタッフ】2026テンプの日</t>
  </si>
  <si>
    <t>【明治】VAAM　ガチャピンコラボタオル</t>
  </si>
  <si>
    <t>株式会社明治</t>
  </si>
  <si>
    <t>MAZAK：作業服マイナーチェンジ</t>
  </si>
  <si>
    <t>ヤマザキマザック株式会社</t>
  </si>
  <si>
    <t>店舗コスチュームリニューアル</t>
  </si>
  <si>
    <t>株式会社モスフードサービス</t>
  </si>
  <si>
    <t>【鎌倉製作所】休憩所改修</t>
  </si>
  <si>
    <t>【ジョリーパスタ】2026年　冬福袋</t>
  </si>
  <si>
    <t>【ジョリーパスタ】2025年　閑散期来店促進CP</t>
  </si>
  <si>
    <t>いがふるさと紳士展示会</t>
  </si>
  <si>
    <t>伊賀ふるさと農業協同組合</t>
  </si>
  <si>
    <t>みな穂農業協同組合</t>
  </si>
  <si>
    <t>アルプス農業協同組合</t>
  </si>
  <si>
    <t>日産株式会社</t>
  </si>
  <si>
    <t>[シャトレーゼ]25年サマーバッグ</t>
  </si>
  <si>
    <t>2026年ファンクラブ入会特典品</t>
  </si>
  <si>
    <t>株式会社ファイターズスポーツ&amp;エンターテイメント</t>
  </si>
  <si>
    <t>【パナソニック】2025年度 ハヤワザリニューアルポロシャツ</t>
  </si>
  <si>
    <t>パナソニック株式会社</t>
  </si>
  <si>
    <t>【SBJ】SAKURAテラスノベルティ</t>
  </si>
  <si>
    <t>【オリーブの丘】2025　母の日福袋</t>
  </si>
  <si>
    <t>株式会社オリーブの丘</t>
  </si>
  <si>
    <t>【シミズオクト】2025年秋冬スタッフ向けブルゾン</t>
  </si>
  <si>
    <t>株式会社シミズオクト</t>
  </si>
  <si>
    <t>【キャメル珈琲】2025年度 りんごバッグ</t>
  </si>
  <si>
    <t>【キャメル珈琲】2025年度 コーヒーの日</t>
  </si>
  <si>
    <t>【アサヒ飲料】新WONDAスタッフブルゾン（25年3月納品）</t>
  </si>
  <si>
    <t>アサヒ飲料株式会社</t>
  </si>
  <si>
    <t>【河合楽器】カワイ音楽教室70周年レッスンバッグモデルチェンジ(26年1月納品)</t>
  </si>
  <si>
    <t>株式会社河合楽器製作所</t>
  </si>
  <si>
    <t>【なか卯】2025年　夏福袋</t>
  </si>
  <si>
    <t>株式会社なか卯</t>
  </si>
  <si>
    <t>銀座ライオン　2026MC</t>
  </si>
  <si>
    <t>株式会社サッポロライオン</t>
  </si>
  <si>
    <t>【ファンケル通販】2025年6月アクネケアプレゼント品</t>
  </si>
  <si>
    <t>【壱番屋】2026年度　福袋</t>
  </si>
  <si>
    <t>株式会社壱番屋</t>
  </si>
  <si>
    <t>【キャメル珈琲】2026年度　コーヒー福袋</t>
  </si>
  <si>
    <t>auショップ タブレット端末ケースリニューアル</t>
  </si>
  <si>
    <t>インバウンド向け</t>
  </si>
  <si>
    <t>株式会社オンデーズ</t>
  </si>
  <si>
    <t>既製品ハット</t>
  </si>
  <si>
    <t>アイケイケイMC</t>
  </si>
  <si>
    <t>アイ・ケイ・ケイホールディングス株式会社</t>
  </si>
  <si>
    <t>秦病院MC</t>
  </si>
  <si>
    <t>医療法人社団秦病院</t>
  </si>
  <si>
    <t>福岡青洲会病院</t>
  </si>
  <si>
    <t>【SBJ】営業インセンティブ企画</t>
  </si>
  <si>
    <t>【キリンビバレッジ】2025年_生茶営業用JR案件</t>
  </si>
  <si>
    <t>25年9月MC案件</t>
  </si>
  <si>
    <t>電気興業株式会社</t>
  </si>
  <si>
    <t>防寒ブルゾンリニューアル</t>
  </si>
  <si>
    <t>B-Rサーティワンアイスクリーム株式会社</t>
  </si>
  <si>
    <t>【ビッグボーイ】2025年　夏福袋</t>
  </si>
  <si>
    <t>株式会社ビッグボーイジャパン</t>
  </si>
  <si>
    <t>[シャトレーゼ]25年工場用包材（ハロウィン向け）</t>
  </si>
  <si>
    <t>【コストコ】2025年_スタッフ用ベスト</t>
  </si>
  <si>
    <t>コストコホールセールジャパン株式会社</t>
  </si>
  <si>
    <t>【ハーバー研究所】福袋2026</t>
  </si>
  <si>
    <t>【アテニア】2025冬キャンペーン</t>
  </si>
  <si>
    <t>【ファンケル通販】2025年8月号ホワイトニングCP</t>
  </si>
  <si>
    <t>【天下一品】2025　天一祭り</t>
  </si>
  <si>
    <t>【TBC】従業員UN</t>
  </si>
  <si>
    <t>【ハーバー研究所】2025年ハッピーハーバー</t>
  </si>
  <si>
    <t>【イオン】2025年 超ナツ夏祭り</t>
  </si>
  <si>
    <t>【POLA】2025年 外商用ノベルティ</t>
  </si>
  <si>
    <t>エルダープログラム会員ノベルティ</t>
  </si>
  <si>
    <t>株式会社三井住友銀行</t>
  </si>
  <si>
    <t>【HABA】2026年4月導入MC</t>
  </si>
  <si>
    <t>株式会社北海道日本ハムファイターズ</t>
  </si>
  <si>
    <t>【JNTL】2025年度 25年CL6月号</t>
  </si>
  <si>
    <t>積水化学工業〈作業服〉</t>
  </si>
  <si>
    <t>積水化学工業株式会社</t>
  </si>
  <si>
    <t>【阪神タイガース】2026年ファンクラブ特典品</t>
  </si>
  <si>
    <t>車いす制服</t>
  </si>
  <si>
    <t>セントラル警備保障株式会社</t>
  </si>
  <si>
    <t>【キャメル珈琲】2025年度 ウィンターバッグ</t>
  </si>
  <si>
    <t>伊藤園　男性用（ベンダー）制服リニューアル</t>
  </si>
  <si>
    <t>株式会社伊藤園</t>
  </si>
  <si>
    <t>【SBJ】ROASTERY TOKYO FALL</t>
  </si>
  <si>
    <t>【ACRO】THREE 25年度冬GWP</t>
  </si>
  <si>
    <t>26　焼肉きんぐ福袋</t>
  </si>
  <si>
    <t>株式会社レインズインターナショナル</t>
  </si>
  <si>
    <t>【イオンサヴール】NEW保冷バッグ</t>
  </si>
  <si>
    <t>イオンサヴール株式会社</t>
  </si>
  <si>
    <t>【ヒューマンアカデミー】ロボット教室入会特典</t>
  </si>
  <si>
    <t>ヒューマンアカデミー株式会社</t>
  </si>
  <si>
    <t>【TOTO】2025SR向けノベルティ</t>
  </si>
  <si>
    <t>作業服（冬服）</t>
  </si>
  <si>
    <t>作業服MC</t>
  </si>
  <si>
    <t>株式会社長谷工コーポレーション</t>
  </si>
  <si>
    <t>【ヤクルト球団】2025年6月‗レディースデイ</t>
  </si>
  <si>
    <t>株式会社ヤクルト球団</t>
  </si>
  <si>
    <t>[シャトレーゼ]25年おいもバッグ</t>
  </si>
  <si>
    <t>長尾病院看護部、看護助手MC</t>
  </si>
  <si>
    <t>長尾病院</t>
  </si>
  <si>
    <t>【JNTL】2025年度 25年CL7,8,9月号</t>
  </si>
  <si>
    <t>【キャメル珈琲】2025年 モンスターポーチ</t>
  </si>
  <si>
    <t>キッチン上位スタッフキャップ</t>
  </si>
  <si>
    <t>【TBC】2025年　50周年お年賀</t>
  </si>
  <si>
    <t>【ベイスターズ】2026年　ファンクラブ入会特典</t>
  </si>
  <si>
    <t>株式会社横浜DeNAベイスターズ</t>
  </si>
  <si>
    <t>【リーガル】2025　テディベア</t>
  </si>
  <si>
    <t>【SBJ】ベアリスタ</t>
  </si>
  <si>
    <t>【ヤクルト球団】2026年ファンクラブ</t>
  </si>
  <si>
    <t>エアクロ新規登録促進施策　福岡トライアル</t>
  </si>
  <si>
    <t>アデコ株式会社</t>
  </si>
  <si>
    <t>【ドラゴンズ】2026年FC入会特典</t>
  </si>
  <si>
    <t>株式会社中日ドラゴンズ</t>
  </si>
  <si>
    <t>キャンディボックス(CB)</t>
  </si>
  <si>
    <t>富国生命保険相互会社</t>
  </si>
  <si>
    <t>リブランディング改定メニュー</t>
  </si>
  <si>
    <t>【SBJ】2025年度 ミニカップギフト</t>
  </si>
  <si>
    <t>【サントリーウエルネス】トライアルポーチ</t>
  </si>
  <si>
    <t>サントリーウエルネス株式会社</t>
  </si>
  <si>
    <t>【タカベーカリー】2025年度 ダークチェリーパイエコバッグ</t>
  </si>
  <si>
    <t>株式会社タカキベーカリー</t>
  </si>
  <si>
    <t>【アムウェイ】2025年12月_クリスマスギフト</t>
  </si>
  <si>
    <t>日本アムウェイ合同会社</t>
  </si>
  <si>
    <t>【アトム】2026年度 福袋</t>
  </si>
  <si>
    <t>アトム株式会社</t>
  </si>
  <si>
    <t>【ハーバー研究所】2025年夏キャンペーン</t>
  </si>
  <si>
    <t>【キリンビバレッジ】2025年5月_スタッフ向けジャンバー</t>
  </si>
  <si>
    <t>中国電力〈作業服〉</t>
  </si>
  <si>
    <t>【第一興商】2026年福袋</t>
  </si>
  <si>
    <t>株式会社第一興商</t>
  </si>
  <si>
    <t>2025年販売品自主提案</t>
  </si>
  <si>
    <t>株式会社セコマ</t>
  </si>
  <si>
    <t>【日清食品】2025年11月_中本抽選CP_スカジャン</t>
  </si>
  <si>
    <t>改訂版リブランディングメニュー</t>
  </si>
  <si>
    <t>2025（ASTALIFT）VIP向けノベルティ</t>
  </si>
  <si>
    <t>株式会社富士フィルムラボラトリー</t>
  </si>
  <si>
    <t>2025（ASTALIFT）トライアルキット用ノベルティ</t>
  </si>
  <si>
    <t>2025-03-12 11:31:08 medical-総合カタログ</t>
  </si>
  <si>
    <t>大和徳洲会病院</t>
  </si>
  <si>
    <t>【アサヒ飲料】自販機部隊営業用ブルゾン（8月）</t>
  </si>
  <si>
    <t>【イオンペット】2026年度 PETEMO福袋</t>
  </si>
  <si>
    <t>イオンペット株式会社</t>
  </si>
  <si>
    <t>【アイビーカンパニー】2026アフタヌーンティー福袋</t>
  </si>
  <si>
    <t>アイビーカンパニー株式会社</t>
  </si>
  <si>
    <t>北九州総合病院、上のみMC</t>
  </si>
  <si>
    <t>北九州総合病院</t>
  </si>
  <si>
    <t>長崎みなとメディカルMC</t>
  </si>
  <si>
    <t>長崎みなとメディカルセンター</t>
  </si>
  <si>
    <t>福岡リハビリテーション病院MC</t>
  </si>
  <si>
    <t>福岡リハビリテーション病院</t>
  </si>
  <si>
    <t>白十字病院MC</t>
  </si>
  <si>
    <t>社会医療法人財団白十字会　白十字病院</t>
  </si>
  <si>
    <t>【ハーバー研究所】2025年_冬キャンペーン</t>
  </si>
  <si>
    <t>近畿車輛</t>
  </si>
  <si>
    <t>近畿車輛株式会社</t>
  </si>
  <si>
    <t>【SBJ】FY26 HOL2_ボトルショルダーバッグ</t>
  </si>
  <si>
    <t>【SBJ】26年福袋バッグ＆グッズ</t>
  </si>
  <si>
    <t>【キャメル珈琲】2026年度 いちごバッグ</t>
  </si>
  <si>
    <t>【JNTL】2025年度 25年CL10,11,12,1月号</t>
  </si>
  <si>
    <t>【ファンケル通販】2025年ベースメイクフェア</t>
  </si>
  <si>
    <t>【フジオフード】　2026年福袋</t>
  </si>
  <si>
    <t>【TOTO】2025年施工店向けポロシャツ</t>
  </si>
  <si>
    <t>【LIXIL】2025エクステリアジャンパーCP</t>
  </si>
  <si>
    <t>株式会社LIXIL</t>
  </si>
  <si>
    <t>【LIXIL】2025exsior社員用ジャンパー</t>
  </si>
  <si>
    <t>【JNTL】2025年度 25年クリスマスコフレ</t>
  </si>
  <si>
    <t>【SBJ】4Q営業インセンティブグッズ</t>
  </si>
  <si>
    <t>【メガネトップ】眼鏡市場2026福袋</t>
  </si>
  <si>
    <t>株式会社メガネトップ</t>
  </si>
  <si>
    <t>【サンリオ/三井住友カード】2025キティサンクスクリスマス</t>
  </si>
  <si>
    <t>株式会社サンリオ</t>
  </si>
  <si>
    <t>【タリーズ】26HB</t>
  </si>
  <si>
    <t>タリーズコーヒージャパン株式会社</t>
  </si>
  <si>
    <t>26年10月MC</t>
  </si>
  <si>
    <t>京成建設株式会社</t>
  </si>
  <si>
    <t>【七葉】2026nana's福袋</t>
  </si>
  <si>
    <t>株式会社七葉</t>
  </si>
  <si>
    <t>【読売巨人軍】26年FC入会特典</t>
  </si>
  <si>
    <t>株式会社読売巨人軍</t>
  </si>
  <si>
    <t>体育スクール　販売用体操服</t>
  </si>
  <si>
    <t>山九グループユニフォームMC</t>
  </si>
  <si>
    <t>山九株式会社</t>
  </si>
  <si>
    <t>株式会社不動テトラ</t>
  </si>
  <si>
    <t>26年度sakura club入会特典品</t>
  </si>
  <si>
    <t>ジャパンラグビーマーケティング株式会社</t>
  </si>
  <si>
    <t>26年度来場特典品</t>
  </si>
  <si>
    <t>【リンガーハット】26年冬福袋</t>
  </si>
  <si>
    <t>株式会社リンガーハット</t>
  </si>
  <si>
    <t>VIマニュアル</t>
  </si>
  <si>
    <t>2025年秋冬　販売会社向け斡旋グッズ</t>
  </si>
  <si>
    <t>【 LINDT】2025年度 ホリデーバッグ</t>
  </si>
  <si>
    <t>LINDT &amp; SPRUNGLI JAPAN株式会社</t>
  </si>
  <si>
    <t>【ビッグボーイジャパン】2026年　冬福袋</t>
  </si>
  <si>
    <t>【なか卯】2026年　冬福袋</t>
  </si>
  <si>
    <t>【読売巨人軍】2026年ファンクラブ早期入会</t>
  </si>
  <si>
    <t>【ECC】2026年　入学進級CP</t>
  </si>
  <si>
    <t>【しまむら】2025年 下期ノベルティ</t>
  </si>
  <si>
    <t>株式会社しまむら</t>
  </si>
  <si>
    <t>【LINDT】2026年度_福袋</t>
  </si>
  <si>
    <t>【SBJ】2026年度 グリーンエプロン（再）※25年10月発注</t>
  </si>
  <si>
    <t>【SBJ】2025年度 オンラインギフトバッグ</t>
  </si>
  <si>
    <t>【SBJ】2025年度 FY26 Afterwaord コーヒーグラウンズ</t>
  </si>
  <si>
    <t>27年10月サービスガイド制服MC</t>
  </si>
  <si>
    <t>タイムズサービス株式会社</t>
  </si>
  <si>
    <t>【イオン】2025年ブラックフライデー</t>
  </si>
  <si>
    <t>【ココス】2026年冬福袋</t>
  </si>
  <si>
    <t>【タリーズ】25ハグミーボトル</t>
  </si>
  <si>
    <t>26年バースデーＤＭプレゼント</t>
  </si>
  <si>
    <t>2025　秋のsmilebox企画</t>
  </si>
  <si>
    <t>【カーブス】26年お誕生日グッズ</t>
  </si>
  <si>
    <t>株式会社カーブスジャパン</t>
  </si>
  <si>
    <t>26年4月信州大学医学部附属病院</t>
  </si>
  <si>
    <t>信州大学医学部附属病院</t>
  </si>
  <si>
    <t>体操教室　販売レオタード</t>
  </si>
  <si>
    <t>パーソナルトレーナー用　ポロシャツ　リニューアル</t>
  </si>
  <si>
    <t>【鹿島アントラーズ】26年FC入会特典</t>
  </si>
  <si>
    <t>株式会社鹿島アントラーズ・エフ・シー</t>
  </si>
  <si>
    <t>【ドトールコーヒー】2026年初荷</t>
  </si>
  <si>
    <t>ご挨拶、お打合せ</t>
  </si>
  <si>
    <t>10.SC</t>
  </si>
  <si>
    <t>テスト株式会社</t>
  </si>
  <si>
    <t>2026MC/ブルゾン・パンツ・キャップ</t>
  </si>
  <si>
    <t>23区　幕張アウトレット</t>
  </si>
  <si>
    <t>株式会社オンワード樫山</t>
  </si>
  <si>
    <t>テスト案件</t>
  </si>
  <si>
    <t>株式会社オンワードホールディングス</t>
  </si>
  <si>
    <t>23区</t>
  </si>
  <si>
    <t>福屋本店　オンワードクローゼットセレクト 改装工事</t>
  </si>
  <si>
    <t>【アテニア】26年春CP</t>
  </si>
  <si>
    <t>2026年感謝ギフト</t>
  </si>
  <si>
    <t>株式会社ダスキン</t>
  </si>
  <si>
    <t>【アンデルセン】2026年度 お楽しみ袋</t>
  </si>
  <si>
    <t>株式会社アンデルセン</t>
  </si>
  <si>
    <t>25年‐26年　年末年始福袋</t>
  </si>
  <si>
    <t>【タカキベーカリー】2026年 リトマの日</t>
  </si>
  <si>
    <t>東京地区社員販売会</t>
  </si>
  <si>
    <t>キッズスペース　の追加工事</t>
  </si>
  <si>
    <t>ゆうなぎ歯科こども歯科</t>
  </si>
  <si>
    <t>23区aoyama</t>
  </si>
  <si>
    <t>ファンケル_2026年3月ご愛顧感謝CP</t>
  </si>
  <si>
    <t>【東急】東急ホテルズユニフォーム</t>
  </si>
  <si>
    <t>東急ホテルズ＆リゾーツ株式会社</t>
  </si>
  <si>
    <t>【キャメル珈琲】2026年度 カカオの森のペンケース</t>
  </si>
  <si>
    <t>【文理】2026年　ワークケース、付録</t>
  </si>
  <si>
    <t>株式会社文理</t>
  </si>
  <si>
    <t>【トーヨータイヤ】2025年　冬タイヤ（OBZERVE）販促ノベルティ</t>
  </si>
  <si>
    <t>株式会社トーヨータイヤジャパン</t>
  </si>
  <si>
    <t>ポロシャツデザイン変え</t>
  </si>
  <si>
    <t>【SBJ】2025年度 FY26HOLベアリスタギフト</t>
  </si>
  <si>
    <t>【POLA】銀座店販売用トート</t>
  </si>
  <si>
    <t>【森永乳業】25年マウントレーニアマイレージCP</t>
  </si>
  <si>
    <t>森永乳業株式会社</t>
  </si>
  <si>
    <t>大和ギフトSHOP</t>
  </si>
  <si>
    <t>株式会社大和</t>
  </si>
  <si>
    <t>販促キャンペーン</t>
  </si>
  <si>
    <t>関西ペイント株式会社</t>
  </si>
  <si>
    <t>2026年福袋</t>
  </si>
  <si>
    <t>【関東マツダ（マツダ）】2026年福袋</t>
  </si>
  <si>
    <t>エアクロ施策　名古屋</t>
  </si>
  <si>
    <t>TOTO2028年1月更新ショールーム制服</t>
  </si>
  <si>
    <t>阪急メンズ館JOSEPH</t>
  </si>
  <si>
    <t>イオンモール福岡</t>
  </si>
  <si>
    <t>株式会社オンワードパーソナルスタイル</t>
  </si>
  <si>
    <t>イオンモール広島府中</t>
  </si>
  <si>
    <t>阪急本店JOSEPH</t>
  </si>
  <si>
    <t>神戸ハーバーランド</t>
  </si>
  <si>
    <t>西宮ガーデンズUNFILO</t>
  </si>
  <si>
    <t>池袋東武カステルバジャック</t>
  </si>
  <si>
    <t>株式会社レナウン</t>
  </si>
  <si>
    <t>J.PRESS　幕張アウトレット</t>
  </si>
  <si>
    <t>J.PRESS　御殿場アウトレット</t>
  </si>
  <si>
    <t>阪急本店　LEONARD</t>
  </si>
  <si>
    <t>三共生興ファッションサービス株式会社</t>
  </si>
  <si>
    <t>京都高島屋　LEONARD</t>
  </si>
  <si>
    <t>【ACRO】THREE梱包資材（リピート）変更⇒レザー巾着</t>
  </si>
  <si>
    <t>ファンケル2026年2月CP</t>
  </si>
  <si>
    <t>ゆめタウン廿日市　オンワードクローゼットセレクト改装工事</t>
  </si>
  <si>
    <t>サンメッセ香川オンワードファミリーセール</t>
  </si>
  <si>
    <t>福屋駅前店　オンワードクローゼットセレクト改装工事</t>
  </si>
  <si>
    <t>[シャトレーゼ]25年クリスマスバッグ</t>
  </si>
  <si>
    <t>[シャトレーゼ]　ギフト包材自主提案</t>
  </si>
  <si>
    <t>阪急本店JOSEPH仮設売場</t>
  </si>
  <si>
    <t>Joseph Joseph株式会社</t>
  </si>
  <si>
    <t>【日本郵政】外務服MC</t>
  </si>
  <si>
    <t>日本郵政株式会社</t>
  </si>
  <si>
    <t>2026ファンクラブ会員特典～タオル～</t>
  </si>
  <si>
    <t>オリックス野球クラブ株式会社</t>
  </si>
  <si>
    <t>仙台地区社員販売会</t>
  </si>
  <si>
    <t>京都高島屋アクアスキュータム</t>
  </si>
  <si>
    <t>引渡し</t>
  </si>
  <si>
    <t>三菱地所・サイモン株式会社</t>
  </si>
  <si>
    <t>【メナード化粧品】2026年オータムキャンペーン</t>
  </si>
  <si>
    <t>日本メナード化粧品株式会社</t>
  </si>
  <si>
    <t>【ブロンコビリー】2026年冬福袋</t>
  </si>
  <si>
    <t>大和　dozo什器</t>
  </si>
  <si>
    <t>アイシティ井上　改装</t>
  </si>
  <si>
    <t>OCS　亀戸クロック改装工事</t>
  </si>
  <si>
    <t>宗永歯科</t>
  </si>
  <si>
    <t>【キャメル珈琲】2026年度 春のコーヒーバッグ</t>
  </si>
  <si>
    <t>【西武・プリンスホテルズワールドワイド】新ホテルUN</t>
  </si>
  <si>
    <t>株式会社プリンスホテル</t>
  </si>
  <si>
    <t>2026年継続特典ノベルティ</t>
  </si>
  <si>
    <t>株式会社ハルメク</t>
  </si>
  <si>
    <t>2026冬キャッシュバックノベルティCP</t>
  </si>
  <si>
    <t>株式会社イエローハット</t>
  </si>
  <si>
    <t>【SBS】安全運転ジャンパー</t>
  </si>
  <si>
    <t>サントリービバレッジソリューション株式会社</t>
  </si>
  <si>
    <t>２３区　青山・梅田阪急</t>
  </si>
  <si>
    <t>チャコット既存店ロゴ交換</t>
  </si>
  <si>
    <t>チャコット株式会社</t>
  </si>
  <si>
    <t>UNFILOザッカ展開</t>
  </si>
  <si>
    <t>uncravePOPUP</t>
  </si>
  <si>
    <t>東筑病院　看護師制服MC</t>
  </si>
  <si>
    <t>東筑病院</t>
  </si>
  <si>
    <t>行橋厚生病院　看護師制服MC</t>
  </si>
  <si>
    <t>医療法人財団つばさ行橋厚生病院</t>
  </si>
  <si>
    <t>看護師制服MC</t>
  </si>
  <si>
    <t>和仁会病院</t>
  </si>
  <si>
    <t>社会医療法人長崎記念病院</t>
  </si>
  <si>
    <t>幕張アウトレット</t>
  </si>
  <si>
    <t>大和高輪ゲートウェイ出店</t>
  </si>
  <si>
    <t>ONWARD CROSSET Select</t>
  </si>
  <si>
    <t>阪急本店アクアスキュータム</t>
  </si>
  <si>
    <t>倉敷天満屋オンワードショップ</t>
  </si>
  <si>
    <t>DAKS　POP-UPSHOP　AW</t>
  </si>
  <si>
    <t>第三カンパニー展示会</t>
  </si>
  <si>
    <t>テスト案件01</t>
  </si>
  <si>
    <t>テスト案件02</t>
  </si>
  <si>
    <t>フロント制服MC</t>
  </si>
  <si>
    <t>アパホテル株式会社</t>
  </si>
  <si>
    <t>【キャメル珈琲】2026年度 レモンバッグ</t>
  </si>
  <si>
    <t>藤井歯科</t>
  </si>
  <si>
    <t>【SBJ】FY26 WIN2 猫ポーチ</t>
  </si>
  <si>
    <t>【SBJ】FY26 SUM2 47都道府県バック＆ステッカー</t>
  </si>
  <si>
    <t>【SBJ】FY26 SUM1 30周年記念セット</t>
  </si>
  <si>
    <t>【SBJ】FY26 コーヒーマストバイ・アソート資材</t>
  </si>
  <si>
    <t>【SBJ】FY26 ホリデーTシャツ</t>
  </si>
  <si>
    <t>【三井化学】コストダウン　事前取組</t>
  </si>
  <si>
    <t>三井化学株式会社</t>
  </si>
  <si>
    <t>ファンケル_通販2026年2月号メンラインプレゼント施策</t>
  </si>
  <si>
    <t>【なか卯】2026冬福袋</t>
  </si>
  <si>
    <t>リケンNPR柏崎事業所　オフィス空間</t>
  </si>
  <si>
    <t>リケンＮＰＲ株式会社</t>
  </si>
  <si>
    <t>2027年福袋</t>
  </si>
  <si>
    <t>株式会社サンクゼール</t>
  </si>
  <si>
    <t>阪急本店SALON 23区</t>
  </si>
  <si>
    <t>26年4月MC案件</t>
  </si>
  <si>
    <t>株式会社マルハニチロ物流</t>
  </si>
  <si>
    <t>北海道旅客鉄道　接客制服</t>
  </si>
  <si>
    <t>北海道旅客鉄道株式会社</t>
  </si>
  <si>
    <t>【HOYA株式会社】年末ケア用品福袋</t>
  </si>
  <si>
    <t>HOYA株式会社</t>
  </si>
  <si>
    <t>国際事業部　社員、販売店用アパレル</t>
  </si>
  <si>
    <t>【日清食品】2025年_カップヌードルJR</t>
  </si>
  <si>
    <t>【POLA】27年百貨店ユニフォーム</t>
  </si>
  <si>
    <t>【東邦HD】26年　作業服</t>
  </si>
  <si>
    <t>東邦ホールディングス株式会社</t>
  </si>
  <si>
    <t>レナウン株式会社</t>
  </si>
  <si>
    <t>全農兵庫引継ぎ</t>
  </si>
  <si>
    <t>オンワード福岡社販設営</t>
  </si>
  <si>
    <t>オンワード福岡社販</t>
  </si>
  <si>
    <t>【リーガル】2026春キャンペーン</t>
  </si>
  <si>
    <t>2026春キャッシュバックノベルティCP</t>
  </si>
  <si>
    <t>【花王】撮影スポット用ビッグうさちゃん</t>
  </si>
  <si>
    <t>【コストコHSJ】2026年_会員向け継続特典</t>
  </si>
  <si>
    <t>【ハーバー研究所】2025年_年末キャンペーン</t>
  </si>
  <si>
    <t>【ハーバー研究所】2025年3月GWP</t>
  </si>
  <si>
    <t>【ディーエイチシー】2025年11月コスメ施策</t>
  </si>
  <si>
    <t>【SBJ】FY26営業インセンティブグッズ</t>
  </si>
  <si>
    <t>【SBJ】FY26  SAKURA</t>
  </si>
  <si>
    <t>【TOHOシネマズ】帽子・エプロン　モデルチェンジ</t>
  </si>
  <si>
    <t>テスト案件03</t>
  </si>
  <si>
    <t>26年　BDギフト</t>
  </si>
  <si>
    <t>株式会社パソナハートフル</t>
  </si>
  <si>
    <t>26年　ギブアウェイ</t>
  </si>
  <si>
    <t>株式会社西武ライオンズ</t>
  </si>
  <si>
    <t>【淀川製鋼所】2025キャンペーンジャンパー</t>
  </si>
  <si>
    <t>株式会社淀川製鋼所</t>
  </si>
  <si>
    <t>CIマニュアル</t>
  </si>
  <si>
    <t>【はま寿司】はまっこセットキャンペーン</t>
  </si>
  <si>
    <t>【阪神タイガース】2026年TORACO</t>
  </si>
  <si>
    <t>【エランコジャパン】2026年処方サポートグッズ</t>
  </si>
  <si>
    <t>イオンモール仙台上杉</t>
  </si>
  <si>
    <t>【エスビック】2025冬セール</t>
  </si>
  <si>
    <t>エスビック株式会社</t>
  </si>
  <si>
    <t>25‐26アプリスタンプキャンペーン</t>
  </si>
  <si>
    <t>消防検査</t>
  </si>
  <si>
    <t>ジュンク堂50周年企画</t>
  </si>
  <si>
    <t>株式会社丸善ジュンク堂書店</t>
  </si>
  <si>
    <t>全農大阪</t>
  </si>
  <si>
    <t>オンワード　大阪社販</t>
  </si>
  <si>
    <t>【SBJ】FY26WIN2ベアリスタメッセージギフト</t>
  </si>
  <si>
    <t>【SBJ】ロースタリーギフトバッグ</t>
  </si>
  <si>
    <t>【NEWART】銀座ダイヤモンドシライシ_今治タオルお年賀ギフト</t>
  </si>
  <si>
    <t>【NEWART】銀座ダイヤモンドシライシご来店＆ご成約特典2026~</t>
  </si>
  <si>
    <t>【東横イン】40周年式典記念品</t>
  </si>
  <si>
    <t>株式会社東横イン</t>
  </si>
  <si>
    <t>乗務員ユニフォーム</t>
  </si>
  <si>
    <t>スカイマーク株式会社</t>
  </si>
  <si>
    <t>仲川歯科</t>
  </si>
  <si>
    <t>株式会社モリタ</t>
  </si>
  <si>
    <t>【キャメル珈琲】2026年度 夏のコーヒーバッグ</t>
  </si>
  <si>
    <t>【JNTL】2025年度 26年CL3,4月号</t>
  </si>
  <si>
    <t>【楽天モバイル】ポロシャツリニューアル</t>
  </si>
  <si>
    <t>楽天モバイル株式会社</t>
  </si>
  <si>
    <t>11-12月CP</t>
  </si>
  <si>
    <t>銀座ステファニー化粧品株式会社</t>
  </si>
  <si>
    <t>2026年1Q営業支援グッズ</t>
  </si>
  <si>
    <t>住友生命保険相互会社</t>
  </si>
  <si>
    <t>2026年未来応援サービス</t>
  </si>
  <si>
    <t>【ロピア】2025ポイント交換ノベルティ</t>
  </si>
  <si>
    <t>株式会社ロピア</t>
  </si>
  <si>
    <t>AQUA店舗制服</t>
  </si>
  <si>
    <t>株式会社AQUA</t>
  </si>
  <si>
    <t>三井不動産商業マネジメント</t>
  </si>
  <si>
    <t>三井不動産商業マネジメント株式会社</t>
  </si>
  <si>
    <t>長崎浜屋KASHIYAMA</t>
  </si>
  <si>
    <t>2026　春夏キャップ</t>
  </si>
  <si>
    <t>2026年福箱</t>
  </si>
  <si>
    <t>【アイビーカンパニー】2026アフタヌーンティ夏福袋</t>
  </si>
  <si>
    <t>アルビオン：IG26SS</t>
  </si>
  <si>
    <t>アルビオン：AL26AW</t>
  </si>
  <si>
    <t>IG26AW</t>
  </si>
  <si>
    <t>【ACRO】THREEポイントプログラム（追加アイテム）</t>
  </si>
  <si>
    <t>2025年ファンクラブ会員向け優勝記念品</t>
  </si>
  <si>
    <t>【ファンケル通販】26年7月ご愛顧感謝CP</t>
  </si>
  <si>
    <t>26フレッシュネスバーガー福袋</t>
  </si>
  <si>
    <t>株式会社フレッシュネス</t>
  </si>
  <si>
    <t>CVフラグ</t>
  </si>
  <si>
    <t>回答日時orCVしたメルマガ配信日時</t>
  </si>
  <si>
    <t>メールアドレス</t>
  </si>
  <si>
    <t>会社名</t>
  </si>
  <si>
    <t>業種or部署</t>
  </si>
  <si>
    <t>お名前</t>
  </si>
  <si>
    <t>流入チャネル</t>
  </si>
  <si>
    <t>case</t>
  </si>
  <si>
    <t>column</t>
  </si>
  <si>
    <t>direct</t>
  </si>
  <si>
    <t>link</t>
  </si>
  <si>
    <t>listing</t>
  </si>
  <si>
    <t>mail</t>
  </si>
  <si>
    <t>organic</t>
  </si>
  <si>
    <t>others</t>
  </si>
  <si>
    <t>お問い合わせ完了</t>
  </si>
  <si>
    <t>imacala.quartetcom@gmail.com</t>
  </si>
  <si>
    <t>株式会社カルテットコミュニケーションズ</t>
  </si>
  <si>
    <t>―</t>
  </si>
  <si>
    <t>鬼頭一貴</t>
  </si>
  <si>
    <t>free.mailmarke@gmail.com</t>
  </si>
  <si>
    <t>株式会社DIGIVALUE</t>
  </si>
  <si>
    <t>松村俊介</t>
  </si>
  <si>
    <t>vpkobayashi@value-partners.co.jp</t>
  </si>
  <si>
    <t>株式会社バリューパートナーズ</t>
  </si>
  <si>
    <t>小林剛</t>
  </si>
  <si>
    <t>liuxianglong@dgytgift.com</t>
  </si>
  <si>
    <t>東莞市勇泰工芸ギフト株式会社</t>
  </si>
  <si>
    <t>メーカー</t>
  </si>
  <si>
    <t>劉相龍</t>
  </si>
  <si>
    <t>info@ad-next.com</t>
  </si>
  <si>
    <t>株式会社ADNEXT</t>
  </si>
  <si>
    <t>森大輝</t>
  </si>
  <si>
    <t>y_tsuda@dlab-inc.jp</t>
  </si>
  <si>
    <t>株式会社DreaｍLab</t>
  </si>
  <si>
    <t>マーケティング</t>
  </si>
  <si>
    <t>津田雄大</t>
  </si>
  <si>
    <t>seo.mktg.quartetcom@gmail.com</t>
  </si>
  <si>
    <t>柴田卓真</t>
  </si>
  <si>
    <t>makoto.kanakubo@k-kojima.co.jp</t>
  </si>
  <si>
    <t>一般社団法人TOKYO WOOD / 株式会社小嶋工務店</t>
  </si>
  <si>
    <t>建設業</t>
  </si>
  <si>
    <t>金久保誠</t>
  </si>
  <si>
    <t>schedule.management.sales@gmail.com</t>
  </si>
  <si>
    <t>info.digivalue.consul@gmail.com</t>
  </si>
  <si>
    <t>岡田聡一</t>
  </si>
  <si>
    <t>sansyo1@daiwagroup.co.jp</t>
  </si>
  <si>
    <t>大和産商㈱</t>
  </si>
  <si>
    <t>ノベルティ商品製造・販売</t>
  </si>
  <si>
    <t>木下隆之</t>
  </si>
  <si>
    <t>naokawa@softbrain.co.jp</t>
  </si>
  <si>
    <t>ソフトブレーン株式会社</t>
  </si>
  <si>
    <t>インターネットサービス</t>
  </si>
  <si>
    <t>直川哲也</t>
  </si>
  <si>
    <t>平出優</t>
  </si>
  <si>
    <t>takeda.kyohichiroh@lmi.ne.jp</t>
  </si>
  <si>
    <t>株式会社リンクアンドモチベーション</t>
  </si>
  <si>
    <t>コンサルティング</t>
  </si>
  <si>
    <t>竹田恭一朗</t>
  </si>
  <si>
    <t>hello@msta.co.jp</t>
  </si>
  <si>
    <t>株式会社Msta</t>
  </si>
  <si>
    <t>菅井碧樹</t>
  </si>
  <si>
    <t>happness50@yahoo.co.jp</t>
  </si>
  <si>
    <t>小石湖商店</t>
  </si>
  <si>
    <t>卸売</t>
  </si>
  <si>
    <t>中井佐千子</t>
  </si>
  <si>
    <t>a.watanabe@value-frontier.jp</t>
  </si>
  <si>
    <t>株式会社バリューフロンティア</t>
  </si>
  <si>
    <t>渡辺彩花</t>
  </si>
  <si>
    <t>a-mukai@trans.co.jp</t>
  </si>
  <si>
    <t>株式会社トランス</t>
  </si>
  <si>
    <t>製造</t>
  </si>
  <si>
    <t>向井</t>
  </si>
  <si>
    <t>h.yoshida@m-con.co.jp</t>
  </si>
  <si>
    <t>株式会社メディカルコンサルティング</t>
  </si>
  <si>
    <t>医療コンサルティング</t>
  </si>
  <si>
    <t>吉田 博哉</t>
  </si>
  <si>
    <t>wcolor1214@gmail.com</t>
  </si>
  <si>
    <t>Wcolor</t>
  </si>
  <si>
    <t>アパレル</t>
  </si>
  <si>
    <t>山岡夏緒</t>
  </si>
  <si>
    <t>t_kanemoto@bulkguy.co.jp</t>
  </si>
  <si>
    <t>株式会社BULKGUY</t>
  </si>
  <si>
    <t>メンズアパレル</t>
  </si>
  <si>
    <t>金本泰熙</t>
  </si>
  <si>
    <t>kume@kyoufukudou.com</t>
  </si>
  <si>
    <t>株式会社京福堂</t>
  </si>
  <si>
    <t>通信販売業</t>
  </si>
  <si>
    <t>久米さくら</t>
  </si>
  <si>
    <t>kume@kyoufukudou.jp</t>
  </si>
  <si>
    <t>satoki@joyeuxsr.com</t>
  </si>
  <si>
    <t>株式会社ニシ・スポ</t>
  </si>
  <si>
    <t>PR</t>
  </si>
  <si>
    <t>西田</t>
  </si>
  <si>
    <t>takamura.yuki@technopro.com</t>
  </si>
  <si>
    <t>株式会社テクノプロ　テクノプロ・エンジニアリング社</t>
  </si>
  <si>
    <t>技術系人材サービス</t>
  </si>
  <si>
    <t>高村　侑暉</t>
  </si>
  <si>
    <t>お役立ち資料DL</t>
  </si>
  <si>
    <t>takahashi.yuusuke6956@gmail.com</t>
  </si>
  <si>
    <t>高橋工務店</t>
  </si>
  <si>
    <t>不動産</t>
  </si>
  <si>
    <t>高橋</t>
  </si>
  <si>
    <t>okumura.k@wingarc.com</t>
  </si>
  <si>
    <t>ウイングアーク１ｓｔ株式会社</t>
  </si>
  <si>
    <t>IT・ソフトウェア</t>
  </si>
  <si>
    <t>奥村啓一郎</t>
  </si>
  <si>
    <t>asano.kazuyo@choya.jp</t>
  </si>
  <si>
    <t>チョーヤ梅酒株式会社</t>
  </si>
  <si>
    <t>酒類メーカー</t>
  </si>
  <si>
    <t>浅野和世</t>
  </si>
  <si>
    <t>tokura.hiroshi@iplanet-inc.com</t>
  </si>
  <si>
    <t>株式会社　アイプラネット</t>
  </si>
  <si>
    <t>アカウントプロデュース部</t>
  </si>
  <si>
    <t>戸倉宏</t>
  </si>
  <si>
    <t>j_taguchi@haba.co.jp</t>
  </si>
  <si>
    <t>化粧品などの開発・製造・販売</t>
  </si>
  <si>
    <t>田口純子</t>
  </si>
  <si>
    <t>k.miyachi@menard.co.jp</t>
  </si>
  <si>
    <t>製造卸し</t>
  </si>
  <si>
    <t>宮地一直</t>
  </si>
  <si>
    <t>kanese-y@mild.ocn.ne.jp</t>
  </si>
  <si>
    <t>株式会社カネセ</t>
  </si>
  <si>
    <t>陶磁器卸売</t>
  </si>
  <si>
    <t>伊藤和洋</t>
  </si>
  <si>
    <t>pyy-yoshida_21@beniya-ajisai.co.jp</t>
  </si>
  <si>
    <t>（株）鎌倉紅谷</t>
  </si>
  <si>
    <t>企画</t>
  </si>
  <si>
    <t>吉田祐子</t>
  </si>
  <si>
    <t>camel.c.saitou@kaldi.co.jp</t>
  </si>
  <si>
    <t>小売</t>
  </si>
  <si>
    <t>石垣千尋</t>
  </si>
  <si>
    <t>sa_kanbayashi@kyodoprinting.co.jp</t>
  </si>
  <si>
    <t>共同印刷株式会社</t>
  </si>
  <si>
    <t>製造業</t>
  </si>
  <si>
    <t>神林　聡</t>
  </si>
  <si>
    <t>komori-naoki@regal.co.jp</t>
  </si>
  <si>
    <t>製造・小売業</t>
  </si>
  <si>
    <t>小森　直樹</t>
  </si>
  <si>
    <t>a-hagiwara@onward.co.jp</t>
  </si>
  <si>
    <t>営業本部訪問販売部</t>
  </si>
  <si>
    <t>萩原 明夫</t>
  </si>
  <si>
    <t>junkonakajima@worldfamilyenglish.com</t>
  </si>
  <si>
    <t>ワールド・ファミリー株式会社</t>
  </si>
  <si>
    <t>営業管理部 セールス・サポート ダイレクト・マーケティング</t>
  </si>
  <si>
    <t>中島 淳子</t>
  </si>
  <si>
    <t>kanno@felissimo.co.jp</t>
  </si>
  <si>
    <t>CFV事業本部</t>
  </si>
  <si>
    <t>松本 和子</t>
  </si>
  <si>
    <t>kawanobe.shinichi@jxgr.com</t>
  </si>
  <si>
    <t>ENEOSトレーディング株式会社</t>
  </si>
  <si>
    <t>販促推進部 SS販促グループ</t>
  </si>
  <si>
    <t>川野邉 伸一</t>
  </si>
  <si>
    <t>m-matsumura@sekaibunka.co.jp</t>
  </si>
  <si>
    <t>株式会社世界文化ブックス</t>
  </si>
  <si>
    <t>セールスマーケティング本部 特販部</t>
  </si>
  <si>
    <t>松村 元幸</t>
  </si>
  <si>
    <t>m-tsuji@commtec.co.jp</t>
  </si>
  <si>
    <t>株式会社ホンダコムテック</t>
  </si>
  <si>
    <t>ブランドプロモーション統括部 商品事業企画部 1グループ</t>
  </si>
  <si>
    <t>辻 萌</t>
  </si>
  <si>
    <t>ウイングアーク1st株式会社</t>
  </si>
  <si>
    <t>Data Empowerment事業部 ビジネスディベロップメント室</t>
  </si>
  <si>
    <t>奥村 啓一郎</t>
  </si>
  <si>
    <t>s.fukushima@maruzenjunkudo.co.jp</t>
  </si>
  <si>
    <t>営業本部 店舗管理部</t>
  </si>
  <si>
    <t>福島 志保</t>
  </si>
  <si>
    <t>saito.eri@jxgr.com</t>
  </si>
  <si>
    <t>齋藤 絵里</t>
  </si>
  <si>
    <t>shinji_fujiwara@aohata.co.jp</t>
  </si>
  <si>
    <t>アヲハタ株式会社</t>
  </si>
  <si>
    <t>広報室 メディアコミュニケーションチーム</t>
  </si>
  <si>
    <t>藤原 慎司</t>
  </si>
  <si>
    <t>t-asida@nakau.co.jp</t>
  </si>
  <si>
    <t>ファスト営業企画本部 ファスト外食企画部</t>
  </si>
  <si>
    <t>芦田 武宏</t>
  </si>
  <si>
    <t>terasaki-masahiro@regal.co.jp</t>
  </si>
  <si>
    <t>小売統括部 FC事業課</t>
  </si>
  <si>
    <t>寺﨑 政弘</t>
  </si>
  <si>
    <t>yamane.maiko@shaklee.co.jp</t>
  </si>
  <si>
    <t>日本シャクリー株式会社</t>
  </si>
  <si>
    <t>営業・マーケティング本部 マーケティング部</t>
  </si>
  <si>
    <t>山根 麻衣子</t>
  </si>
  <si>
    <t>yasushi_kobayashi@st-grp.co.jp</t>
  </si>
  <si>
    <t>三協アルミ社 エクステリア事業部 エクステリアマーケティング推進部 エクステリアマーケティング推進課</t>
  </si>
  <si>
    <t>小林 泰</t>
  </si>
  <si>
    <t>kazelo0324@gmail.com</t>
  </si>
  <si>
    <t>アイピーコーポレーション</t>
  </si>
  <si>
    <t>市場調査</t>
  </si>
  <si>
    <t>岡本和貴</t>
  </si>
  <si>
    <t>fujita@imaoservice.com</t>
  </si>
  <si>
    <t>株式会社イマオサービス</t>
  </si>
  <si>
    <t>物流業</t>
  </si>
  <si>
    <t>藤田　純一</t>
  </si>
  <si>
    <t>サービス資料DL</t>
  </si>
  <si>
    <t>masanobu.ota@toppan.co.jp</t>
  </si>
  <si>
    <t>TOPPAN株式会社</t>
  </si>
  <si>
    <t>マーケティング支援</t>
  </si>
  <si>
    <t>太田正伸</t>
  </si>
  <si>
    <t>chaoxiangyoucai@gmail.com</t>
  </si>
  <si>
    <t>abc</t>
  </si>
  <si>
    <t>mg</t>
  </si>
  <si>
    <t>chaoxiang</t>
  </si>
  <si>
    <t>morisaki@alteche.co.jp</t>
  </si>
  <si>
    <t>株式会社アルテック</t>
  </si>
  <si>
    <t>森﨑　愛結</t>
  </si>
  <si>
    <t>m-miyamoto@yaoko-net.com</t>
  </si>
  <si>
    <t>株式会社ヤオコー</t>
  </si>
  <si>
    <t>営業統括室</t>
  </si>
  <si>
    <t>宮本 昌明</t>
  </si>
  <si>
    <t>michiyo.mikai@paris-miki.jp</t>
  </si>
  <si>
    <t>株式会社三城</t>
  </si>
  <si>
    <t>営業企画</t>
  </si>
  <si>
    <t>三海 美千代</t>
  </si>
  <si>
    <t>anritakeda0205@gmail.com</t>
  </si>
  <si>
    <t>株式会社NAT</t>
  </si>
  <si>
    <t>辻安里</t>
  </si>
  <si>
    <t>y-kohama@housefoods.co.jp</t>
  </si>
  <si>
    <t>ハウス食品グループ本社株式会社</t>
  </si>
  <si>
    <t>研究開発本部 基礎研究部 弘前大学大学院 医学研究科 食と健康科学講座</t>
  </si>
  <si>
    <t>小濱 佑介</t>
  </si>
  <si>
    <t>a_kashikuma@chifuregrp.co.jp</t>
  </si>
  <si>
    <t>株式会社光未来</t>
  </si>
  <si>
    <t>販売促進部</t>
  </si>
  <si>
    <t>柏熊 厚志</t>
  </si>
  <si>
    <t>fumi1_shimada@ot.olympus.co.jp</t>
  </si>
  <si>
    <t>オリンパス株式会社</t>
  </si>
  <si>
    <t>コーポレートサービス本部 宣伝部 事業グループ(展示・イベント)</t>
  </si>
  <si>
    <t>嶋田 ふみ</t>
  </si>
  <si>
    <t>t.onozuka@route-inn.co.jp</t>
  </si>
  <si>
    <t>ルートインジャパン株式会社</t>
  </si>
  <si>
    <t>運営部 運営企画課 ポイントカード推進室</t>
  </si>
  <si>
    <t>小野塚 知子</t>
  </si>
  <si>
    <t>y-sagawa@naitohouse.co.jp</t>
  </si>
  <si>
    <t>株式会社内藤ハウス</t>
  </si>
  <si>
    <t>佐川友紀乃</t>
  </si>
  <si>
    <t>ky0401003@gmail.com</t>
  </si>
  <si>
    <t>blooming home</t>
  </si>
  <si>
    <t>河毛　由佳</t>
  </si>
  <si>
    <t>株式会社アイピーコーポレーション</t>
  </si>
  <si>
    <t>岡本 和貴</t>
  </si>
  <si>
    <t>info@tanaakk.com</t>
  </si>
  <si>
    <t>TANAAKK</t>
  </si>
  <si>
    <t>terano_saori@nihon-ad.co.jp</t>
  </si>
  <si>
    <t>株式会社日本廣告社</t>
  </si>
  <si>
    <t>寺野沙織</t>
  </si>
  <si>
    <t>ssinflower01@gmail.com</t>
  </si>
  <si>
    <t xml:space="preserve">SS in flower </t>
  </si>
  <si>
    <t>山田咲子</t>
  </si>
  <si>
    <t>20008saito-eishi@tatesina.co.jp</t>
  </si>
  <si>
    <t>蓼科情報株式会社</t>
  </si>
  <si>
    <t>開発部</t>
  </si>
  <si>
    <t>齋藤 英史</t>
  </si>
  <si>
    <t>a-hosomura@shinwa-agency.co.jp</t>
  </si>
  <si>
    <t>株式会社伸和エージェンシー</t>
  </si>
  <si>
    <t>広告事業部 コア・ソリューション統括部 メディアグループ</t>
  </si>
  <si>
    <t>細村 覚彦</t>
  </si>
  <si>
    <t>chiori_hayakawa@nta.co.jp</t>
  </si>
  <si>
    <t>株式会社日本旅行</t>
  </si>
  <si>
    <t>本社 ソリューション事業本部 教育事業部</t>
  </si>
  <si>
    <t>早川 千織</t>
  </si>
  <si>
    <t>daijiro.waki@nakahiro-group.co.jp</t>
  </si>
  <si>
    <t>株式会社ナカヒロ</t>
  </si>
  <si>
    <t>東京支店 ビジネス部 関東ビジネス部 東京営業課</t>
  </si>
  <si>
    <t>脇 大二朗</t>
  </si>
  <si>
    <t>ec@youngncute.com</t>
  </si>
  <si>
    <t>Y &amp; C CO., LTD</t>
  </si>
  <si>
    <t>HAN BING</t>
  </si>
  <si>
    <t>fujii.no@t-kenbunsya.jp</t>
  </si>
  <si>
    <t>株式会社研文社</t>
  </si>
  <si>
    <t>藤井 教夫</t>
  </si>
  <si>
    <t>h-hidaka@tkp.jp</t>
  </si>
  <si>
    <t>株式会社ティーケーピー</t>
  </si>
  <si>
    <t>イベントプロデュース事業部 プロモーション2課</t>
  </si>
  <si>
    <t>日高 洋海</t>
  </si>
  <si>
    <t>h-tokyo@kusubashi.jp</t>
  </si>
  <si>
    <t>楠橋紋織株式会社</t>
  </si>
  <si>
    <t>東京オフィス 東京営業1課</t>
  </si>
  <si>
    <t>早川 弘</t>
  </si>
  <si>
    <t>hi-takahashi@tsukamoto.co.jp</t>
  </si>
  <si>
    <t>株式会社ツカモトコーポレーション</t>
  </si>
  <si>
    <t>ユニフォーム・SP事業部 企画生産部 企画課</t>
  </si>
  <si>
    <t>髙橋 裕之</t>
  </si>
  <si>
    <t>hnobu@amazon.co.jp</t>
  </si>
  <si>
    <t>アマゾンジャパン合同会社</t>
  </si>
  <si>
    <t>ファッション事業部 ストラテジックプロジェクトチーム</t>
  </si>
  <si>
    <t>堀井 伸彦</t>
  </si>
  <si>
    <t>ikeda@giftee.co</t>
  </si>
  <si>
    <t>株式会社ギフティ</t>
  </si>
  <si>
    <t>池田 亜矢子</t>
  </si>
  <si>
    <t>ito.syusaku@hi-g.co.jp</t>
  </si>
  <si>
    <t>島田商事株式会社</t>
  </si>
  <si>
    <t>第5グループ第3ユニット 第1課</t>
  </si>
  <si>
    <t>伊藤 周作</t>
  </si>
  <si>
    <t>ito_yuko@imhds.co.jp</t>
  </si>
  <si>
    <t>株式会社三越伊勢丹ホールディングス</t>
  </si>
  <si>
    <t>総務部 コンプライアンスディビジョン 品質管理</t>
  </si>
  <si>
    <t>伊藤 裕子</t>
  </si>
  <si>
    <t>iwanaga-rie@nikke.co.jp</t>
  </si>
  <si>
    <t>日本毛織株式会社</t>
  </si>
  <si>
    <t>衣料繊維事業本部 販売統括部 ユニフォーム部 ビジネス課</t>
  </si>
  <si>
    <t>岩永 理絵</t>
  </si>
  <si>
    <t>k-obayashi@onward.co.jp</t>
  </si>
  <si>
    <t>第三カンパニー 組曲&amp;KIDS Div. KIDS・FORMAL商品Sec.</t>
  </si>
  <si>
    <t>大林 華奈</t>
  </si>
  <si>
    <t>kamo@boken.or.jp</t>
  </si>
  <si>
    <t>一般財団法人ボーケン品質評価機構</t>
  </si>
  <si>
    <t>大阪認証・分析センター 化粧品分析チーム</t>
  </si>
  <si>
    <t>加茂 春樹</t>
  </si>
  <si>
    <t>kariyak@casio.co.jp</t>
  </si>
  <si>
    <t>CASIO (CHINA) CO., LTD.</t>
  </si>
  <si>
    <t>Marketing Division Timepiece Marketing Dept.</t>
  </si>
  <si>
    <t>KARIYA Kotaro</t>
  </si>
  <si>
    <t>katsuya-tagami@tokyu-hands.co.jp</t>
  </si>
  <si>
    <t>株式会社東急ハンズ</t>
  </si>
  <si>
    <t>法人営業部</t>
  </si>
  <si>
    <t>田上 勝也</t>
  </si>
  <si>
    <t>kawabe@kasa.jp</t>
  </si>
  <si>
    <t>有限会社アルファ商事</t>
  </si>
  <si>
    <t>川辺 敏郎</t>
  </si>
  <si>
    <t>kazuhiko-yasuda@st-grp.co.jp</t>
  </si>
  <si>
    <t>三協アルミ社 東海エクステリア建材支店 ガーデンエクステリア課 公共エクステリア課</t>
  </si>
  <si>
    <t>安田 和彦</t>
  </si>
  <si>
    <t>kenji-kanai@sankeicoltd.co.jp</t>
  </si>
  <si>
    <t>株式会社三景</t>
  </si>
  <si>
    <t>営業第1部門 営業5部</t>
  </si>
  <si>
    <t>金井 憲司</t>
  </si>
  <si>
    <t>kimoto_naoko@isetanmitsukoshi.co.jp</t>
  </si>
  <si>
    <t>株式会社三越伊勢丹</t>
  </si>
  <si>
    <t>MD統括部マーケティング推進部</t>
  </si>
  <si>
    <t>木本 直子</t>
  </si>
  <si>
    <t>kokuwano@e-kajiura.co.jp</t>
  </si>
  <si>
    <t>株式会社カジテック</t>
  </si>
  <si>
    <t>光桑野 義己</t>
  </si>
  <si>
    <t>kosuke.minamimura@seiko-watch.co.jp</t>
  </si>
  <si>
    <t>セイコーウオッチ株式会社</t>
  </si>
  <si>
    <t>セイコー第二企画部</t>
  </si>
  <si>
    <t>南村 航介</t>
  </si>
  <si>
    <t>kumi.imaseki@japan-rugby-marketing.com</t>
  </si>
  <si>
    <t>チケッティング・ファンクラブ・CRMグループ</t>
  </si>
  <si>
    <t>今関 公美</t>
  </si>
  <si>
    <t>kurosaki-yamasho@lagoon.ocn.ne.jp</t>
  </si>
  <si>
    <t>株式会社山商</t>
  </si>
  <si>
    <t>黒崎 嘉夫</t>
  </si>
  <si>
    <t>ky_nagao@tbc.co.jp</t>
  </si>
  <si>
    <t>TBCグループ株式会社</t>
  </si>
  <si>
    <t>ビューティウェルネス事業部 サロンコスメユニット</t>
  </si>
  <si>
    <t>長尾 京佳</t>
  </si>
  <si>
    <t>m.itou@ohsho.co.jp</t>
  </si>
  <si>
    <t>営業企画部 販売促進課</t>
  </si>
  <si>
    <t>伊東 美奈</t>
  </si>
  <si>
    <t>m.maekawa@tx-maruko.co.jp</t>
  </si>
  <si>
    <t>丸幸株式会社</t>
  </si>
  <si>
    <t>営業部 東京1課</t>
  </si>
  <si>
    <t>前川 昌也</t>
  </si>
  <si>
    <t>masa@ntsinc.co.jp</t>
  </si>
  <si>
    <t>株式会社エヌガーディアン</t>
  </si>
  <si>
    <t>小澤 昌弘</t>
  </si>
  <si>
    <t>masahiro.sawada@adss-j.com</t>
  </si>
  <si>
    <t>ADSS東京株式会社</t>
  </si>
  <si>
    <t>営業部 営業課</t>
  </si>
  <si>
    <t>澤田 昌大</t>
  </si>
  <si>
    <t>mmaeta@pias.co.jp</t>
  </si>
  <si>
    <t>カバーマーク株式会社</t>
  </si>
  <si>
    <t>ショップオペレーショングループ</t>
  </si>
  <si>
    <t>前田 瑞穂</t>
  </si>
  <si>
    <t>munakata-masa@aeonpeople.biz</t>
  </si>
  <si>
    <t>営業企画本部 マーケティング企画部 催事・インバウンドチーム</t>
  </si>
  <si>
    <t>宗方 雅志</t>
  </si>
  <si>
    <t>n.mishima@kokugakuintochigi.ac.jp</t>
  </si>
  <si>
    <t>國學院大學栃木中学・高等学校</t>
  </si>
  <si>
    <t>實島 範朗</t>
  </si>
  <si>
    <t>nakayama@flc-td.co.jp</t>
  </si>
  <si>
    <t>株式会社エフエルシイトレーディング</t>
  </si>
  <si>
    <t>中山 秀吉</t>
  </si>
  <si>
    <t>naoki_okubo@jp.honda</t>
  </si>
  <si>
    <t>統合地域本部 日本統括部 アフターマーケット部 部品販売企画課</t>
  </si>
  <si>
    <t>大久保 尚紀</t>
  </si>
  <si>
    <t>s-adachihara@acro-inc.co.jp</t>
  </si>
  <si>
    <t>ブランド開発 Div プロダクト企画 チーム</t>
  </si>
  <si>
    <t>足立原 桜子</t>
  </si>
  <si>
    <t>s-izumi@qtec.or.jp</t>
  </si>
  <si>
    <t>一般財団法人日本繊維製品品質技術センター</t>
  </si>
  <si>
    <t>東日本事業所</t>
  </si>
  <si>
    <t>泉 正二</t>
  </si>
  <si>
    <t>s-seo@t-echizenya.co.jp</t>
  </si>
  <si>
    <t>越前屋多崎株式会社</t>
  </si>
  <si>
    <t>営業部</t>
  </si>
  <si>
    <t>瀬尾 知</t>
  </si>
  <si>
    <t>s-tanaka@folk.co.jp</t>
  </si>
  <si>
    <t>フォーク株式会社</t>
  </si>
  <si>
    <t>東京支店 営業部</t>
  </si>
  <si>
    <t>田中 秀明</t>
  </si>
  <si>
    <t>s_baba@tbc.co.jp</t>
  </si>
  <si>
    <t>コミュニケーション企画室</t>
  </si>
  <si>
    <t>馬場 慎也</t>
  </si>
  <si>
    <t>sato@absoluke.com</t>
  </si>
  <si>
    <t>有限会社アブソルーク</t>
  </si>
  <si>
    <t>佐藤 和也</t>
  </si>
  <si>
    <t>shigegaki-hidekazu@ad.takashimaya.co.jp</t>
  </si>
  <si>
    <t>株式会社髙島屋</t>
  </si>
  <si>
    <t>法人事業部 東京第2営業部 第1グループ</t>
  </si>
  <si>
    <t>茂垣 秀和</t>
  </si>
  <si>
    <t>t-sakaino@okato-lo.co.jp</t>
  </si>
  <si>
    <t>株式会社エルオー</t>
  </si>
  <si>
    <t>企画営業部 企画課</t>
  </si>
  <si>
    <t>境野 卓史</t>
  </si>
  <si>
    <t>takashi_shibasaki@kyodoprinting.co.jp</t>
  </si>
  <si>
    <t>プロモーションメディア事業部 営業第三部</t>
  </si>
  <si>
    <t>柴﨑 崇</t>
  </si>
  <si>
    <t>takekoshi_kazuyuki@isetanmitsukoshi.co.jp</t>
  </si>
  <si>
    <t>法人外商事業部</t>
  </si>
  <si>
    <t>竹越 和幸</t>
  </si>
  <si>
    <t>takeshi_aragaki@kyodoprinting.co.jp</t>
  </si>
  <si>
    <t>プロモーションメディア事業部 営業第三部第六課</t>
  </si>
  <si>
    <t>新垣 健</t>
  </si>
  <si>
    <t>tamao.omata@senqcia.com</t>
  </si>
  <si>
    <t>センクシア株式会社</t>
  </si>
  <si>
    <t>経営戦略本部 企画部</t>
  </si>
  <si>
    <t>小俣 玉男</t>
  </si>
  <si>
    <t>teratera@st-grp.co.jp</t>
  </si>
  <si>
    <t>三協アルミ社 関西エクステリア建材支店</t>
  </si>
  <si>
    <t>寺川 剛生</t>
  </si>
  <si>
    <t>tobinaga@karsee.co.jp</t>
  </si>
  <si>
    <t>カーシーカシマ株式会社</t>
  </si>
  <si>
    <t>大阪支店 営業部 フィールドセールス課</t>
  </si>
  <si>
    <t>飛永 卓杜</t>
  </si>
  <si>
    <t>tomkito@indyspec.com</t>
  </si>
  <si>
    <t>Indyspec Design, LLC</t>
  </si>
  <si>
    <t>木藤 友治</t>
  </si>
  <si>
    <t>toyoda@liberty-company.jp</t>
  </si>
  <si>
    <t>株式会社LIBERTY</t>
  </si>
  <si>
    <t>豊田 祥二郎</t>
  </si>
  <si>
    <t>tsuboyama@siskos.co.jp</t>
  </si>
  <si>
    <t>株式会社シスコス</t>
  </si>
  <si>
    <t>企画開発事業 プロモーション部</t>
  </si>
  <si>
    <t>坪山 和生</t>
  </si>
  <si>
    <t>tsukahara@kiwa-inc.co.jp</t>
  </si>
  <si>
    <t>株式会社貴和製作所</t>
  </si>
  <si>
    <t>外商部</t>
  </si>
  <si>
    <t>塚原 政広</t>
  </si>
  <si>
    <t>uchida.yuusaku@menard.co.jp</t>
  </si>
  <si>
    <t>営業本部 営業企画部 営業企画課</t>
  </si>
  <si>
    <t>内田 祐作</t>
  </si>
  <si>
    <t>verin@marieclaire.co.jp</t>
  </si>
  <si>
    <t>マリ・クレールジャポン株式会社</t>
  </si>
  <si>
    <t>レジス・ヴェラン</t>
  </si>
  <si>
    <t>y.sasagawa@hardoff.co.jp</t>
  </si>
  <si>
    <t>株式会社ハードオフコーポレーション</t>
  </si>
  <si>
    <t>ハードオフサプライセンター FC店舗運営部</t>
  </si>
  <si>
    <t>笹川 美彦</t>
  </si>
  <si>
    <t>yamamoto@n-land21.com</t>
  </si>
  <si>
    <t>株式会社ネバーランド</t>
  </si>
  <si>
    <t>山本 光莉</t>
  </si>
  <si>
    <t>yasuhara@cogit.co.jp</t>
  </si>
  <si>
    <t>株式会社コジット</t>
  </si>
  <si>
    <t>康原 景博</t>
  </si>
  <si>
    <t>yasunori-mukasa.az@tk.dunlop-tyres.co.jp</t>
  </si>
  <si>
    <t>営業本部 第三営業部 専業店グループ</t>
  </si>
  <si>
    <t>向笠 保倫</t>
  </si>
  <si>
    <t>yeonhee@kji.co.jp</t>
  </si>
  <si>
    <t>有限会社ケイ・ジェイ・アイ・コーポレーション</t>
  </si>
  <si>
    <t>李 連喜</t>
  </si>
  <si>
    <t>yn09086529233@gmail.com</t>
  </si>
  <si>
    <t>中川事務所</t>
  </si>
  <si>
    <t>中川 康明</t>
  </si>
  <si>
    <t>yoshiaki.tsutsumi.lf@jp-life.jp</t>
  </si>
  <si>
    <t>株式会社かんぽ生命保険</t>
  </si>
  <si>
    <t>近畿エリア本部 総合企画部</t>
  </si>
  <si>
    <t>堤 嘉亮</t>
  </si>
  <si>
    <t>yoshiaki_henmi@mi-creations.co.jp</t>
  </si>
  <si>
    <t>MIクリエーションズ株式会社</t>
  </si>
  <si>
    <t>第二営業部 大阪営業課</t>
  </si>
  <si>
    <t>逸見 義昭</t>
  </si>
  <si>
    <t>youhei_satou@kyodoprinting.co.jp</t>
  </si>
  <si>
    <t>プロモーションメディア事業部 販促企画部 企画開発課</t>
  </si>
  <si>
    <t>佐藤 洋平</t>
  </si>
  <si>
    <t>yumina_kudo@amway.com</t>
  </si>
  <si>
    <t>営業戦略企画部 アカウントマネジメント</t>
  </si>
  <si>
    <t>工藤 弓奈</t>
  </si>
  <si>
    <t>yutaka.isoyama@zensho.com</t>
  </si>
  <si>
    <t>株式会社グローバルテーブルサプライ</t>
  </si>
  <si>
    <t>第一商品部 ユニフォーム課</t>
  </si>
  <si>
    <t>磯山 裕</t>
  </si>
  <si>
    <t>ryotaro.hasegawa@rakus.co.jp</t>
  </si>
  <si>
    <t>株式会社ラクス</t>
  </si>
  <si>
    <t>長谷川亮太郎</t>
  </si>
  <si>
    <t>辻寿恵理</t>
  </si>
  <si>
    <t>taisei.k@wakudokicorp.com</t>
  </si>
  <si>
    <t>株式会社ワクドキ</t>
  </si>
  <si>
    <t>古森泰正</t>
  </si>
  <si>
    <t>onb.jpn@gmail.com</t>
  </si>
  <si>
    <t>株式会社tocre</t>
  </si>
  <si>
    <t>山岡凌大</t>
  </si>
  <si>
    <t>umino@ib-solution.co.jp</t>
  </si>
  <si>
    <t>株式会社アイビーソリューション</t>
  </si>
  <si>
    <t>電気工事業</t>
  </si>
  <si>
    <t>海野　興</t>
  </si>
  <si>
    <t>matsubara@tops-jp.com</t>
  </si>
  <si>
    <t>営業本部 第1部2課</t>
  </si>
  <si>
    <t>松原 敦子</t>
  </si>
  <si>
    <t>r.moritani@nobuta123.co.jp</t>
  </si>
  <si>
    <t>株式会社カメリア</t>
  </si>
  <si>
    <t>盛谷玲実</t>
  </si>
  <si>
    <t>yutakahashi87@gmail.com</t>
  </si>
  <si>
    <t>株式会社ファンデル</t>
  </si>
  <si>
    <t>高橋　勇</t>
  </si>
  <si>
    <t>michiko.kitahara@michi-inc.com</t>
  </si>
  <si>
    <t>株式会社MICHI</t>
  </si>
  <si>
    <t>北原規稚子</t>
  </si>
  <si>
    <t>anakamura-cj@casio.co.jp</t>
  </si>
  <si>
    <t>カシオ計算機株式会社</t>
  </si>
  <si>
    <t>中村　あゆみ</t>
  </si>
  <si>
    <t>hodonoyu.180@gmail.com</t>
  </si>
  <si>
    <t>180 one eighty</t>
  </si>
  <si>
    <t>アパレル小売業</t>
  </si>
  <si>
    <t>程野 有哉</t>
  </si>
  <si>
    <t>fukuda_d@yomiuri-jko.co.jp</t>
  </si>
  <si>
    <t>株式会社読売情報開発大阪</t>
  </si>
  <si>
    <t>YC業務本部 営業部</t>
  </si>
  <si>
    <t>福田 大輔</t>
  </si>
  <si>
    <t>r-kasai@senshukai.co.jp</t>
  </si>
  <si>
    <t>笠井理恵</t>
  </si>
  <si>
    <t>uetani@ozaki-mark.co.jp</t>
  </si>
  <si>
    <t>尾崎織マーク(株)</t>
  </si>
  <si>
    <t>マーキング資材やノベルティグッズ</t>
  </si>
  <si>
    <t>上谷　尚司 ウエタニ　ヒサシ</t>
  </si>
  <si>
    <t>sinki@chanoma.co.jp</t>
  </si>
  <si>
    <t>株式会社宇治田原製茶場</t>
  </si>
  <si>
    <t>お茶戦略室 顧客開発係</t>
  </si>
  <si>
    <t>田中 雅美</t>
  </si>
  <si>
    <t>d-sales-contact@niftylifestyle.co.jp</t>
  </si>
  <si>
    <t>ニフティライフスタイル株式会社</t>
  </si>
  <si>
    <t>デジタルマーケティングチーム</t>
  </si>
  <si>
    <t>早瀬和希</t>
  </si>
  <si>
    <t>mkawai113@gmail.com</t>
  </si>
  <si>
    <t>個人</t>
  </si>
  <si>
    <t>河合　美貴子</t>
  </si>
  <si>
    <t>katsuhara_s2@nippan.co.jp</t>
  </si>
  <si>
    <t>日販テクシード株式会社</t>
  </si>
  <si>
    <t>営業本部 第3営業部</t>
  </si>
  <si>
    <t>勝原 聡美</t>
  </si>
  <si>
    <t>株式会社鎌倉紅谷</t>
  </si>
  <si>
    <t>企画本部 企画部 企画課</t>
  </si>
  <si>
    <t>吉田 祐子</t>
  </si>
  <si>
    <t>sumiko.iwahara@baroque-global.com</t>
  </si>
  <si>
    <t>株式会社バロックジャパンリミテッド</t>
  </si>
  <si>
    <t>グローバル事業本部 SLY事業部</t>
  </si>
  <si>
    <t>岩原 純子</t>
  </si>
  <si>
    <t>y.hayakawa@kobayashi.co.jp</t>
  </si>
  <si>
    <t>小林製薬株式会社</t>
  </si>
  <si>
    <t>通販事業部 通販マーケティング部 スキンケアグループ</t>
  </si>
  <si>
    <t>早川 洋子</t>
  </si>
  <si>
    <t>sato@demark.co.jp</t>
  </si>
  <si>
    <t>デンマーク株式会社</t>
  </si>
  <si>
    <t>佐藤八重子</t>
  </si>
  <si>
    <t>kasuga@nkag.co.jp</t>
  </si>
  <si>
    <t>株式会社日経エージェンシー</t>
  </si>
  <si>
    <t>サービス業</t>
  </si>
  <si>
    <t>春日朝就</t>
  </si>
  <si>
    <t>6/30までのデータで集計済</t>
  </si>
  <si>
    <t>ご予算</t>
  </si>
  <si>
    <t>SAL（商談したい）</t>
  </si>
  <si>
    <t>SQL1（商談した）</t>
  </si>
  <si>
    <t>SQL2（フォローしていく）</t>
  </si>
  <si>
    <t>受注</t>
  </si>
  <si>
    <t>IS｜CVレポート有無</t>
    <rPh sb="9" eb="11">
      <t>ウム</t>
    </rPh>
    <phoneticPr fontId="18"/>
  </si>
  <si>
    <t>入力画面: IS_insight-sales-お問合せ・ご相談</t>
  </si>
  <si>
    <t>beybebei.2025@gmail.com</t>
  </si>
  <si>
    <t>株式会社ネオスター</t>
  </si>
  <si>
    <t>植村　郁也</t>
  </si>
  <si>
    <t>100万円未満</t>
  </si>
  <si>
    <t>検索連動型広告</t>
  </si>
  <si>
    <t>ch-nico@outlook.jp</t>
  </si>
  <si>
    <t>株式会社Nico</t>
  </si>
  <si>
    <t>亀井謙治</t>
  </si>
  <si>
    <t>?500万円</t>
  </si>
  <si>
    <t>オーガニック検索</t>
  </si>
  <si>
    <t>入力画面: IS_insight-sales-サービス資料詳細</t>
  </si>
  <si>
    <t>yuto9531mori@gmail.com</t>
  </si>
  <si>
    <t>FOREST　GROUP</t>
  </si>
  <si>
    <t>森　祐斗</t>
  </si>
  <si>
    <t>listing</t>
    <phoneticPr fontId="18"/>
  </si>
  <si>
    <t>a.higuchi@yokohama-agc.co.jp</t>
  </si>
  <si>
    <t>横浜エージェンシー＆コミュニケーションズ</t>
  </si>
  <si>
    <t>樋口朱里</t>
  </si>
  <si>
    <t>他のキャンペーン</t>
  </si>
  <si>
    <t>IS｜メルマガ19｜footer2｜サービス資料</t>
  </si>
  <si>
    <t>sumie.sato@img.com</t>
  </si>
  <si>
    <t>インターナショナルマネージメントグループ・オーヴァーシーズllc</t>
  </si>
  <si>
    <t>佐藤 澄恵</t>
  </si>
  <si>
    <t>aga-k@asahi.com</t>
  </si>
  <si>
    <t>朝日新聞社</t>
  </si>
  <si>
    <t>阿河 健太郎</t>
  </si>
  <si>
    <t>k15.shibata@kpost.kokubu.co.jp</t>
  </si>
  <si>
    <t>国分グループ本社株式会社</t>
  </si>
  <si>
    <t>柴田 弘太郎</t>
  </si>
  <si>
    <t>furusawa@kaya-inc.co.jp</t>
  </si>
  <si>
    <t>株式会社茅</t>
  </si>
  <si>
    <t>古澤 麻</t>
  </si>
  <si>
    <t>IS｜メルマガ20｜footer2｜サービス資料</t>
  </si>
  <si>
    <t>okazakim@citizen.co.jp</t>
  </si>
  <si>
    <t>シチズン時計株式会社</t>
  </si>
  <si>
    <t>岡崎 光陽</t>
  </si>
  <si>
    <t>ikuko_umi@suntory.co.jp</t>
  </si>
  <si>
    <t>宇美 郁子</t>
  </si>
  <si>
    <t>IS｜メルマガ13｜footer2｜サービス資料</t>
  </si>
  <si>
    <t>keisuke.nakano@dentsu.co.jp</t>
  </si>
  <si>
    <t>株式会社電通</t>
  </si>
  <si>
    <t>中野 桂介</t>
  </si>
  <si>
    <t>aki-line22@outlook.com</t>
  </si>
  <si>
    <t>有限会社アキライン22/パーフェクトコンジャクショ</t>
  </si>
  <si>
    <t>曽我　渚</t>
  </si>
  <si>
    <t>1億円以上</t>
  </si>
  <si>
    <t>IS｜メルマガ21｜footer2｜サービス資料</t>
  </si>
  <si>
    <t>hanamoto@asahi-ahs.co.jp</t>
  </si>
  <si>
    <t>朝日新聞販売サービス株式会社</t>
  </si>
  <si>
    <t>花元 咲耶</t>
  </si>
  <si>
    <t>sachiko.fukuyoshi@wamiles.co.jp</t>
  </si>
  <si>
    <t>ワミレスコスメティックス株式会社</t>
  </si>
  <si>
    <t>福吉 祥子</t>
  </si>
  <si>
    <t>rhashimoto8484@gmail.com</t>
  </si>
  <si>
    <t>フリーランス</t>
  </si>
  <si>
    <t>橋本</t>
  </si>
  <si>
    <t>直接トラフィック</t>
  </si>
  <si>
    <t>odajima@exidea.co.jp</t>
  </si>
  <si>
    <t>株式会社ＥＸＩＤＥＡ</t>
  </si>
  <si>
    <t>小田嶋航</t>
  </si>
  <si>
    <t>IS｜メルマガ14｜A｜cta1｜WP1</t>
  </si>
  <si>
    <t>nobutaka_shirakawa@kyodoprinting.co.jp</t>
  </si>
  <si>
    <t>白川 伸孝</t>
  </si>
  <si>
    <t>s_arai@haba.co.jp</t>
  </si>
  <si>
    <t>新井 詩乃</t>
  </si>
  <si>
    <t>IS｜メルマガ14｜A｜footer2｜サービス資料</t>
  </si>
  <si>
    <t>tomomi_usui@amway.com</t>
  </si>
  <si>
    <t>臼井 友美</t>
  </si>
  <si>
    <t>shino0502@fancl.co.jp</t>
  </si>
  <si>
    <t>市川 志乃</t>
  </si>
  <si>
    <t>nakamura@mayfair-17.co.jp</t>
  </si>
  <si>
    <t>株式会社メイフェア</t>
  </si>
  <si>
    <t>中村 弥生</t>
  </si>
  <si>
    <t>k.mizuhara@takaroku.co.jp</t>
  </si>
  <si>
    <t>高六商事株式会社</t>
  </si>
  <si>
    <t>水原 康志</t>
  </si>
  <si>
    <t>IS｜メルマガ14｜B｜footer2｜サービス資料</t>
  </si>
  <si>
    <t>kazuhiro.toyama@daiogroup.com</t>
  </si>
  <si>
    <t>ダイオーミウラ株式会社</t>
  </si>
  <si>
    <t>遠山 和博</t>
  </si>
  <si>
    <t>senba@azumaship.co.jp</t>
  </si>
  <si>
    <t>東海運株式会社</t>
  </si>
  <si>
    <t>仙波 幹</t>
  </si>
  <si>
    <t>IS｜メルマガ14｜B｜cta1｜WP1</t>
  </si>
  <si>
    <t>mai-kushikata@odakyu-dept.co.jp</t>
  </si>
  <si>
    <t>株式会社小田急百貨店</t>
  </si>
  <si>
    <t>櫛方 麻衣</t>
  </si>
  <si>
    <t>toyomi@gm.janome.co.jp</t>
  </si>
  <si>
    <t>蛇の目ミシン工業株式会社</t>
  </si>
  <si>
    <t>豊見 千世</t>
  </si>
  <si>
    <t>kazuki_abiru@grapestone.co.jp</t>
  </si>
  <si>
    <t>株式会社グレープストーン</t>
  </si>
  <si>
    <t>阿比留 一樹</t>
  </si>
  <si>
    <t>aoyama@cosme-planet.co.jp</t>
  </si>
  <si>
    <t>株式会社プラネット</t>
  </si>
  <si>
    <t>青山 勉</t>
  </si>
  <si>
    <t>yumiyama@toyotires.jp</t>
  </si>
  <si>
    <t>山下 由美子</t>
  </si>
  <si>
    <t>masahiro-kikuchi@st-grp.co.jp</t>
  </si>
  <si>
    <t>菊池 匡祐</t>
  </si>
  <si>
    <t>aoki-ry@kanebocos.co.jp</t>
  </si>
  <si>
    <t>青木 隆一</t>
  </si>
  <si>
    <t>kumagaya315@kmgy.st-ja.or.jp</t>
  </si>
  <si>
    <t>くまがや農業協同組合</t>
  </si>
  <si>
    <t>荻野 明</t>
  </si>
  <si>
    <t>support@adcal-inc.com</t>
  </si>
  <si>
    <t>株式会社アドカル</t>
  </si>
  <si>
    <t>谷田　朋貴</t>
  </si>
  <si>
    <t>リファラル</t>
  </si>
  <si>
    <t>dhayashi@kinto.co.jp</t>
  </si>
  <si>
    <t>株式会社キントー</t>
  </si>
  <si>
    <t>林　大介</t>
  </si>
  <si>
    <t>k-nagasaka@jre-sl.co.jp</t>
  </si>
  <si>
    <t>株式会社ＪＲ東日本スマートロジスティクス</t>
  </si>
  <si>
    <t>長坂 恭太朗</t>
  </si>
  <si>
    <t>info@irka.co.jp</t>
  </si>
  <si>
    <t>株式会社IRKA</t>
  </si>
  <si>
    <t>伊東和彦</t>
  </si>
  <si>
    <t>fumi.sanada@loccitane.com</t>
  </si>
  <si>
    <t>ロクシタンジャポン株式会社</t>
  </si>
  <si>
    <t>眞田 芙美</t>
  </si>
  <si>
    <t>mtakamura@pias.co.jp</t>
  </si>
  <si>
    <t>ピアス株式会社　ケサランパサランクリエイションズ</t>
  </si>
  <si>
    <t>髙村真弓</t>
  </si>
  <si>
    <t>sano@wiroad.co.jp</t>
  </si>
  <si>
    <t>株式会社ウィロード</t>
  </si>
  <si>
    <t>佐野翔太郎</t>
  </si>
  <si>
    <t>tianwudi1@gmail.com</t>
  </si>
  <si>
    <t>株式会社フラットランド</t>
  </si>
  <si>
    <t>田園</t>
  </si>
  <si>
    <t>〜300万円</t>
  </si>
  <si>
    <t>IS｜メルマガ15｜CTA3｜サービス資料</t>
  </si>
  <si>
    <t>IS｜メルマガ15｜CTA1｜サービス資料</t>
  </si>
  <si>
    <t>masatsugu.ishizaki@lixil.com</t>
  </si>
  <si>
    <t>株式会社lixil</t>
  </si>
  <si>
    <t>石崎 政継</t>
  </si>
  <si>
    <t>nishida-s@gold-t.com</t>
  </si>
  <si>
    <t>ゴールドトレーディング株式会社</t>
  </si>
  <si>
    <t>西田 章一</t>
  </si>
  <si>
    <t>masaharu.kondo@jurlique-japan.com</t>
  </si>
  <si>
    <t>ジュリーク・ジャパン株式会社</t>
  </si>
  <si>
    <t>近藤 正治</t>
  </si>
  <si>
    <t>株式会社acro</t>
  </si>
  <si>
    <t>a.takakura@ya-man.com</t>
  </si>
  <si>
    <t>ヤーマン株式会社</t>
  </si>
  <si>
    <t>高倉 亜都子</t>
  </si>
  <si>
    <t>yamamoto@jam-as.co.jp</t>
  </si>
  <si>
    <t>jam associates</t>
  </si>
  <si>
    <t>山本 浩司</t>
  </si>
  <si>
    <t>sato@depart.or.jp</t>
  </si>
  <si>
    <t>日本百貨店協会</t>
  </si>
  <si>
    <t>佐藤 信彦</t>
  </si>
  <si>
    <t>kaneko-k@shimizu-group.co.jp</t>
  </si>
  <si>
    <t>株式会社横浜シミズ</t>
  </si>
  <si>
    <t>金子 航大</t>
  </si>
  <si>
    <t>IS｜メルマガ15｜footer2｜サービス資料</t>
  </si>
  <si>
    <t>chiharu_yoshii@suntory.co.jp</t>
  </si>
  <si>
    <t>サントリー株式会社</t>
  </si>
  <si>
    <t>吉井 千晴</t>
  </si>
  <si>
    <t>miyazaki@aaa02.com</t>
  </si>
  <si>
    <t>アルティザン・アンド・アーティスト株式会社</t>
  </si>
  <si>
    <t>宮崎 浩子</t>
  </si>
  <si>
    <t>nami.moriguchi@brilliage.jp</t>
  </si>
  <si>
    <t>BRILLIAGE</t>
  </si>
  <si>
    <t>森口 菜美</t>
  </si>
  <si>
    <t>IS｜メルマガ17（B）｜footer2｜サービス資料</t>
  </si>
  <si>
    <t>IS｜メルマガ17（A）｜CTA2｜サービス資料</t>
  </si>
  <si>
    <t>toshiaki_arai@dbsc.co.jp</t>
  </si>
  <si>
    <t>荒井 利晃</t>
  </si>
  <si>
    <t>IS｜メルマガ17（B）｜CTA2｜サービス資料</t>
  </si>
  <si>
    <t>k-ito@movic.co.jp</t>
  </si>
  <si>
    <t>株式会社ムービック</t>
  </si>
  <si>
    <t>伊藤 寛</t>
  </si>
  <si>
    <t>IS｜メルマガ17（A）｜footer2｜サービス資料</t>
  </si>
  <si>
    <t>tanaka59077@yomiuri-johkai.co.jp</t>
  </si>
  <si>
    <t>株式会社読売情報開発</t>
  </si>
  <si>
    <t>田中 誠二</t>
  </si>
  <si>
    <t>masanobu.kawaguchi@lixil.com</t>
  </si>
  <si>
    <t>川口 雅宣</t>
  </si>
  <si>
    <t>wakebayashi.yusuke@jp.panasonic.com</t>
  </si>
  <si>
    <t>分林 佑介</t>
  </si>
  <si>
    <t>noriyukiendo@smcon.co.jp</t>
  </si>
  <si>
    <t>三井住友建設株式会社</t>
  </si>
  <si>
    <t>遠藤 典之</t>
  </si>
  <si>
    <t>i-ito@cozycorner.co.jp</t>
  </si>
  <si>
    <t>株式会社銀座コージーコーナー</t>
  </si>
  <si>
    <t>伊藤 一路</t>
  </si>
  <si>
    <t>e-kuroda@haagen-dazs.co.jp</t>
  </si>
  <si>
    <t>ハーゲンダッツジャパン株式会社</t>
  </si>
  <si>
    <t>黒田 悦子</t>
  </si>
  <si>
    <t>cse-6@zeshucommerce.com</t>
  </si>
  <si>
    <t>青島澤初国際貿易有限会社</t>
  </si>
  <si>
    <t>劉昭芳</t>
  </si>
  <si>
    <t>リファーラル</t>
  </si>
  <si>
    <t>IS｜メルマガ8リライト｜CTA1｜サービス資料</t>
  </si>
  <si>
    <t>eri.muto@fujifilm.com</t>
  </si>
  <si>
    <t>株式会社富士フイルムヘルスケアラボラトリー</t>
  </si>
  <si>
    <t>武藤 恵理</t>
  </si>
  <si>
    <t>IS｜メルマガ8リライト｜CTA2｜サービス資料</t>
  </si>
  <si>
    <t>hiroyasu.a@pg.com</t>
  </si>
  <si>
    <t>プロクター・アンド・ギャンブル・ジャパン株式会社</t>
  </si>
  <si>
    <t>廣保 有紗</t>
  </si>
  <si>
    <t>kumatoriya.naoki@otsuka.jp</t>
  </si>
  <si>
    <t>熊取谷 直毅</t>
  </si>
  <si>
    <t>shiho_horiuchi@suntory.co.jp</t>
  </si>
  <si>
    <t>サントリー食品インターナショナル株式会社</t>
  </si>
  <si>
    <t>堀内 志保</t>
  </si>
  <si>
    <t>arisa_kudo@fujifilm.co.jp</t>
  </si>
  <si>
    <t>富士フイルム株式会社</t>
  </si>
  <si>
    <t>工藤 ありさ</t>
  </si>
  <si>
    <t>tani.kazuyuki@aquaclara.co.jp</t>
  </si>
  <si>
    <t>アクアクララ株式会社</t>
  </si>
  <si>
    <t>谷 和幸</t>
  </si>
  <si>
    <t>IS｜メルマガ8リライト｜footer2｜サービス資料</t>
  </si>
  <si>
    <t>f4-nakamura@iy.7andi.co.jp</t>
  </si>
  <si>
    <t>株式会社イトーヨーカ堂</t>
  </si>
  <si>
    <t>中村 文絵</t>
  </si>
  <si>
    <t>inose27455@nissay.co.jp</t>
  </si>
  <si>
    <t>猪瀬 直子</t>
  </si>
  <si>
    <t>kasahara-mika@sej.7andi.co.jp</t>
  </si>
  <si>
    <t>株式会社セブン-イレブン・ジャパン</t>
  </si>
  <si>
    <t>笠原 美佳</t>
  </si>
  <si>
    <t>k-naoko@nochubank.or.jp</t>
  </si>
  <si>
    <t>農林中央金庫</t>
  </si>
  <si>
    <t>小板橋 尚子</t>
  </si>
  <si>
    <t>taka_nakamura@suntory.co.jp</t>
  </si>
  <si>
    <t>サントリーフーズ株式会社</t>
  </si>
  <si>
    <t>中村 隆司</t>
  </si>
  <si>
    <t>takayama_tomoko@nintendo.co.jp</t>
  </si>
  <si>
    <t>任天堂販売株式会社</t>
  </si>
  <si>
    <t>高山 友子</t>
  </si>
  <si>
    <t>maeda_t@maruchan.co.jp</t>
  </si>
  <si>
    <t>東洋水産株式会社</t>
  </si>
  <si>
    <t>前田 貴良</t>
  </si>
  <si>
    <t>sumiko.5480095@ichibanya.jp</t>
  </si>
  <si>
    <t>林 須美子</t>
  </si>
  <si>
    <t>satou_ryoji@lotte.co.jp</t>
  </si>
  <si>
    <t>株式会社ロッテ</t>
  </si>
  <si>
    <t>佐藤 良二</t>
  </si>
  <si>
    <t>camel.k-nohara@kaldi.co.jp</t>
  </si>
  <si>
    <t>野原 恭子</t>
  </si>
  <si>
    <t>田口 純子</t>
  </si>
  <si>
    <t>suzuki-kaoru@regal.co.jp</t>
  </si>
  <si>
    <t>鈴木 薫</t>
  </si>
  <si>
    <t>miyazawa@sanshinworld.com</t>
  </si>
  <si>
    <t>三信トレーディング株式会社</t>
  </si>
  <si>
    <t>宮澤 智明</t>
  </si>
  <si>
    <t>kawanamid1@lixil.co.jp</t>
  </si>
  <si>
    <t>川浪 大樹</t>
  </si>
  <si>
    <t>IS｜メルマガ25｜footer2｜サービス資料</t>
  </si>
  <si>
    <t>k.miyashita@sawai.co.jp</t>
  </si>
  <si>
    <t>沢井製薬株式会社</t>
  </si>
  <si>
    <t>宮下京子</t>
  </si>
  <si>
    <t>IS｜内製メルマガ26｜footer2｜サービス資料</t>
  </si>
  <si>
    <t>馬場慎也</t>
  </si>
  <si>
    <t>nakamura_remi@koyasan.or.jp</t>
  </si>
  <si>
    <t>総本山金剛峯寺</t>
  </si>
  <si>
    <t>中村玲実</t>
  </si>
  <si>
    <t>alice11511572@gmail.com</t>
  </si>
  <si>
    <t>株式会社パソナグループ</t>
  </si>
  <si>
    <t>わたなべなつ</t>
  </si>
  <si>
    <t>IS｜メルマガ18（A）｜CTA4｜サービス資料</t>
  </si>
  <si>
    <t>mizuhiro.kawaguchi@teads.com</t>
  </si>
  <si>
    <t>Teads Japan株式会社</t>
  </si>
  <si>
    <t>川口 瑞浩</t>
  </si>
  <si>
    <t>IS｜メルマガ18（A）｜footer2｜サービス資料</t>
  </si>
  <si>
    <t>h-matsunaga@taiho.co.jp</t>
  </si>
  <si>
    <t>大鵬薬品工業株式会社</t>
  </si>
  <si>
    <t>松永 寿夫</t>
  </si>
  <si>
    <t>k-hirata@hiratagas.co.jp</t>
  </si>
  <si>
    <t>有限会社平田ガスセンター</t>
  </si>
  <si>
    <t>平田敬士</t>
  </si>
  <si>
    <t>sainazono-h@freetherock.com</t>
  </si>
  <si>
    <t>フリーザロックエージェント株式会社</t>
  </si>
  <si>
    <t>才名園敬仁</t>
  </si>
  <si>
    <t>kamiyoshi@u-can.co.jp</t>
  </si>
  <si>
    <t>株式会社ユーキャン</t>
  </si>
  <si>
    <t>神吉肇</t>
  </si>
  <si>
    <t>オフラインソース</t>
  </si>
  <si>
    <t>hamade.p88w@jal.com</t>
  </si>
  <si>
    <t>日本航空株式会社</t>
  </si>
  <si>
    <t>濱出 有希子</t>
  </si>
  <si>
    <t>takahashin@densosha.com</t>
  </si>
  <si>
    <t>株式会社伝創社</t>
  </si>
  <si>
    <t>高橋希</t>
  </si>
  <si>
    <t>IS｜メルマガ16｜cta1｜サービス資料</t>
  </si>
  <si>
    <t>yusuke_kawai@suntory.co.jp</t>
  </si>
  <si>
    <t>サントリービール株式会社</t>
  </si>
  <si>
    <t>川合 悠介</t>
  </si>
  <si>
    <t>murata@futaba1957.co.jp</t>
  </si>
  <si>
    <t>双葉株式会社</t>
  </si>
  <si>
    <t>村田 博</t>
  </si>
  <si>
    <t>ky-mori@towayakuhin.co.jp</t>
  </si>
  <si>
    <t>東和薬品株式会社</t>
  </si>
  <si>
    <t>森 喜義</t>
  </si>
  <si>
    <t>IS｜メルマガ16｜cta3｜サービス資料</t>
  </si>
  <si>
    <t>a.watanabe@dianashoes.com</t>
  </si>
  <si>
    <t>ダイアナ株式会社</t>
  </si>
  <si>
    <t>渡部 あゆみ</t>
  </si>
  <si>
    <t>koshino-chiaki@yodoko.co.jp</t>
  </si>
  <si>
    <t>越野 千晶</t>
  </si>
  <si>
    <t>ry-suzuki@ogcr.co.jp</t>
  </si>
  <si>
    <t>大阪ガス・カスタマーリレーションズ株式会社</t>
  </si>
  <si>
    <t>鈴木 隆平</t>
  </si>
  <si>
    <t>n_yanagiya@haba.co.jp</t>
  </si>
  <si>
    <t>柳谷 奈々可</t>
  </si>
  <si>
    <t>omura6385@chateraise.co.jp</t>
  </si>
  <si>
    <t>大村 夏実</t>
  </si>
  <si>
    <t>kusunoki@hiromata.jp</t>
  </si>
  <si>
    <t>廣瀬又一株式会社</t>
  </si>
  <si>
    <t>楠 雅彦</t>
  </si>
  <si>
    <t>r_eguchi@pola.co.jp</t>
  </si>
  <si>
    <t>江口 里衣子</t>
  </si>
  <si>
    <t>umeda_k@yomiuri-jko.co.jp</t>
  </si>
  <si>
    <t>梅田 晃司</t>
  </si>
  <si>
    <t>n_sawada@ivy-company.jp</t>
  </si>
  <si>
    <t>澤田 直子</t>
  </si>
  <si>
    <t>a.kinokami@newart-ir.jp</t>
  </si>
  <si>
    <t>株式会社シーマ</t>
  </si>
  <si>
    <t>木上 有紗</t>
  </si>
  <si>
    <t>yutaka.ooshiro.ql@fm.fukoku-life.co.jp</t>
  </si>
  <si>
    <t>大城 裕</t>
  </si>
  <si>
    <t>miyosawa@hhq.suzuki.co.jp</t>
  </si>
  <si>
    <t>三代澤 晃</t>
  </si>
  <si>
    <t>spoturn-jessica@umail.hinet.net</t>
  </si>
  <si>
    <t>仁展株式会社</t>
  </si>
  <si>
    <t>蘇千恵</t>
  </si>
  <si>
    <t>sho.inoue@fujidream.co.jp</t>
  </si>
  <si>
    <t>株式会社フジドリームエアラインズ</t>
  </si>
  <si>
    <t>井上 翔</t>
  </si>
  <si>
    <t>yoriko_kozawa@am.sumitomolife.co.jp</t>
  </si>
  <si>
    <t>小澤 依子</t>
  </si>
  <si>
    <t>IS｜メルマガ23｜cta1｜WP1</t>
  </si>
  <si>
    <t>shigeo.ishimaru@bridgestone.com</t>
  </si>
  <si>
    <t>石丸 成夫</t>
  </si>
  <si>
    <t>suzuki223@sekisuihouse.co.jp</t>
  </si>
  <si>
    <t>積水ハウス株式会社</t>
  </si>
  <si>
    <t>鈴木 庸平</t>
  </si>
  <si>
    <t>m.yahata@anawf.co.jp</t>
  </si>
  <si>
    <t>ANAウィングフェローズ・ヴイ王子株式会社</t>
  </si>
  <si>
    <t>矢羽田 雅和</t>
  </si>
  <si>
    <t>atsushiyamatoya@jeans.ocn.ne.jp</t>
  </si>
  <si>
    <t>株式会社東進</t>
  </si>
  <si>
    <t>大和谷 篤史</t>
  </si>
  <si>
    <t>IS｜メルマガ23｜cta2｜WP1</t>
  </si>
  <si>
    <t>shimizu_haruka@dn.smbc.co.jp</t>
  </si>
  <si>
    <t>清水 春香</t>
  </si>
  <si>
    <t>s_tanabe@leopalace21.com</t>
  </si>
  <si>
    <t>株式会社レオパレス21</t>
  </si>
  <si>
    <t>田辺 忍</t>
  </si>
  <si>
    <t>kyowametal@biscuit.ocn.ne.jp</t>
  </si>
  <si>
    <t>協和メタル株式会社</t>
  </si>
  <si>
    <t>五十嵐 秀樹</t>
  </si>
  <si>
    <t>kobayasi@sic.shimano.co.jp</t>
  </si>
  <si>
    <t>株式会社シマノ</t>
  </si>
  <si>
    <t>小林 洋介</t>
  </si>
  <si>
    <t>naemi.asai@nagase.co.jp</t>
  </si>
  <si>
    <t>株式会社ナガセビューティケァ</t>
  </si>
  <si>
    <t>浅井 苗美</t>
  </si>
  <si>
    <t>sasaki.h@mazdabp.co.jp</t>
  </si>
  <si>
    <t>マツダビジネスパートナー株式会社</t>
  </si>
  <si>
    <t>佐々木 秀樹</t>
  </si>
  <si>
    <t>mi.mori@hino.co.jp</t>
  </si>
  <si>
    <t>森 美樹</t>
  </si>
  <si>
    <t>kawasaki@fellowroom.co.jp</t>
  </si>
  <si>
    <t>フェロールーム株式会社</t>
  </si>
  <si>
    <t>川崎 瑞記</t>
  </si>
  <si>
    <t>sayaka-uchiyama@belluna.co.jp</t>
  </si>
  <si>
    <t>株式会社ベルーナ</t>
  </si>
  <si>
    <t>内山 清香</t>
  </si>
  <si>
    <t>rsasaki@dhc.co.jp</t>
  </si>
  <si>
    <t>佐々木 理衣</t>
  </si>
  <si>
    <t>emahi.yasuda@husqvarnagroup.com</t>
  </si>
  <si>
    <t>ハスクバーナ・ゼノア株式会社</t>
  </si>
  <si>
    <t>安田 咲日</t>
  </si>
  <si>
    <t>ayako_shima@usjc.co.jp</t>
  </si>
  <si>
    <t>合同会社ユー・エス・ジェイ</t>
  </si>
  <si>
    <t>島 綾子</t>
  </si>
  <si>
    <t>n-kamimura@owndays.co.jp</t>
  </si>
  <si>
    <t>神村 則英</t>
  </si>
  <si>
    <t>shintani-mari@yodoko.co.jp</t>
  </si>
  <si>
    <t>新谷 麻吏</t>
  </si>
  <si>
    <t>IS｜メルマガ29｜footer2｜サービス資料</t>
  </si>
  <si>
    <t>tsujino.kento@byd.com</t>
  </si>
  <si>
    <t>BYD Auto Japan株式会社</t>
  </si>
  <si>
    <t>辻野 賢登</t>
  </si>
  <si>
    <t>nobuhiko.kurihara@asahiinryo.co.jp</t>
  </si>
  <si>
    <t>栗原 信彦</t>
  </si>
  <si>
    <t>IS｜メルマガ22｜cta1｜サービス資料</t>
  </si>
  <si>
    <t>junichi.nishikata.wt@fm.fukoku-life.co.jp</t>
  </si>
  <si>
    <t>西潟 純一</t>
  </si>
  <si>
    <t>IS｜メルマガ22｜footer2｜サービス資料</t>
  </si>
  <si>
    <t>kanda.ats@mazda.co.jp</t>
  </si>
  <si>
    <t>マツダ株式会社</t>
  </si>
  <si>
    <t>神田 篤</t>
  </si>
  <si>
    <t>satomi.yagi@angp.jp</t>
  </si>
  <si>
    <t>八木 聡美</t>
  </si>
  <si>
    <t>a.shimada@hor.co.jp</t>
  </si>
  <si>
    <t>株式会社ハウスオブローゼ</t>
  </si>
  <si>
    <t>嶋田 綾子</t>
  </si>
  <si>
    <t>jss6128@jss-group.co.jp</t>
  </si>
  <si>
    <t>株式会社ジェイエスエス</t>
  </si>
  <si>
    <t>富永 典秀</t>
  </si>
  <si>
    <t>komatsuzaki_yujim@mary.co.jp</t>
  </si>
  <si>
    <t>株式会社メリーチョコレートカムパニー</t>
  </si>
  <si>
    <t>小松﨑 裕寿</t>
  </si>
  <si>
    <t>m-kojima@haagen-dazs.co.jp</t>
  </si>
  <si>
    <t>小島 芽子</t>
  </si>
  <si>
    <t>at.inoue@i-ne.co.jp</t>
  </si>
  <si>
    <t>株式会社I-ne</t>
  </si>
  <si>
    <t>井上 敦貴</t>
  </si>
  <si>
    <t>horie_kaori@lotte.co.jp</t>
  </si>
  <si>
    <t>堀江 かほり</t>
  </si>
  <si>
    <t>hiroaki.sugita@g.softbank.co.jp</t>
  </si>
  <si>
    <t>ソフトバンクグループ株式会社</t>
  </si>
  <si>
    <t>杉田 弘明</t>
  </si>
  <si>
    <t>katou-d@charle.co.jp</t>
  </si>
  <si>
    <t>株式会社シャルレ</t>
  </si>
  <si>
    <t>加藤 大介</t>
  </si>
  <si>
    <t>katsumi.shiroto@proner.jp</t>
  </si>
  <si>
    <t>個人事業主　白戸克海</t>
  </si>
  <si>
    <t>白戸克海</t>
  </si>
  <si>
    <t>〜5000万円</t>
  </si>
  <si>
    <t>odagiri@osstech.co.jp</t>
  </si>
  <si>
    <t>ＯＳＳＴｅｃｈ株式会社</t>
  </si>
  <si>
    <t>小田切 耕司</t>
  </si>
  <si>
    <t>isami.yamaguchi@gpol.co.jp</t>
  </si>
  <si>
    <t>株式会社ジーピーオンライン</t>
  </si>
  <si>
    <t>鈴木 義宏</t>
  </si>
  <si>
    <t>〜500万円</t>
  </si>
  <si>
    <t>IS｜メルマガNo.28｜cta1｜サービス資料</t>
  </si>
  <si>
    <t>ide.ryota@otsuka.jp</t>
  </si>
  <si>
    <t>井手 涼太</t>
  </si>
  <si>
    <t>伊藤 和洋</t>
  </si>
  <si>
    <t>IS｜メルマガNo.28｜cta4｜サービス資料</t>
  </si>
  <si>
    <t>tamai0053@sekisuihouse.co.jp</t>
  </si>
  <si>
    <t>積水ハウス不動産関西株式会社</t>
  </si>
  <si>
    <t>玉井 翔太</t>
  </si>
  <si>
    <t>iwanishi_shoshin@koyasan.or.jp</t>
  </si>
  <si>
    <t>岩西 彰真</t>
  </si>
  <si>
    <t>masuda-n@shimizu-group.co.jp</t>
  </si>
  <si>
    <t>増田 奈央</t>
  </si>
  <si>
    <t>aokim@star.tombow.co.jp</t>
  </si>
  <si>
    <t>株式会社トンボ鉛筆</t>
  </si>
  <si>
    <t>青木真衣</t>
  </si>
  <si>
    <t>ohgishi@withxpartners.com</t>
  </si>
  <si>
    <t>ウィズエクスパートナーズ株式会社</t>
  </si>
  <si>
    <t>大岸　崇是</t>
  </si>
  <si>
    <t>naoki.nakamura.nv@hitachi.com</t>
  </si>
  <si>
    <t>日立グローバルライフソリューションズ株式会社</t>
  </si>
  <si>
    <t>中村 直貴</t>
  </si>
  <si>
    <t>IS｜メルマガ27｜footer2｜サービス資料</t>
  </si>
  <si>
    <t>s-ishimoto@kk-nissan.co.jp</t>
  </si>
  <si>
    <t>株式会社日本産業</t>
  </si>
  <si>
    <t>石本 真一</t>
  </si>
  <si>
    <t>mitsugu.iwashita@morito.co.jp</t>
  </si>
  <si>
    <t>モリトアパレル株式会社</t>
  </si>
  <si>
    <t>岩下 貢</t>
  </si>
  <si>
    <t>ベル24問い合わせ</t>
  </si>
  <si>
    <t xml:space="preserve">kana_miyahara@haruyama.biz </t>
  </si>
  <si>
    <t>はるやま商事株式会社</t>
  </si>
  <si>
    <t>宮原　佳奈</t>
  </si>
  <si>
    <t>電話</t>
  </si>
  <si>
    <t>n-ishikawa@artec-kk.co.jp</t>
  </si>
  <si>
    <t>株式会社アーテック</t>
  </si>
  <si>
    <t>石川直也</t>
  </si>
  <si>
    <t>IS｜メルマガNo.37｜cta3｜WP1</t>
  </si>
  <si>
    <t>takuya6.watanabe@glb.toshiba.co.jp</t>
  </si>
  <si>
    <t>東芝エレベータ株式会社</t>
  </si>
  <si>
    <t>渡邊 拓也</t>
  </si>
  <si>
    <t>s-kitajima.az@srigroup.co.jp</t>
  </si>
  <si>
    <t>住友ゴム工業株式会社</t>
  </si>
  <si>
    <t>北島 慎也</t>
  </si>
  <si>
    <t>IS｜メルマガNo.37｜cta4｜サービス資料</t>
  </si>
  <si>
    <t>tatsuya_makino@suntory.co.jp</t>
  </si>
  <si>
    <t>牧野 竜也</t>
  </si>
  <si>
    <t>chizuru.nakagawa@itp.kindai.ac.jp</t>
  </si>
  <si>
    <t>近畿大学</t>
  </si>
  <si>
    <t>中川 千鶴</t>
  </si>
  <si>
    <t>jitsumori.m@pg.com</t>
  </si>
  <si>
    <t>P&amp;Gプレステージ合同会社</t>
  </si>
  <si>
    <t>実森 美佐子</t>
  </si>
  <si>
    <t>t-uchida@kreo.jp</t>
  </si>
  <si>
    <t>株式会社クレオ</t>
  </si>
  <si>
    <t>内田竹彦</t>
  </si>
  <si>
    <t>入力画面: IS_インサイトセールス_WP1_お役立ち資料</t>
  </si>
  <si>
    <t>c-tokura@aisei.co.jp</t>
  </si>
  <si>
    <t>株式会社アイセイ薬局</t>
  </si>
  <si>
    <t>土蔵千里</t>
  </si>
  <si>
    <t>（値なし）</t>
  </si>
  <si>
    <t>kristyna.adamkova@finepack.com</t>
  </si>
  <si>
    <t>FINEPACK SE</t>
  </si>
  <si>
    <t>アダムコバー・クリスティーナ</t>
  </si>
  <si>
    <t>IS｜メルマガ37｜footer2｜サービス資料</t>
  </si>
  <si>
    <t>akihito.nakajima@fujifilm.com</t>
  </si>
  <si>
    <t>富士フイルムビジネスエキスパート株式会社</t>
  </si>
  <si>
    <t>中島 昭仁</t>
  </si>
  <si>
    <t>IS｜メルマガ38｜cta1｜サービス資料DL</t>
  </si>
  <si>
    <t>yamamoto03@daiwahouse.jp</t>
  </si>
  <si>
    <t>大和ハウス工業株式会社</t>
  </si>
  <si>
    <t>山本 裕之</t>
  </si>
  <si>
    <t>takumi_toyama@kibun-ti.co.jp</t>
  </si>
  <si>
    <t>株式会社紀文産業</t>
  </si>
  <si>
    <t>富山 巧</t>
  </si>
  <si>
    <t>m-seki@chanson.co.jp</t>
  </si>
  <si>
    <t>株式会社シャンソン化粧品</t>
  </si>
  <si>
    <t>關 惠</t>
  </si>
  <si>
    <t>aya0604@fancl.co.jp</t>
  </si>
  <si>
    <t>染井 彩</t>
  </si>
  <si>
    <t>mayumi.hayama@aderans.com</t>
  </si>
  <si>
    <t>株式会社アデランス</t>
  </si>
  <si>
    <t>早間 真由美</t>
  </si>
  <si>
    <t>k-kawahara@ivr-hd.jp</t>
  </si>
  <si>
    <t>NVERSE HD株式会社</t>
  </si>
  <si>
    <t>白石 美咲</t>
  </si>
  <si>
    <t>IS｜メルマガNo.33｜cta2｜サービス資料</t>
  </si>
  <si>
    <t>m-nishi@nisshin-oillio.com</t>
  </si>
  <si>
    <t>日清オイリオグループ株式会社</t>
  </si>
  <si>
    <t>西 真渚</t>
  </si>
  <si>
    <t>IS｜メルマガNo.33｜cta1｜サービス資料</t>
  </si>
  <si>
    <t>ynarita@lindt.com</t>
  </si>
  <si>
    <t>成田 雪那</t>
  </si>
  <si>
    <t>IS｜メルマガNo.34｜cta1｜サービス資料</t>
  </si>
  <si>
    <t>Input screen: IS_insight-sales-お問合せ・ご相談</t>
  </si>
  <si>
    <t>tetsuo@kinsan-ad.com</t>
  </si>
  <si>
    <t>Kinsan Global 合同会社</t>
  </si>
  <si>
    <t>村西 哲郎</t>
  </si>
  <si>
    <t>IS｜メルマガ36｜footer2｜サービス資料</t>
  </si>
  <si>
    <t>ch1-takagi@aeondelight.jp</t>
  </si>
  <si>
    <t>イオンディライト株式会社</t>
  </si>
  <si>
    <t>髙木 千聡</t>
  </si>
  <si>
    <t>IS｜メルマガNo.40｜cta1｜サービス資料</t>
  </si>
  <si>
    <t>★以下引きあがり情報未確認　※6/30までCV追加済み</t>
  </si>
  <si>
    <t>masumi-koyama@yakult.co.jp</t>
  </si>
  <si>
    <t>ヤクルト商事株式会社</t>
  </si>
  <si>
    <t>小山 真朱美</t>
  </si>
  <si>
    <t>sako-k@toyoumo.co.jp</t>
  </si>
  <si>
    <t>東洋羽毛工業株式会社</t>
  </si>
  <si>
    <t>佐古 一浩</t>
  </si>
  <si>
    <t>aban@rental.co.jp</t>
  </si>
  <si>
    <t>株式会社レンタルのニッケン</t>
  </si>
  <si>
    <t>アーバン鈴木</t>
  </si>
  <si>
    <t>IS｜メルマガ40｜footer2｜サービス資料</t>
  </si>
  <si>
    <t>matsuo.toshifumi@byd.com</t>
  </si>
  <si>
    <t>松尾 敏文</t>
  </si>
  <si>
    <t>iyo0158cj6@iyobank.co.jp</t>
  </si>
  <si>
    <t>株式会社伊予銀行</t>
  </si>
  <si>
    <t>大條 小真姫</t>
  </si>
  <si>
    <t>IS｜メルマガ41｜footer2｜サービス資料</t>
  </si>
  <si>
    <t>hisashi.iijima@fujifilm.com</t>
  </si>
  <si>
    <t>飯島 恒</t>
  </si>
  <si>
    <t>jw_lin@aeonpet.co.jp</t>
  </si>
  <si>
    <t>林 靖文</t>
  </si>
  <si>
    <t>（～6月）サービス資料DLアタックリスト</t>
  </si>
  <si>
    <t>　</t>
  </si>
  <si>
    <t>Salesally</t>
  </si>
  <si>
    <t>DL日時</t>
  </si>
  <si>
    <t>新・既</t>
  </si>
  <si>
    <t>企業名</t>
  </si>
  <si>
    <t>部署</t>
  </si>
  <si>
    <t>電話番号</t>
  </si>
  <si>
    <t>名前</t>
  </si>
  <si>
    <t>タッチダウン</t>
  </si>
  <si>
    <t>通知</t>
  </si>
  <si>
    <t>is担当</t>
  </si>
  <si>
    <t>IS直近履歴</t>
  </si>
  <si>
    <t>un担当</t>
  </si>
  <si>
    <t>メール発信</t>
  </si>
  <si>
    <t>架電</t>
  </si>
  <si>
    <t>結果</t>
  </si>
  <si>
    <t>閲覧認知</t>
  </si>
  <si>
    <t>商談角度</t>
  </si>
  <si>
    <t>検証</t>
  </si>
  <si>
    <t>新規</t>
  </si>
  <si>
    <t>開発本部</t>
  </si>
  <si>
    <t>中村あゆみ</t>
  </si>
  <si>
    <t>240520/1</t>
  </si>
  <si>
    <t>向山あいる</t>
  </si>
  <si>
    <t>宮城実季</t>
  </si>
  <si>
    <t>担当名で行きつかず</t>
  </si>
  <si>
    <t>連絡先が不明確</t>
  </si>
  <si>
    <t>セイコーウォッチ株式会社</t>
  </si>
  <si>
    <t>03-3564-4909</t>
  </si>
  <si>
    <t>南村航介</t>
  </si>
  <si>
    <t>横江さん</t>
  </si>
  <si>
    <t>-</t>
  </si>
  <si>
    <t>049-246-7055</t>
  </si>
  <si>
    <t>宮本昌明</t>
  </si>
  <si>
    <t>濱田実歩</t>
  </si>
  <si>
    <t>宮坂実季</t>
  </si>
  <si>
    <t>担当者退社の為、いったん広報山崎様へ改めてメール→連絡がないので5/14にFSP担当あてに電話</t>
  </si>
  <si>
    <t>×</t>
  </si>
  <si>
    <t>△</t>
  </si>
  <si>
    <t>担当への自主提案滞り</t>
  </si>
  <si>
    <t>休眠</t>
  </si>
  <si>
    <t>栢森厚志</t>
  </si>
  <si>
    <t>長谷川拓未</t>
  </si>
  <si>
    <t>既存</t>
  </si>
  <si>
    <t>コーポレートサービス本部</t>
  </si>
  <si>
    <t>嶋田ふみ</t>
  </si>
  <si>
    <t>松下洋士</t>
  </si>
  <si>
    <t>小松さんフォロー中</t>
  </si>
  <si>
    <t>本社ソリューション事業部</t>
  </si>
  <si>
    <t>早川千織</t>
  </si>
  <si>
    <t>山根萌</t>
  </si>
  <si>
    <t>久野雄大</t>
  </si>
  <si>
    <t>堤嘉亮</t>
  </si>
  <si>
    <t>済</t>
  </si>
  <si>
    <t>沼田真吾</t>
  </si>
  <si>
    <t>株式会社丸善ジュンク堂堂島店</t>
  </si>
  <si>
    <t>営業本部店舗管理部</t>
  </si>
  <si>
    <t>03-6457-7101</t>
  </si>
  <si>
    <t>福島志保</t>
  </si>
  <si>
    <t>中村亮介</t>
  </si>
  <si>
    <t>商談化</t>
  </si>
  <si>
    <t>〇</t>
  </si>
  <si>
    <t>ベルメゾン拡販新部署</t>
  </si>
  <si>
    <t>06-6881-3232</t>
  </si>
  <si>
    <t>西村竜利</t>
  </si>
  <si>
    <t>従来の自社サイトではなく領域を広げる部署設立→案件が見えず断念</t>
  </si>
  <si>
    <t>規模が少ない為フォローせず</t>
  </si>
  <si>
    <t>ハウス食品グループ</t>
  </si>
  <si>
    <t>研究開発部</t>
  </si>
  <si>
    <t>043-237-5211</t>
  </si>
  <si>
    <t>小濱佑介</t>
  </si>
  <si>
    <t>井出さん</t>
  </si>
  <si>
    <t>（7月～）サービス資料DLアタックリスト</t>
  </si>
  <si>
    <t>流通開発部次長兼販売担当次長</t>
  </si>
  <si>
    <t>06-6201-8291</t>
  </si>
  <si>
    <t>阿河健太郎</t>
  </si>
  <si>
    <t>小西さん</t>
  </si>
  <si>
    <t>8/8小西さんが山口さんにフォローするかの確認を盆明け→大阪なので田川が対応→ご担当の阿河様は定年で部署移動→興味本位で資料を見たとのことで進展はなし</t>
  </si>
  <si>
    <t>特にお願いすることはない</t>
  </si>
  <si>
    <t>朝日新聞販売サービス</t>
  </si>
  <si>
    <t>事業本部プロデュースセンター</t>
  </si>
  <si>
    <t>03-3541-8044</t>
  </si>
  <si>
    <t>花元咲那</t>
  </si>
  <si>
    <t>なし</t>
  </si>
  <si>
    <t>単なる興味のみで特にその後の必要性はないとの事</t>
  </si>
  <si>
    <t>第5ビジネスプロデュース局ビジネスプロデュース部</t>
  </si>
  <si>
    <t>03-6216-9292</t>
  </si>
  <si>
    <t>中野佳介</t>
  </si>
  <si>
    <t>濱崎さん</t>
  </si>
  <si>
    <t>松淳</t>
  </si>
  <si>
    <t>連絡がつかず</t>
  </si>
  <si>
    <t>担当者まで行きつかず</t>
  </si>
  <si>
    <t>ワミレスコスメティックス</t>
  </si>
  <si>
    <t>マーケティング本部販売推進課</t>
  </si>
  <si>
    <t>045-847-0004</t>
  </si>
  <si>
    <t>福吉祥子</t>
  </si>
  <si>
    <t>宮本さん</t>
  </si>
  <si>
    <t>現時点では面談の必要なしとの事（おそらくコフレポーチをイメージしておられる）</t>
  </si>
  <si>
    <t>サントリーウェルネス</t>
  </si>
  <si>
    <t>スキンケア事業部</t>
  </si>
  <si>
    <t>050-1734-6127</t>
  </si>
  <si>
    <t>宇美郁子</t>
  </si>
  <si>
    <t>酒井→長谷川</t>
  </si>
  <si>
    <t>シチズン時計</t>
  </si>
  <si>
    <t>国内営業本部開発営業部開発営業課</t>
  </si>
  <si>
    <t>042-468-4635</t>
  </si>
  <si>
    <t>岡崎光陽</t>
  </si>
  <si>
    <t>濱田さん</t>
  </si>
  <si>
    <t>日野さん</t>
  </si>
  <si>
    <t>現在記念品の営業との事で盆明けに改めてご挨拶の打診メールのお約束</t>
  </si>
  <si>
    <t>オンライン商談後連絡つかず</t>
  </si>
  <si>
    <t>青木さん</t>
  </si>
  <si>
    <t>仕入先</t>
  </si>
  <si>
    <t>酒井さん</t>
  </si>
  <si>
    <t>寺田さん</t>
  </si>
  <si>
    <t>新井さん</t>
  </si>
  <si>
    <t>070-2195-6239</t>
  </si>
  <si>
    <t>松崎さん</t>
  </si>
  <si>
    <t>九州営業所→千葉へ異動　携帯電話不在</t>
  </si>
  <si>
    <t>ソフトバンク関連の仕入れ先で案件なし</t>
  </si>
  <si>
    <t>山崎さん</t>
  </si>
  <si>
    <t>前川さん</t>
  </si>
  <si>
    <t>井上さん</t>
  </si>
  <si>
    <t>田川さん</t>
  </si>
  <si>
    <t>和田さん</t>
  </si>
  <si>
    <t>特に相談はない</t>
  </si>
  <si>
    <t>全く商談の意向が感じられず</t>
  </si>
  <si>
    <t>石井さん</t>
  </si>
  <si>
    <t>西村さん</t>
  </si>
  <si>
    <t>松下さん</t>
  </si>
  <si>
    <t>連絡つかず</t>
  </si>
  <si>
    <t>名刺情報が古すぎる</t>
  </si>
  <si>
    <t>岩原純子</t>
  </si>
  <si>
    <t>早川さん</t>
  </si>
  <si>
    <t>くまがや農協協同組合</t>
  </si>
  <si>
    <t>荻野昭</t>
  </si>
  <si>
    <t>タイアップ野上さん</t>
  </si>
  <si>
    <t>ロクシタンジャパン株式会社</t>
  </si>
  <si>
    <r>
      <t>眞田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ＭＳ Ｐゴシック"/>
        <family val="3"/>
        <charset val="128"/>
      </rPr>
      <t>芙美</t>
    </r>
  </si>
  <si>
    <t>加藤さん</t>
  </si>
  <si>
    <r>
      <t>山嵜</t>
    </r>
    <r>
      <rPr>
        <b/>
        <sz val="10"/>
        <color rgb="FF181818"/>
        <rFont val="ＭＳ Ｐゴシック"/>
        <family val="3"/>
        <charset val="128"/>
      </rPr>
      <t>さん</t>
    </r>
  </si>
  <si>
    <t>9/48</t>
  </si>
  <si>
    <t>OWへの期待度はなく　特にお願いすることはない</t>
  </si>
  <si>
    <t>OWの印象が悪い</t>
  </si>
  <si>
    <t>株式会社LikXil</t>
  </si>
  <si>
    <t>石崎政継</t>
  </si>
  <si>
    <t>中村さん</t>
  </si>
  <si>
    <t>西田章一</t>
  </si>
  <si>
    <t>クリエイティブアシスタントマネージャー</t>
  </si>
  <si>
    <t>03-3494-7027</t>
  </si>
  <si>
    <t>近藤正治</t>
  </si>
  <si>
    <t>髙木さん</t>
  </si>
  <si>
    <t>久野さん</t>
  </si>
  <si>
    <t>キャンペーン案件規模が200万程度で規模少ない様子</t>
  </si>
  <si>
    <t>追う案件ではなかった</t>
  </si>
  <si>
    <t>足立原桜子</t>
  </si>
  <si>
    <t>向山さん</t>
  </si>
  <si>
    <t>高倉亜都子</t>
  </si>
  <si>
    <t>坂本さん</t>
  </si>
  <si>
    <t>jom associates株式会社</t>
  </si>
  <si>
    <t>山本浩司</t>
  </si>
  <si>
    <t>佐藤信彦</t>
  </si>
  <si>
    <t>金子航太</t>
  </si>
  <si>
    <t>サントリーmonozukuriエキスパート株式会社</t>
  </si>
  <si>
    <t>大竹篤</t>
  </si>
  <si>
    <t>長谷川拓</t>
  </si>
  <si>
    <t>吉井千晴</t>
  </si>
  <si>
    <t>株式会社パリミキ</t>
  </si>
  <si>
    <t>三海美千代</t>
  </si>
  <si>
    <t>沼田さん</t>
  </si>
  <si>
    <t>アルティザン・アンド・アーチスト株式会社</t>
  </si>
  <si>
    <t>宮崎浩子</t>
  </si>
  <si>
    <t>森口菜美</t>
  </si>
  <si>
    <t>大和さん</t>
  </si>
  <si>
    <t>新井 利晃</t>
  </si>
  <si>
    <t>ー</t>
  </si>
  <si>
    <t>日本シャグリー株式会社</t>
  </si>
  <si>
    <t>マーケティング本部</t>
  </si>
  <si>
    <t>山根麻衣子</t>
  </si>
  <si>
    <t>周年記念5月に終了　制作物は規模が小さい　スペース展望なし　フォローしない</t>
  </si>
  <si>
    <t>規模が小さく追う必要性なし</t>
  </si>
  <si>
    <t>伊藤寛</t>
  </si>
  <si>
    <t>ボール投げっぱなしで返答なし状態</t>
  </si>
  <si>
    <t>連絡先が不明で停滞</t>
  </si>
  <si>
    <t>田中誠二</t>
  </si>
  <si>
    <t>川口雅宣</t>
  </si>
  <si>
    <t>分林佑介</t>
  </si>
  <si>
    <t>遠藤典之</t>
  </si>
  <si>
    <t>長谷川慎</t>
  </si>
  <si>
    <t>杉本さん</t>
  </si>
  <si>
    <t>株式会社金座コージーコーナー</t>
  </si>
  <si>
    <t>伊藤一路</t>
  </si>
  <si>
    <t>黒田悦子</t>
  </si>
  <si>
    <t>辰巳さん</t>
  </si>
  <si>
    <t>冨士フィルムヘルスケアラボラトリー</t>
  </si>
  <si>
    <t>yukako.naito@fujifilm.com</t>
  </si>
  <si>
    <t>内藤 由佳子</t>
  </si>
  <si>
    <r>
      <t>武藤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恵理</t>
    </r>
  </si>
  <si>
    <t>プロクター・アンド・ギャンブル・ジャパン</t>
  </si>
  <si>
    <r>
      <t>廣保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有紗</t>
    </r>
  </si>
  <si>
    <r>
      <t>熊取谷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直毅</t>
    </r>
  </si>
  <si>
    <t>井手さん</t>
  </si>
  <si>
    <r>
      <t>堀内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志保</t>
    </r>
  </si>
  <si>
    <t>FFHC担当</t>
  </si>
  <si>
    <r>
      <t>工藤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ありさ</t>
    </r>
  </si>
  <si>
    <t>富士フィルムヘルスケア関連の為、富士フィルム本体への切り込みできない</t>
  </si>
  <si>
    <r>
      <t>谷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和幸</t>
    </r>
  </si>
  <si>
    <t>1/23オンライン商談→次回ポイント交換などの新施策自主提案予定</t>
  </si>
  <si>
    <t>自主提案可能</t>
  </si>
  <si>
    <t>衣料雑貨部MD</t>
  </si>
  <si>
    <r>
      <t>中村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文絵</t>
    </r>
  </si>
  <si>
    <t>衣料雑貨撤退→肌着部署で今後の関係は難しい　リカバリーも開発の意思なし</t>
  </si>
  <si>
    <t>企業体制の変化で追う案件はなし</t>
  </si>
  <si>
    <t>03-6238-3340</t>
  </si>
  <si>
    <r>
      <t>猪瀬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直子</t>
    </r>
  </si>
  <si>
    <t>原田さん</t>
  </si>
  <si>
    <t>任天堂株式会社</t>
  </si>
  <si>
    <t>営業戦略室販売企画グループ</t>
  </si>
  <si>
    <t>06-7167-5560</t>
  </si>
  <si>
    <r>
      <t>高山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友子</t>
    </r>
  </si>
  <si>
    <t>村垣さん</t>
  </si>
  <si>
    <t>小川さん</t>
  </si>
  <si>
    <t>メールにて案件情報取得</t>
  </si>
  <si>
    <r>
      <t>小板橋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尚子</t>
    </r>
  </si>
  <si>
    <r>
      <t>前田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貴良</t>
    </r>
  </si>
  <si>
    <t>藤原さん</t>
  </si>
  <si>
    <r>
      <t>株式会社セブン</t>
    </r>
    <r>
      <rPr>
        <sz val="12"/>
        <color rgb="FF000000"/>
        <rFont val="Arial"/>
        <family val="2"/>
      </rPr>
      <t>-</t>
    </r>
    <r>
      <rPr>
        <sz val="12"/>
        <color rgb="FF000000"/>
        <rFont val="ＭＳ Ｐゴシック"/>
        <family val="3"/>
        <charset val="128"/>
      </rPr>
      <t>イレブン・ジャパン</t>
    </r>
  </si>
  <si>
    <r>
      <t>笠原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美佳</t>
    </r>
  </si>
  <si>
    <r>
      <t>林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須美子</t>
    </r>
  </si>
  <si>
    <r>
      <t>佐藤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良二</t>
    </r>
  </si>
  <si>
    <r>
      <t>野原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恭子</t>
    </r>
  </si>
  <si>
    <t>株式会社世界文化ブックス070-1257-5379</t>
  </si>
  <si>
    <t>セールスマーケティング本部特販室</t>
  </si>
  <si>
    <t>03-3262-5115</t>
  </si>
  <si>
    <r>
      <t>松村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元幸</t>
    </r>
  </si>
  <si>
    <r>
      <t>田口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純子</t>
    </r>
  </si>
  <si>
    <r>
      <t>鈴木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薫</t>
    </r>
  </si>
  <si>
    <r>
      <t>宮澤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智明</t>
    </r>
  </si>
  <si>
    <r>
      <t>安田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和彦</t>
    </r>
  </si>
  <si>
    <r>
      <t>株式会社</t>
    </r>
    <r>
      <rPr>
        <sz val="12"/>
        <color rgb="FF000000"/>
        <rFont val="Arial"/>
        <family val="2"/>
      </rPr>
      <t>LIXIL</t>
    </r>
  </si>
  <si>
    <r>
      <t>川浪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大樹</t>
    </r>
  </si>
  <si>
    <t>営業統括部営業学術グループ→営業部</t>
  </si>
  <si>
    <t>宮下涼子</t>
  </si>
  <si>
    <t>田川</t>
  </si>
  <si>
    <t>担当部署が営業部に代わりお願いすることはなし→別途工場スペースをフォロー中</t>
  </si>
  <si>
    <t>担当者が別部署の為商談化の見込み無し</t>
  </si>
  <si>
    <r>
      <t>馬場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慎也</t>
    </r>
  </si>
  <si>
    <t>総務局</t>
  </si>
  <si>
    <r>
      <t>中村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玲実</t>
    </r>
  </si>
  <si>
    <t>２月にアポイント</t>
  </si>
  <si>
    <t>検討</t>
  </si>
  <si>
    <r>
      <t>Teads Japan</t>
    </r>
    <r>
      <rPr>
        <sz val="12"/>
        <color rgb="FF000000"/>
        <rFont val="ＭＳ Ｐゴシック"/>
        <family val="3"/>
        <charset val="128"/>
      </rPr>
      <t>株式会社</t>
    </r>
  </si>
  <si>
    <t>川口瑞浩</t>
  </si>
  <si>
    <t>松永寿夫</t>
  </si>
  <si>
    <r>
      <t>濱出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有希子</t>
    </r>
  </si>
  <si>
    <t>小松さん</t>
  </si>
  <si>
    <r>
      <t>川合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悠介</t>
    </r>
  </si>
  <si>
    <r>
      <t>村田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博</t>
    </r>
  </si>
  <si>
    <t>広報</t>
  </si>
  <si>
    <r>
      <t>森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喜義</t>
    </r>
  </si>
  <si>
    <t>特にに商談する気はない</t>
  </si>
  <si>
    <t>追う必要なし</t>
  </si>
  <si>
    <r>
      <t>渡部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あゆみ</t>
    </r>
  </si>
  <si>
    <r>
      <t>越野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千晶</t>
    </r>
  </si>
  <si>
    <r>
      <t>鈴木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隆平</t>
    </r>
  </si>
  <si>
    <t>doi-risako@yodoko.co.jp</t>
  </si>
  <si>
    <r>
      <t>土井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理佐子</t>
    </r>
  </si>
  <si>
    <r>
      <t>柳谷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奈々可</t>
    </r>
  </si>
  <si>
    <r>
      <t>大村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夏実</t>
    </r>
  </si>
  <si>
    <t>車田さん</t>
  </si>
  <si>
    <r>
      <t>伊藤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寛</t>
    </r>
  </si>
  <si>
    <r>
      <t>楠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雅彦</t>
    </r>
  </si>
  <si>
    <t>：株式会社ポーラ</t>
  </si>
  <si>
    <r>
      <t>江口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里衣子</t>
    </r>
  </si>
  <si>
    <r>
      <t>伊藤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一路</t>
    </r>
  </si>
  <si>
    <r>
      <t>西田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章一</t>
    </r>
  </si>
  <si>
    <r>
      <t>梅田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晃司</t>
    </r>
  </si>
  <si>
    <r>
      <t>澤田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直子</t>
    </r>
  </si>
  <si>
    <r>
      <t>木上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有紗</t>
    </r>
  </si>
  <si>
    <r>
      <t>大城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裕</t>
    </r>
  </si>
  <si>
    <r>
      <t>三代澤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晃</t>
    </r>
  </si>
  <si>
    <t>神藤さん</t>
  </si>
  <si>
    <t>営業統括部　</t>
  </si>
  <si>
    <r>
      <t>井上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翔</t>
    </r>
  </si>
  <si>
    <t>担当と行き違いで引き続きアプローチ</t>
  </si>
  <si>
    <r>
      <t>小澤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依子</t>
    </r>
  </si>
  <si>
    <r>
      <t>川口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瑞浩</t>
    </r>
  </si>
  <si>
    <r>
      <t>石丸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成夫</t>
    </r>
  </si>
  <si>
    <r>
      <t>鈴木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庸平</t>
    </r>
  </si>
  <si>
    <t>n.onodera@st-grp.co.jp</t>
  </si>
  <si>
    <r>
      <t>小野寺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宣忠</t>
    </r>
  </si>
  <si>
    <r>
      <t>ANA</t>
    </r>
    <r>
      <rPr>
        <sz val="12"/>
        <color rgb="FF000000"/>
        <rFont val="ＭＳ Ｐゴシック"/>
        <family val="3"/>
        <charset val="128"/>
      </rPr>
      <t>ウィングフェローズ・ヴイ王子株式会社</t>
    </r>
  </si>
  <si>
    <r>
      <t>矢羽田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雅和</t>
    </r>
  </si>
  <si>
    <t>ANA西村さん</t>
  </si>
  <si>
    <r>
      <t>大和谷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篤史</t>
    </r>
  </si>
  <si>
    <r>
      <t>清水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春香</t>
    </r>
  </si>
  <si>
    <r>
      <t>株式会社レオパレス</t>
    </r>
    <r>
      <rPr>
        <sz val="12"/>
        <color rgb="FF000000"/>
        <rFont val="Arial"/>
        <family val="2"/>
      </rPr>
      <t>21</t>
    </r>
  </si>
  <si>
    <r>
      <t>田辺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忍</t>
    </r>
  </si>
  <si>
    <t>：協和メタル株式会社</t>
  </si>
  <si>
    <r>
      <t>五十嵐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秀樹</t>
    </r>
  </si>
  <si>
    <t>080-2549-5159</t>
  </si>
  <si>
    <r>
      <t>小林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洋介</t>
    </r>
  </si>
  <si>
    <r>
      <t>豊見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千世</t>
    </r>
  </si>
  <si>
    <r>
      <t>菊池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匡祐</t>
    </r>
  </si>
  <si>
    <r>
      <t>浅井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苗美</t>
    </r>
  </si>
  <si>
    <t>上野さん</t>
  </si>
  <si>
    <r>
      <t>佐々木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秀樹</t>
    </r>
  </si>
  <si>
    <t>小野さん</t>
  </si>
  <si>
    <r>
      <t>森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美樹</t>
    </r>
  </si>
  <si>
    <t>直近井手さん　小松さん</t>
  </si>
  <si>
    <r>
      <t>川崎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瑞記</t>
    </r>
  </si>
  <si>
    <r>
      <t>内山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清香</t>
    </r>
  </si>
  <si>
    <r>
      <t>佐々木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理衣</t>
    </r>
  </si>
  <si>
    <r>
      <t>安田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咲日</t>
    </r>
  </si>
  <si>
    <r>
      <t>島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綾子</t>
    </r>
  </si>
  <si>
    <r>
      <t>神村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則英</t>
    </r>
  </si>
  <si>
    <r>
      <t>新谷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麻吏</t>
    </r>
  </si>
  <si>
    <r>
      <t>BYD Auto Japan</t>
    </r>
    <r>
      <rPr>
        <sz val="12"/>
        <color rgb="FF000000"/>
        <rFont val="ＭＳ Ｐゴシック"/>
        <family val="3"/>
        <charset val="128"/>
      </rPr>
      <t>株式会社</t>
    </r>
  </si>
  <si>
    <r>
      <t>辻野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賢登</t>
    </r>
  </si>
  <si>
    <r>
      <t>栗原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信彦</t>
    </r>
  </si>
  <si>
    <t>2026/01加藤</t>
  </si>
  <si>
    <t>小島さん</t>
  </si>
  <si>
    <r>
      <t>西潟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純一</t>
    </r>
  </si>
  <si>
    <r>
      <t>神田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篤</t>
    </r>
  </si>
  <si>
    <r>
      <t>八木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聡美</t>
    </r>
  </si>
  <si>
    <t>2025/12濱田さん</t>
  </si>
  <si>
    <t>：株式会社ハウスオブローゼ</t>
  </si>
  <si>
    <r>
      <t>嶋田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綾子</t>
    </r>
  </si>
  <si>
    <t>2024/１小松さん</t>
  </si>
  <si>
    <r>
      <t>富永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典秀</t>
    </r>
  </si>
  <si>
    <t>2025/4早川さん</t>
  </si>
  <si>
    <t>2026/2井手さん</t>
  </si>
  <si>
    <r>
      <t>小松﨑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裕寿</t>
    </r>
  </si>
  <si>
    <t>2025/4和田さん</t>
  </si>
  <si>
    <r>
      <t>小島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芽子</t>
    </r>
  </si>
  <si>
    <r>
      <t>株式会社</t>
    </r>
    <r>
      <rPr>
        <sz val="12"/>
        <color rgb="FF000000"/>
        <rFont val="Arial"/>
        <family val="2"/>
      </rPr>
      <t>I-ne</t>
    </r>
  </si>
  <si>
    <r>
      <t>井上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敦貴</t>
    </r>
  </si>
  <si>
    <t>2024/7加藤さん</t>
  </si>
  <si>
    <r>
      <t>堀江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かほり</t>
    </r>
  </si>
  <si>
    <t>2025/7井手さん</t>
  </si>
  <si>
    <r>
      <t>杉田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弘明</t>
    </r>
  </si>
  <si>
    <t>2025/5酒井さん</t>
  </si>
  <si>
    <r>
      <t>加藤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大介</t>
    </r>
  </si>
  <si>
    <r>
      <t>小田切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耕司</t>
    </r>
  </si>
  <si>
    <r>
      <t>MQL=資料</t>
    </r>
    <r>
      <rPr>
        <b/>
        <sz val="11"/>
        <color rgb="FFFF0000"/>
        <rFont val="游ゴシック"/>
        <family val="3"/>
        <charset val="128"/>
        <scheme val="minor"/>
      </rPr>
      <t>直接</t>
    </r>
    <r>
      <rPr>
        <b/>
        <sz val="11"/>
        <color rgb="FF000000"/>
        <rFont val="游ゴシック"/>
        <family val="3"/>
        <charset val="128"/>
        <scheme val="minor"/>
      </rPr>
      <t>閲覧/資料DL　SAL＝インサイドセールス</t>
    </r>
    <r>
      <rPr>
        <b/>
        <sz val="11"/>
        <color rgb="FFFF0000"/>
        <rFont val="游ゴシック"/>
        <family val="3"/>
        <charset val="128"/>
        <scheme val="minor"/>
      </rPr>
      <t>対象</t>
    </r>
    <r>
      <rPr>
        <b/>
        <sz val="11"/>
        <color rgb="FF000000"/>
        <rFont val="游ゴシック"/>
        <family val="3"/>
        <charset val="128"/>
        <scheme val="minor"/>
      </rPr>
      <t>　SQL＝商談化　受注＝注文確定</t>
    </r>
  </si>
  <si>
    <t>①サービス資料DL</t>
  </si>
  <si>
    <t>②WP(お役立ち資料）DL</t>
  </si>
  <si>
    <t>合計（①+②）</t>
  </si>
  <si>
    <t>MQL</t>
  </si>
  <si>
    <t>累計</t>
  </si>
  <si>
    <t>SAL</t>
  </si>
  <si>
    <t>SQL</t>
  </si>
  <si>
    <t>～8/3週迄</t>
  </si>
  <si>
    <t>8/4週</t>
  </si>
  <si>
    <t>8/11週</t>
  </si>
  <si>
    <t>8/18週</t>
  </si>
  <si>
    <t>8/25週</t>
  </si>
  <si>
    <t>9/1週</t>
  </si>
  <si>
    <t>9/8週</t>
  </si>
  <si>
    <t>9/15週</t>
  </si>
  <si>
    <t>9/22週</t>
  </si>
  <si>
    <t>9/29週</t>
  </si>
  <si>
    <t>10/6週</t>
  </si>
  <si>
    <t>10/13週</t>
  </si>
  <si>
    <t>10/20週</t>
  </si>
  <si>
    <t>10/27週</t>
  </si>
  <si>
    <t>11/4週</t>
  </si>
  <si>
    <t>11/10週</t>
  </si>
  <si>
    <t>11/17週</t>
  </si>
  <si>
    <t>11/24週</t>
  </si>
  <si>
    <t>12/1週</t>
  </si>
  <si>
    <t>12/8週</t>
  </si>
  <si>
    <t>12/15週</t>
  </si>
  <si>
    <t>12/22週</t>
  </si>
  <si>
    <t>12/29週</t>
  </si>
  <si>
    <t>1/5週</t>
  </si>
  <si>
    <t>1/12週</t>
  </si>
  <si>
    <t>1/19週</t>
  </si>
  <si>
    <t>1/26週</t>
  </si>
  <si>
    <t>2/2週</t>
  </si>
  <si>
    <t>2/9週</t>
  </si>
  <si>
    <t>2/16週</t>
  </si>
  <si>
    <t>2/23週</t>
  </si>
  <si>
    <t>判断用 - 事業部</t>
  </si>
  <si>
    <t>初回コンバージョン</t>
  </si>
  <si>
    <t>初回コンバージョン日</t>
  </si>
  <si>
    <t>Eメール</t>
  </si>
  <si>
    <t>CTA</t>
  </si>
  <si>
    <t>オリジナル トラフィック ソース</t>
  </si>
  <si>
    <t>オリジナル トラフィック ソース ドリルダウン1</t>
  </si>
  <si>
    <t>オリジナル トラフィック ソース ドリルダウン2</t>
  </si>
  <si>
    <t>初回閲覧ページ</t>
  </si>
  <si>
    <t>前回閲覧ページ</t>
  </si>
  <si>
    <t>マーケティング コンタクト ステータス ソース タイプ</t>
  </si>
  <si>
    <t>得意先担当者 所有者</t>
  </si>
  <si>
    <t>コンタクト ID</t>
  </si>
  <si>
    <t>object_id</t>
  </si>
  <si>
    <t>タスク ID</t>
  </si>
  <si>
    <t>マーケティングEメール ID</t>
  </si>
  <si>
    <t>キャンペーン ID</t>
  </si>
  <si>
    <t>セグメント（リスト） ID</t>
  </si>
  <si>
    <t>IS; SCH</t>
  </si>
  <si>
    <t>入力画面: .bdash_form, .page-item-layout_vertical</t>
  </si>
  <si>
    <t>昭和第一学園高等学校</t>
  </si>
  <si>
    <t>高橋 悠介</t>
  </si>
  <si>
    <t>takahasi-y@sdg.ed.jp</t>
  </si>
  <si>
    <t>Eメールマーケティング</t>
  </si>
  <si>
    <t>08_2</t>
  </si>
  <si>
    <t>https://school.onward-cd.co.jp/column/schooluniform_effect/?utm_source=bdash&amp;bdmlc=MTAwNDE2XzgyOF81MTAyNF8x&amp;bdl=2&amp;utm_medium=email&amp;utm_campaign=08_2</t>
  </si>
  <si>
    <t>https://smart.onward-cd.co.jp/schooluniform_introduction_guide/thanks?_bd_prev_page=https%3A%2F%2Fschool.onward-cd.co.jp%2Fcolumn%2Fschooluniform_effect%2F%3Futm_source%3Dbdash%26bdmlc%3DMTAwNDE2XzgyOF81MTAyNF8x%26bdl%3D2%26utm_medium%3Demail%26utm_campaign%3D08_2&amp;_bdrpf=0&amp;_bdsid=1Dyukc.ptnG2Pt.1749522328797.1749522416&amp;_gl=1%2A71ium0%2A_gcl_au%2AMTA2MTg0MTkzMi4xNzQ5NTIyMzI2%2A_ga%2AMTk5NDI3MTM1Ni4xNzQ5NTIyMzI5%2A_ga_GLJ78MCLEJ%2AczE3NDk1MjIzMjgkbzEkZzAkdDE3NDk1MjIzMjgkajYwJGwwJGgw&amp;bdlic=&amp;bdmlc=&amp;bdpsc=&amp;bdsmc=</t>
  </si>
  <si>
    <t>フォーム送信</t>
  </si>
  <si>
    <t>小池　勇人</t>
  </si>
  <si>
    <t>140840490714</t>
  </si>
  <si>
    <t>523530296022</t>
  </si>
  <si>
    <t>523572606708</t>
  </si>
  <si>
    <t>489901968115</t>
  </si>
  <si>
    <t>483523228388</t>
  </si>
  <si>
    <t>645864313530</t>
  </si>
  <si>
    <t>IS</t>
  </si>
  <si>
    <t>solution.onward-cd.co.jp/</t>
  </si>
  <si>
    <t>https://solution.onward-cd.co.jp/</t>
  </si>
  <si>
    <t>https://solution.onward-cd.co.jp/oem-odm/</t>
  </si>
  <si>
    <t>247755588310</t>
  </si>
  <si>
    <t>3-4) インサイトセールス_oem・odm</t>
  </si>
  <si>
    <t>アパレル oem</t>
  </si>
  <si>
    <t>https://solution.onward-cd.co.jp/oem-odm/?utm_term=%E3%82%A2%E3%83%91%E3%83%AC%E3%83%AB%20oem&amp;utm_campaign=3-4)+%E3%82%A4%E3%83%B3%E3%82%B5%E3%82%A4%E3%83%88%E3%82%BB%E3%83%BC%E3%83%AB%E3%82%B9_OEM%E3%83%BBODM&amp;utm_source=adwords&amp;utm_medium=ppc&amp;hsa_acc=1350021615&amp;hsa_cam=21848788536&amp;hsa_grp=176410899984&amp;hsa_ad=719091887889&amp;hsa_src=g&amp;hsa_tgt=kwd-325796520142&amp;hsa_kw=%E3%82%A2%E3%83%91%E3%83%AC%E3%83%AB%20oem&amp;hsa_mt=p&amp;hsa_net=adwords&amp;hsa_ver=3&amp;gad_source=1&amp;gad_campaignid=21848788536&amp;gbraid=0AAAAA997okygwru75EOoUraBJzFZu0GV0&amp;gclid=Cj0KCQjwss3DBhC3ARIsALdgYxP6gu5yZQIywCTq93DPHBPJgBi2Rso2HsuqQdosWZXK_LEXGrQ0qgUaAmCJEALw_wcB</t>
  </si>
  <si>
    <t>https://smart2.onward-cd.co.jp/catalog_i?_gl=1*xlutdy*_gcl_aw*R0NMLjE3NTI0NzI5MDYuQ2owS0NRandzczNEQmhDM0FSSXNBTGRnWXhQNmd1NXlaUUl5d0NUcTkzRFBIQlBKZ0JpMlJzbzJIc3VxUWRvc1daWEtfTEVYR3JRMHFnVWFBbUNKRUFMd193Y0I.*_gcl_au*MTUwMjI4Mjg0Ny4xNzUyNDcyOTA2*_ga*Mzk3MDg0NTIyLjE3NTI0NzI5MDY.*_ga_40P3EPKK4E*czE3NTI0NzI5MDYkbzEkZzEkdDE3NTI0NzI5NjUkajEkbDAkaDA.</t>
  </si>
  <si>
    <t>170061696709</t>
  </si>
  <si>
    <t>service-list_contact_c</t>
  </si>
  <si>
    <t>corporate-site / referral</t>
  </si>
  <si>
    <t>https://smart2.onward-cd.co.jp/contact_c?utm_medium=referral&amp;utm_campaign=service-list_contact_c&amp;utm_source=corporate-site</t>
  </si>
  <si>
    <t>https://uniform.onward-cd.co.jp/case/page/2/</t>
  </si>
  <si>
    <t>258791714496</t>
  </si>
  <si>
    <t>Unknown keywords (SSL)</t>
  </si>
  <si>
    <t>YAHOO</t>
  </si>
  <si>
    <t>https://smart2.onward-cd.co.jp/contact_i?_gl=1*171m3rc*_gcl_au*MTI3MzA0NjU1OS4xNzUxOTQ3MzkwLjE2MjI0ODY2Ni4xNzUxOTQ3NjMyLjE3NTE5NDc2MzI.*_ga*MTM5MTgzMzIuMTc1MTk0NzM5MA..*_ga_40P3EPKK4E*czE3NTI1NjExODAkbzIkZzEkdDE3NTI1NjEyNDEkajYwJGwwJGgw</t>
  </si>
  <si>
    <t>164929215198</t>
  </si>
  <si>
    <t>株式会社横浜エージェンシー&amp;コミュニケーションズ</t>
  </si>
  <si>
    <t>樋口 朱里</t>
  </si>
  <si>
    <t>service-list_contact_i</t>
  </si>
  <si>
    <t>https://smart2.onward-cd.co.jp/contact_i?utm_medium=referral&amp;utm_campaign=service-list_contact_i&amp;utm_source=corporate-site</t>
  </si>
  <si>
    <t>170014721758</t>
  </si>
  <si>
    <t>IMPORT</t>
  </si>
  <si>
    <t>20250715_インサイトセールス</t>
  </si>
  <si>
    <t>https://solution.onward-cd.co.jp/case/fujiofoodsystem/?utm_campaign=is18b&amp;utm_medium=email&amp;_hsenc=p2ANqtz-_X7T66Oqf0FOF9jsmk3pgv6ZUS00H5gPsnea_dYtZUVooolCgBGtty4aBliF0AjbJRSEHPwrQVz5WTjh5F_B-L5vkA2w&amp;_hsmi=21383202&amp;utm_content=cta1&amp;utm_source=hubspot</t>
  </si>
  <si>
    <t>https://smart2.onward-cd.co.jp/catalog_i?_gl=1*1hk9hzk*_gcl_au*NTA4Mjc2MTUxLjE3Njg4ODU5NDE.*_ga*MTc1Mjg4MDkuMTc2ODg4NTk0MQ..*_ga_40P3EPKK4E*czE3Njg4OTI4NjkkbzIkZzAkdDE3Njg4OTI4NjkkajYwJGwwJGgw&amp;_fsi=MNhpbFrw</t>
  </si>
  <si>
    <t>松田　佳大</t>
  </si>
  <si>
    <t>170956552936</t>
  </si>
  <si>
    <t>489990222581</t>
  </si>
  <si>
    <t>https://solution.onward-cd.co.jp/case/tenkaippin/?utm_campaign=is28&amp;utm_medium=email&amp;_hsenc=p2ANqtz-9PxfqCL3nvn5UV-uU_nhQ_39ssxbf5LA_jPRq4z0fQcgzVLiE_lCmu8dK_978lMfCw_cj_bgrQHRkrqSRoYkdE31GcwA&amp;_hsmi=24935097&amp;utm_content=cta2&amp;utm_source=hubspot</t>
  </si>
  <si>
    <t>https://solution.onward-cd.co.jp/promotion/</t>
  </si>
  <si>
    <t>大和田　祐平</t>
  </si>
  <si>
    <t>170789932758</t>
  </si>
  <si>
    <t>https://solution.onward-cd.co.jp/case/fancl/</t>
  </si>
  <si>
    <t>194472673003</t>
  </si>
  <si>
    <t>Auto-tagged PPC</t>
  </si>
  <si>
    <t>https://solution.onward-cd.co.jp/oem-odm/?gad_source=1&amp;gad_campaignid=21848788536&amp;gbraid=0AAAAA997okwOPBYw_nx81wD6McvzQ0lR4&amp;gclid=CjwKCAjwsZPDBhBWEiwADuO6y13GG5hm8d9opQ6DgelTk52N6bXz_vSRNQDTiCBXz2W379dabB4vNRoCAXUQAvD_BwE</t>
  </si>
  <si>
    <t>160497109717</t>
  </si>
  <si>
    <t>225245913797</t>
  </si>
  <si>
    <t>274713661125</t>
  </si>
  <si>
    <t>GOOGLE</t>
  </si>
  <si>
    <t>https://solution.onward-cd.co.jp/branding/</t>
  </si>
  <si>
    <t>https://smart2.onward-cd.co.jp/catalog_i?_gl=1*twow0w*_gcl_au*MTkzMDM0ODgzOC4xNzcxMzg0NDEz*_ga*NTc4NDU2NjAyLjE3NzEzODQ0MTM.*_ga_40P3EPKK4E*czE3NzEzODg1ODQkbzIkZzEkdDE3NzEzODkxOTEkajQ3JGwwJGgw&amp;_fsi=jIqyahvr</t>
  </si>
  <si>
    <t>433029636824</t>
  </si>
  <si>
    <t>〜1000万円</t>
  </si>
  <si>
    <t>uniform.onward-cd.co.jp/</t>
  </si>
  <si>
    <t>https://uniform.onward-cd.co.jp/</t>
  </si>
  <si>
    <t>389921545937</t>
  </si>
  <si>
    <t>179999982319</t>
  </si>
  <si>
    <t>https://solution.onward-cd.co.jp/oem-odm/?gad_source=1&amp;gad_campaignid=21848788536&amp;gbraid=0AAAAA997okz9msakMfKhGA1fEKltatMKz&amp;gclid=CjwKCAjwi-DBBhA5EiwAXOHsGYsV7-Aouke203wBlwE8yW61V90erGCVm2vtdtn_U1ls5CJqwMHHTRoCBywQAvD_BwE</t>
  </si>
  <si>
    <t>https://smart.onward-cd.co.jp/contact_i/thanks?_bd_prev_page=https%3A%2F%2Fsolution.onward-cd.co.jp%2Foem-odm%2F%3Fgad_source%3D1%26gad_campaignid%3D21848788536%26gbraid%3D0AAAAA997okz9msakMfKhGA1fEKltatMKz%26gclid%3DCjwKCAjwi-DBBhA5EiwAXOHsGYsV7-Aouke203wBlwE8yW61V90erGCVm2vtdtn_U1ls5CJqwMHHTRoCBywQAvD_BwE&amp;_bdrpf=0&amp;_bdsid=3wfaH6.psvjrhT.1748576875639.1748576992&amp;_gl=1%2Aolhuit%2A_gcl_aw%2AR0NMLjE3NDg1NzY4NzYuQ2p3S0NBandpLURCQmhBNUVpd0FYT0hzR1lzVjctQW91a2UyMDN3Qmx3RTh5VzYxVjkwZXJHQ1ZtMnZ0ZHRuX1UxbHM1Q0pxd01ISFRSb0NCeXdRQXZEX0J3RQ..%2A_gcl_au%2AMTUwODI4MDIuMTc0ODU3Njg3NQ..%2A_ga%2AMTM4NTgyMzMzNi4xNzQ4NTc2ODc2%2A_ga_40P3EPKK4E%2AczE3NDg1NzY4NzUkbzEkZzEkdDE3NDg1NzY5OTAkajYwJGwwJGgw&amp;bdlic=&amp;bdmlc=&amp;bdpsc=&amp;bdsmc=</t>
  </si>
  <si>
    <t>ユーザーにより設定</t>
  </si>
  <si>
    <t>135042192103</t>
  </si>
  <si>
    <t>480510967508</t>
  </si>
  <si>
    <t>solution.onward-cd.co.jp</t>
  </si>
  <si>
    <t>https://smart2.onward-cd.co.jp/contact_i?_gl=1*nr06z*_gcl_au*NDYzMDA1MjczLjE3NjU3ODQ4NjA.*_ga*MTU5MDEzMDQ4My4xNzY1Nzg0ODY0*_ga_40P3EPKK4E*czE3NjU3ODk2MTUkbzIkZzAkdDE3NjU3ODk2MTUkajYwJGwwJGgw&amp;_fsi=VfU6cyGh</t>
  </si>
  <si>
    <t>354200565452</t>
  </si>
  <si>
    <t>https://smart.onward-cd.co.jp/contact_i?utm_source=corporate-site&amp;utm_medium=referral&amp;utm_campaign=service-list_contact_i</t>
  </si>
  <si>
    <t>https://smart.onward-cd.co.jp/contact_i/thanks?bdlic=&amp;bdmlc=&amp;bdpsc=&amp;bdsmc=&amp;utm_campaign=service-list_contact_i&amp;utm_medium=referral&amp;utm_source=corporate-site</t>
  </si>
  <si>
    <t>149474487996</t>
  </si>
  <si>
    <t>school.onward-cd.co.jp/</t>
  </si>
  <si>
    <t>https://school.onward-cd.co.jp/</t>
  </si>
  <si>
    <t>228427341531</t>
  </si>
  <si>
    <t>https://smart2.onward-cd.co.jp/contact_i?_gl=1*am0bs7*_gcl_au*MjQxNTQzOTc4LjE3Njg2MDg3NzQ.*_ga*MzQyNTkzNTE3LjE3Njg2MDg3MjQ.*_ga_40P3EPKK4E*czE3Njg2MDg3NzQkbzEkZzEkdDE3Njg2MDkxMTUkajU5JGwwJGgw&amp;_fsi=CVGTDs0o</t>
  </si>
  <si>
    <t>387522389739</t>
  </si>
  <si>
    <t>https://smart.onward-cd.co.jp/catalog_i/thanks?_bd_prev_page=https%3A%2F%2Fsolution.onward-cd.co.jp%2Fcase%2Fhappy_bag&amp;_bdrpf=0&amp;_bdsid=aggVd.puwBOwC.1750745950246.1750746397&amp;_gl=1%2A1farlwd%2A_gcl_au%2AMjk5NjUyNzI2LjE3NTA3NDU5NTA.%2A_ga%2ANDQ3Mzg4NzUxLjE3NTA3NDU4NzE.%2A_ga_40P3EPKK4E%2AczE3NTA3NDU5NTAkbzEkZzEkdDE3NTA3NDYyOTgkajYwJGwwJGgw&amp;bdlic=&amp;bdmlc=&amp;bdpsc=&amp;bdsmc=</t>
  </si>
  <si>
    <t>154696300240</t>
  </si>
  <si>
    <t>391140616897</t>
  </si>
  <si>
    <t>271029171905</t>
  </si>
  <si>
    <t>https://smart.onward-cd.co.jp/catalog_i/thanks?_bd_prev_page=https%3A%2F%2Fsolution.onward-cd.co.jp%2F&amp;_bdrpf=0&amp;_bdsid=1lCg4R.pswqMAJ.1748595575085.1748595583&amp;_gl=1%2A1tokoq6%2A_gcl_au%2AMTcxNjA2NTkyNS4xNzQ4NTk1NTc0%2A_ga%2AMTY0MDIyMjYyNC4xNzQ4NTkyMzk5%2A_ga_40P3EPKK4E%2AczE3NDg1OTU1NzQkbzEkZzAkdDE3NDg1OTU1NzUkajU5JGwwJGgw&amp;bdlic=&amp;bdmlc=&amp;bdpsc=&amp;bdsmc=</t>
  </si>
  <si>
    <t>135055251148</t>
  </si>
  <si>
    <t>433038218967</t>
  </si>
  <si>
    <t>https://smart2.onward-cd.co.jp/contact_i?_gl=1*9lhbyc*_gcl_au*MjE3NzcyODg2LjE3Njg5ODI5MDA.*_ga*MTUxMDg0NTAwOC4xNzY4OTgxMjcx*_ga_40P3EPKK4E*czE3Njg5ODI5MDAkbzEkZzEkdDE3Njg5ODI5MzAkajMwJGwwJGgw&amp;_fsi=K7PuWhVa</t>
  </si>
  <si>
    <t>393232301758</t>
  </si>
  <si>
    <t>247901675226</t>
  </si>
  <si>
    <t>215447915224</t>
  </si>
  <si>
    <t>453259496169</t>
  </si>
  <si>
    <t>尾崎織マーク株式会社</t>
  </si>
  <si>
    <t>上谷 尚司</t>
  </si>
  <si>
    <t>髙木　遥介</t>
  </si>
  <si>
    <t>140167894762</t>
  </si>
  <si>
    <t>480802850501</t>
  </si>
  <si>
    <t>https://solution.onward-cd.co.jp/oem-odm/?gad_source=1&amp;gad_campaignid=21848788536&amp;gbraid=0AAAAA997okzQNmCQA21q_YzPnopFmzNFD&amp;gclid=Cj0KCQjw5ubABhDIARIsAHMighYBntI1pnm0eKyhBJR5byzLR0OgMk5XH69LVbET27qn8JPJz_oeTZkaAuMQEALw_wcB</t>
  </si>
  <si>
    <t>https://smart.onward-cd.co.jp/contact_i/thanks?_bd_prev_page=https%3A%2F%2Fsolution.onward-cd.co.jp%2Fcase%2Fcategory%2Foem-odm%2F&amp;_bdrpf=1&amp;_bdsid=3TsDlt.poiYrna.1750744436633.1750744549&amp;_gl=1%2A14113yb%2A_gcl_aw%2AR0NMLjE3NTAwMzU4ODIuQ2p3S0NBanczcm5DQmhCeEVpd0FyTjBRRTFCUk1JZDJ0WmhTakRmdGR4ZHF1dDlDLVNUc3EtSE5xWHFnaS1SWV95MTk0YXdnR2tNUkt4b0NWbElRQXZEX0J3RQ..%2A_gcl_au%2ANzc1OTIxOTgzLjE3NDQwNzQ1NTI.%2A_ga%2AOTY0OTEzMjAxLjE3NDQwNzQ1NTM.%2A_ga_40P3EPKK4E%2AczE3NTA3NDQ0MzckbzgkZzEkdDE3NTA3NDQ1NDYkajE5JGwwJGgw&amp;bdlic=&amp;bdmlc=&amp;bdpsc=&amp;bdsmc=</t>
  </si>
  <si>
    <t>122855296724</t>
  </si>
  <si>
    <t>402198768342</t>
  </si>
  <si>
    <t>MQL</t>
    <phoneticPr fontId="18"/>
  </si>
  <si>
    <t>SAL</t>
    <phoneticPr fontId="18"/>
  </si>
  <si>
    <t>SQL</t>
    <phoneticPr fontId="18"/>
  </si>
  <si>
    <t>行ラベル</t>
  </si>
  <si>
    <t>合計 / direct</t>
  </si>
  <si>
    <t>合計 / link</t>
  </si>
  <si>
    <t>合計 / listing</t>
  </si>
  <si>
    <t>合計 / mail</t>
  </si>
  <si>
    <t>合計 / organic</t>
  </si>
  <si>
    <t>合計</t>
    <rPh sb="0" eb="2">
      <t>ゴウケイ</t>
    </rPh>
    <phoneticPr fontId="18"/>
  </si>
  <si>
    <t>合計（ユニーク）</t>
    <rPh sb="0" eb="2">
      <t>ゴウケイ</t>
    </rPh>
    <phoneticPr fontId="18"/>
  </si>
  <si>
    <t>商談数</t>
    <rPh sb="0" eb="3">
      <t>ショウダンスウ</t>
    </rPh>
    <phoneticPr fontId="18"/>
  </si>
  <si>
    <t>商談化率</t>
    <rPh sb="0" eb="4">
      <t>ショウダンカリツ</t>
    </rPh>
    <phoneticPr fontId="18"/>
  </si>
  <si>
    <t>提案数</t>
    <rPh sb="0" eb="3">
      <t>テイアンスウ</t>
    </rPh>
    <phoneticPr fontId="18"/>
  </si>
  <si>
    <t>提案化率</t>
    <rPh sb="0" eb="4">
      <t>テイアンカリツ</t>
    </rPh>
    <phoneticPr fontId="18"/>
  </si>
  <si>
    <t>受注数</t>
    <rPh sb="0" eb="3">
      <t>ジュチュウスウ</t>
    </rPh>
    <phoneticPr fontId="18"/>
  </si>
  <si>
    <t>受注率</t>
    <rPh sb="0" eb="3">
      <t>ジュチュウリツ</t>
    </rPh>
    <phoneticPr fontId="18"/>
  </si>
  <si>
    <t>総計</t>
  </si>
  <si>
    <t>ユーザー数</t>
    <rPh sb="4" eb="5">
      <t>スウ</t>
    </rPh>
    <phoneticPr fontId="18"/>
  </si>
  <si>
    <t>お役立ち資料DL</t>
    <phoneticPr fontId="18"/>
  </si>
  <si>
    <t>サービス資料DL</t>
    <phoneticPr fontId="18"/>
  </si>
  <si>
    <t>延べ</t>
  </si>
  <si>
    <t>問い合わせ</t>
    <rPh sb="0" eb="1">
      <t>ト</t>
    </rPh>
    <rPh sb="2" eb="3">
      <t>ア</t>
    </rPh>
    <phoneticPr fontId="1"/>
  </si>
  <si>
    <t>WP</t>
    <phoneticPr fontId="1"/>
  </si>
  <si>
    <t>資料</t>
    <rPh sb="0" eb="2">
      <t>シリョウ</t>
    </rPh>
    <phoneticPr fontId="1"/>
  </si>
  <si>
    <t>ユニーク</t>
  </si>
  <si>
    <t>合計
（6月まで）</t>
  </si>
  <si>
    <t>合計
（7月以降）</t>
  </si>
  <si>
    <t>総計（全期間）</t>
  </si>
  <si>
    <t>WP</t>
  </si>
  <si>
    <t>WP：cta</t>
  </si>
  <si>
    <t>WP：footer</t>
  </si>
  <si>
    <t>資料</t>
  </si>
  <si>
    <t>資料：cta</t>
  </si>
  <si>
    <t>資料：footer</t>
  </si>
  <si>
    <t>SQL月次推移</t>
  </si>
  <si>
    <t>SQL数</t>
  </si>
  <si>
    <t>MQL数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</si>
</sst>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;@"/>
    <numFmt numFmtId="177" formatCode="yyyy/m/d\ h:mm;@"/>
    <numFmt numFmtId="178" formatCode="yyyy\-mm\-dd\ hh:mm"/>
  </numFmts>
  <fonts count="4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2"/>
      <color rgb="FF000000"/>
      <name val="Arial"/>
      <family val="2"/>
    </font>
    <font>
      <sz val="11"/>
      <color rgb="FF000000"/>
      <name val="MS PGothic"/>
      <family val="3"/>
      <charset val="128"/>
    </font>
    <font>
      <sz val="11"/>
      <color theme="1"/>
      <name val="MS PGothic"/>
      <family val="3"/>
      <charset val="128"/>
    </font>
    <font>
      <u/>
      <sz val="11"/>
      <color theme="10"/>
      <name val="MS PGothic"/>
      <family val="3"/>
      <charset val="128"/>
    </font>
    <font>
      <sz val="12"/>
      <color rgb="FF000000"/>
      <name val="MS PGothic"/>
      <family val="3"/>
      <charset val="128"/>
    </font>
    <font>
      <sz val="10"/>
      <color rgb="FF000000"/>
      <name val="Arial"/>
      <family val="2"/>
    </font>
    <font>
      <b/>
      <sz val="10"/>
      <color rgb="FF181818"/>
      <name val="ＭＳ Ｐゴシック"/>
      <family val="3"/>
      <charset val="128"/>
    </font>
    <font>
      <b/>
      <sz val="11"/>
      <color rgb="FFFFFFFF"/>
      <name val="游ゴシック"/>
      <family val="3"/>
      <charset val="128"/>
    </font>
    <font>
      <b/>
      <sz val="11"/>
      <color rgb="FFFFFF00"/>
      <name val="游ゴシック"/>
      <family val="3"/>
      <charset val="128"/>
    </font>
    <font>
      <b/>
      <sz val="10"/>
      <color rgb="FF181818"/>
      <name val="ＭＳ ゴシック"/>
      <family val="3"/>
      <charset val="128"/>
    </font>
    <font>
      <sz val="11"/>
      <color rgb="FF000000"/>
      <name val="MS PGothic"/>
      <family val="3"/>
    </font>
    <font>
      <sz val="12"/>
      <color rgb="FF000000"/>
      <name val="MS PGothic"/>
      <family val="3"/>
    </font>
    <font>
      <sz val="12"/>
      <color rgb="FF9C0006"/>
      <name val="ＭＳ Ｐゴシック"/>
      <family val="3"/>
      <charset val="128"/>
    </font>
    <font>
      <u/>
      <sz val="11"/>
      <color rgb="FF467886"/>
      <name val="游ゴシック"/>
      <family val="3"/>
      <charset val="128"/>
    </font>
    <font>
      <sz val="11"/>
      <color indexed="8"/>
      <name val="游ゴシック"/>
      <family val="2"/>
      <scheme val="minor"/>
    </font>
    <font>
      <sz val="12"/>
      <color theme="1"/>
      <name val="MS PGothic"/>
      <family val="3"/>
      <charset val="128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9E8E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83E28E"/>
        <bgColor rgb="FF000000"/>
      </patternFill>
    </fill>
    <fill>
      <patternFill patternType="solid">
        <fgColor rgb="FF47D35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0E6F5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D5D3D1"/>
      </left>
      <right/>
      <top style="thin">
        <color rgb="FFD5D3D1"/>
      </top>
      <bottom style="thin">
        <color rgb="FFD5D3D1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  <border>
      <left/>
      <right style="thin">
        <color rgb="FFD5D3D1"/>
      </right>
      <top/>
      <bottom style="thin">
        <color rgb="FFD5D3D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</borders>
  <cellStyleXfs count="4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5" fillId="0" borderId="0">
      <alignment vertical="center"/>
    </xf>
  </cellStyleXfs>
  <cellXfs count="14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34" borderId="0" xfId="0" applyFill="1">
      <alignment vertical="center"/>
    </xf>
    <xf numFmtId="0" fontId="19" fillId="33" borderId="0" xfId="0" applyFont="1" applyFill="1" applyAlignment="1">
      <alignment horizontal="left" vertical="center"/>
    </xf>
    <xf numFmtId="0" fontId="19" fillId="35" borderId="0" xfId="0" applyFont="1" applyFill="1">
      <alignment vertical="center"/>
    </xf>
    <xf numFmtId="9" fontId="0" fillId="0" borderId="0" xfId="1" applyFont="1">
      <alignment vertical="center"/>
    </xf>
    <xf numFmtId="9" fontId="0" fillId="34" borderId="0" xfId="1" applyFont="1" applyFill="1">
      <alignment vertical="center"/>
    </xf>
    <xf numFmtId="0" fontId="19" fillId="33" borderId="0" xfId="0" applyFont="1" applyFill="1">
      <alignment vertical="center"/>
    </xf>
    <xf numFmtId="0" fontId="19" fillId="33" borderId="10" xfId="0" applyFont="1" applyFill="1" applyBorder="1">
      <alignment vertical="center"/>
    </xf>
    <xf numFmtId="0" fontId="19" fillId="0" borderId="0" xfId="0" applyFont="1">
      <alignment vertical="center"/>
    </xf>
    <xf numFmtId="9" fontId="19" fillId="0" borderId="0" xfId="1" applyFont="1" applyFill="1">
      <alignment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8" borderId="0" xfId="0" applyFill="1">
      <alignment vertical="center"/>
    </xf>
    <xf numFmtId="0" fontId="0" fillId="0" borderId="14" xfId="0" applyBorder="1">
      <alignment vertical="center"/>
    </xf>
    <xf numFmtId="0" fontId="22" fillId="0" borderId="14" xfId="0" applyFont="1" applyBorder="1" applyAlignment="1">
      <alignment horizontal="center" vertical="center"/>
    </xf>
    <xf numFmtId="0" fontId="0" fillId="39" borderId="14" xfId="0" applyFill="1" applyBorder="1" applyAlignment="1">
      <alignment horizontal="center" vertical="center"/>
    </xf>
    <xf numFmtId="0" fontId="0" fillId="39" borderId="14" xfId="0" applyFill="1" applyBorder="1">
      <alignment vertical="center"/>
    </xf>
    <xf numFmtId="0" fontId="0" fillId="39" borderId="14" xfId="0" applyFill="1" applyBorder="1" applyAlignment="1">
      <alignment horizontal="right" vertical="center"/>
    </xf>
    <xf numFmtId="55" fontId="0" fillId="0" borderId="14" xfId="0" applyNumberFormat="1" applyBorder="1">
      <alignment vertical="center"/>
    </xf>
    <xf numFmtId="0" fontId="22" fillId="38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39" borderId="15" xfId="0" applyFill="1" applyBorder="1">
      <alignment vertical="center"/>
    </xf>
    <xf numFmtId="0" fontId="0" fillId="0" borderId="15" xfId="0" applyBorder="1">
      <alignment vertical="center"/>
    </xf>
    <xf numFmtId="14" fontId="19" fillId="0" borderId="0" xfId="0" applyNumberFormat="1" applyFont="1">
      <alignment vertical="center"/>
    </xf>
    <xf numFmtId="14" fontId="21" fillId="37" borderId="12" xfId="0" applyNumberFormat="1" applyFont="1" applyFill="1" applyBorder="1">
      <alignment vertical="center"/>
    </xf>
    <xf numFmtId="0" fontId="21" fillId="37" borderId="13" xfId="0" applyFont="1" applyFill="1" applyBorder="1">
      <alignment vertical="center"/>
    </xf>
    <xf numFmtId="14" fontId="21" fillId="37" borderId="13" xfId="0" applyNumberFormat="1" applyFont="1" applyFill="1" applyBorder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5" fillId="0" borderId="23" xfId="0" applyFont="1" applyBorder="1">
      <alignment vertical="center"/>
    </xf>
    <xf numFmtId="0" fontId="25" fillId="0" borderId="29" xfId="0" applyFont="1" applyBorder="1">
      <alignment vertical="center"/>
    </xf>
    <xf numFmtId="0" fontId="25" fillId="0" borderId="28" xfId="0" applyFont="1" applyBorder="1">
      <alignment vertical="center"/>
    </xf>
    <xf numFmtId="0" fontId="25" fillId="0" borderId="30" xfId="0" applyFont="1" applyBorder="1">
      <alignment vertical="center"/>
    </xf>
    <xf numFmtId="0" fontId="25" fillId="0" borderId="31" xfId="0" applyFont="1" applyBorder="1">
      <alignment vertical="center"/>
    </xf>
    <xf numFmtId="0" fontId="25" fillId="0" borderId="32" xfId="0" applyFont="1" applyBorder="1">
      <alignment vertical="center"/>
    </xf>
    <xf numFmtId="0" fontId="25" fillId="0" borderId="33" xfId="0" applyFont="1" applyBorder="1">
      <alignment vertical="center"/>
    </xf>
    <xf numFmtId="0" fontId="27" fillId="0" borderId="0" xfId="0" applyFont="1">
      <alignment vertical="center"/>
    </xf>
    <xf numFmtId="0" fontId="19" fillId="0" borderId="0" xfId="0" applyFont="1" applyAlignment="1">
      <alignment vertical="center" shrinkToFit="1"/>
    </xf>
    <xf numFmtId="176" fontId="19" fillId="0" borderId="0" xfId="0" applyNumberFormat="1" applyFont="1">
      <alignment vertical="center"/>
    </xf>
    <xf numFmtId="176" fontId="19" fillId="0" borderId="0" xfId="0" applyNumberFormat="1" applyFont="1" applyAlignment="1">
      <alignment horizontal="center" vertical="center"/>
    </xf>
    <xf numFmtId="14" fontId="19" fillId="0" borderId="0" xfId="0" applyNumberFormat="1" applyFont="1" applyAlignment="1">
      <alignment horizontal="left" vertical="center"/>
    </xf>
    <xf numFmtId="0" fontId="27" fillId="0" borderId="21" xfId="0" applyFont="1" applyBorder="1">
      <alignment vertical="center"/>
    </xf>
    <xf numFmtId="0" fontId="27" fillId="0" borderId="22" xfId="0" applyFont="1" applyBorder="1">
      <alignment vertical="center"/>
    </xf>
    <xf numFmtId="0" fontId="27" fillId="0" borderId="23" xfId="0" applyFont="1" applyBorder="1">
      <alignment vertical="center"/>
    </xf>
    <xf numFmtId="0" fontId="27" fillId="0" borderId="24" xfId="0" applyFont="1" applyBorder="1">
      <alignment vertical="center"/>
    </xf>
    <xf numFmtId="0" fontId="27" fillId="0" borderId="37" xfId="0" applyFont="1" applyBorder="1">
      <alignment vertical="center"/>
    </xf>
    <xf numFmtId="0" fontId="27" fillId="43" borderId="38" xfId="0" applyFont="1" applyFill="1" applyBorder="1" applyAlignment="1">
      <alignment horizontal="center" vertical="center"/>
    </xf>
    <xf numFmtId="0" fontId="27" fillId="43" borderId="39" xfId="0" applyFont="1" applyFill="1" applyBorder="1" applyAlignment="1">
      <alignment horizontal="center" vertical="center"/>
    </xf>
    <xf numFmtId="0" fontId="27" fillId="48" borderId="40" xfId="0" applyFont="1" applyFill="1" applyBorder="1" applyAlignment="1">
      <alignment horizontal="center" vertical="center"/>
    </xf>
    <xf numFmtId="0" fontId="27" fillId="48" borderId="39" xfId="0" applyFont="1" applyFill="1" applyBorder="1" applyAlignment="1">
      <alignment horizontal="center" vertical="center"/>
    </xf>
    <xf numFmtId="0" fontId="27" fillId="49" borderId="40" xfId="0" applyFont="1" applyFill="1" applyBorder="1" applyAlignment="1">
      <alignment horizontal="center" vertical="center"/>
    </xf>
    <xf numFmtId="0" fontId="27" fillId="49" borderId="39" xfId="0" applyFont="1" applyFill="1" applyBorder="1" applyAlignment="1">
      <alignment horizontal="center" vertical="center"/>
    </xf>
    <xf numFmtId="0" fontId="27" fillId="50" borderId="40" xfId="0" applyFont="1" applyFill="1" applyBorder="1" applyAlignment="1">
      <alignment horizontal="center" vertical="center"/>
    </xf>
    <xf numFmtId="0" fontId="27" fillId="50" borderId="41" xfId="0" applyFont="1" applyFill="1" applyBorder="1" applyAlignment="1">
      <alignment horizontal="center" vertical="center"/>
    </xf>
    <xf numFmtId="0" fontId="27" fillId="50" borderId="42" xfId="0" applyFont="1" applyFill="1" applyBorder="1" applyAlignment="1">
      <alignment horizontal="center" vertical="center"/>
    </xf>
    <xf numFmtId="0" fontId="27" fillId="37" borderId="38" xfId="0" applyFont="1" applyFill="1" applyBorder="1" applyAlignment="1">
      <alignment horizontal="right" vertical="center"/>
    </xf>
    <xf numFmtId="0" fontId="27" fillId="0" borderId="39" xfId="0" applyFont="1" applyBorder="1" applyAlignment="1">
      <alignment horizontal="right" vertical="center"/>
    </xf>
    <xf numFmtId="0" fontId="27" fillId="37" borderId="40" xfId="0" applyFont="1" applyFill="1" applyBorder="1" applyAlignment="1">
      <alignment horizontal="right" vertical="center"/>
    </xf>
    <xf numFmtId="0" fontId="27" fillId="0" borderId="41" xfId="0" applyFont="1" applyBorder="1" applyAlignment="1">
      <alignment horizontal="right" vertical="center"/>
    </xf>
    <xf numFmtId="0" fontId="27" fillId="0" borderId="40" xfId="0" applyFont="1" applyBorder="1" applyAlignment="1">
      <alignment horizontal="right" vertical="center"/>
    </xf>
    <xf numFmtId="0" fontId="27" fillId="0" borderId="42" xfId="0" applyFont="1" applyBorder="1" applyAlignment="1">
      <alignment horizontal="right" vertical="center"/>
    </xf>
    <xf numFmtId="0" fontId="27" fillId="0" borderId="38" xfId="0" applyFont="1" applyBorder="1" applyAlignment="1">
      <alignment horizontal="right" vertical="center"/>
    </xf>
    <xf numFmtId="0" fontId="27" fillId="37" borderId="39" xfId="0" applyFont="1" applyFill="1" applyBorder="1" applyAlignment="1">
      <alignment horizontal="right" vertical="center"/>
    </xf>
    <xf numFmtId="0" fontId="27" fillId="0" borderId="43" xfId="0" applyFont="1" applyBorder="1" applyAlignment="1">
      <alignment horizontal="right" vertical="center"/>
    </xf>
    <xf numFmtId="0" fontId="30" fillId="0" borderId="0" xfId="0" applyFont="1">
      <alignment vertical="center"/>
    </xf>
    <xf numFmtId="0" fontId="32" fillId="0" borderId="0" xfId="0" applyFont="1">
      <alignment vertical="center"/>
    </xf>
    <xf numFmtId="177" fontId="32" fillId="0" borderId="0" xfId="0" applyNumberFormat="1" applyFont="1">
      <alignment vertical="center"/>
    </xf>
    <xf numFmtId="0" fontId="32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32" fillId="40" borderId="0" xfId="0" applyFont="1" applyFill="1">
      <alignment vertical="center"/>
    </xf>
    <xf numFmtId="176" fontId="33" fillId="0" borderId="0" xfId="0" applyNumberFormat="1" applyFont="1">
      <alignment vertical="center"/>
    </xf>
    <xf numFmtId="55" fontId="33" fillId="0" borderId="0" xfId="0" applyNumberFormat="1" applyFont="1">
      <alignment vertical="center"/>
    </xf>
    <xf numFmtId="56" fontId="33" fillId="0" borderId="0" xfId="0" applyNumberFormat="1" applyFont="1">
      <alignment vertical="center"/>
    </xf>
    <xf numFmtId="177" fontId="33" fillId="0" borderId="0" xfId="0" applyNumberFormat="1" applyFont="1">
      <alignment vertical="center"/>
    </xf>
    <xf numFmtId="0" fontId="34" fillId="0" borderId="0" xfId="43" applyFont="1" applyFill="1" applyBorder="1" applyAlignment="1">
      <alignment vertical="center"/>
    </xf>
    <xf numFmtId="177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vertical="center" wrapText="1"/>
    </xf>
    <xf numFmtId="0" fontId="35" fillId="0" borderId="0" xfId="0" applyFont="1">
      <alignment vertical="center"/>
    </xf>
    <xf numFmtId="177" fontId="35" fillId="0" borderId="0" xfId="0" applyNumberFormat="1" applyFont="1">
      <alignment vertical="center"/>
    </xf>
    <xf numFmtId="22" fontId="32" fillId="0" borderId="0" xfId="0" applyNumberFormat="1" applyFont="1">
      <alignment vertical="center"/>
    </xf>
    <xf numFmtId="22" fontId="35" fillId="0" borderId="0" xfId="0" applyNumberFormat="1" applyFont="1">
      <alignment vertical="center"/>
    </xf>
    <xf numFmtId="0" fontId="38" fillId="41" borderId="16" xfId="0" applyFont="1" applyFill="1" applyBorder="1">
      <alignment vertical="center"/>
    </xf>
    <xf numFmtId="0" fontId="38" fillId="41" borderId="0" xfId="0" applyFont="1" applyFill="1">
      <alignment vertical="center"/>
    </xf>
    <xf numFmtId="0" fontId="25" fillId="0" borderId="17" xfId="0" applyFont="1" applyBorder="1">
      <alignment vertical="center"/>
    </xf>
    <xf numFmtId="0" fontId="25" fillId="0" borderId="18" xfId="0" applyFont="1" applyBorder="1">
      <alignment vertical="center"/>
    </xf>
    <xf numFmtId="14" fontId="25" fillId="0" borderId="0" xfId="0" applyNumberFormat="1" applyFont="1">
      <alignment vertical="center"/>
    </xf>
    <xf numFmtId="0" fontId="38" fillId="51" borderId="19" xfId="0" applyFont="1" applyFill="1" applyBorder="1">
      <alignment vertical="center"/>
    </xf>
    <xf numFmtId="0" fontId="25" fillId="0" borderId="19" xfId="0" applyFont="1" applyBorder="1">
      <alignment vertical="center"/>
    </xf>
    <xf numFmtId="0" fontId="25" fillId="0" borderId="20" xfId="0" applyFont="1" applyBorder="1">
      <alignment vertical="center"/>
    </xf>
    <xf numFmtId="55" fontId="25" fillId="0" borderId="0" xfId="0" applyNumberFormat="1" applyFont="1">
      <alignment vertical="center"/>
    </xf>
    <xf numFmtId="14" fontId="25" fillId="0" borderId="19" xfId="0" applyNumberFormat="1" applyFont="1" applyBorder="1">
      <alignment vertical="center"/>
    </xf>
    <xf numFmtId="0" fontId="38" fillId="51" borderId="0" xfId="0" applyFont="1" applyFill="1">
      <alignment vertical="center"/>
    </xf>
    <xf numFmtId="0" fontId="25" fillId="43" borderId="0" xfId="0" applyFont="1" applyFill="1">
      <alignment vertical="center"/>
    </xf>
    <xf numFmtId="0" fontId="25" fillId="37" borderId="0" xfId="0" applyFont="1" applyFill="1">
      <alignment vertical="center"/>
    </xf>
    <xf numFmtId="0" fontId="25" fillId="37" borderId="0" xfId="0" quotePrefix="1" applyFont="1" applyFill="1">
      <alignment vertical="center"/>
    </xf>
    <xf numFmtId="0" fontId="39" fillId="0" borderId="0" xfId="0" applyFont="1">
      <alignment vertical="center"/>
    </xf>
    <xf numFmtId="0" fontId="25" fillId="44" borderId="0" xfId="0" applyFont="1" applyFill="1">
      <alignment vertical="center"/>
    </xf>
    <xf numFmtId="55" fontId="25" fillId="43" borderId="0" xfId="0" applyNumberFormat="1" applyFont="1" applyFill="1">
      <alignment vertical="center"/>
    </xf>
    <xf numFmtId="0" fontId="25" fillId="0" borderId="0" xfId="0" quotePrefix="1" applyFont="1">
      <alignment vertical="center"/>
    </xf>
    <xf numFmtId="0" fontId="25" fillId="45" borderId="0" xfId="0" applyFont="1" applyFill="1">
      <alignment vertical="center"/>
    </xf>
    <xf numFmtId="0" fontId="29" fillId="0" borderId="0" xfId="0" applyFont="1">
      <alignment vertical="center"/>
    </xf>
    <xf numFmtId="0" fontId="40" fillId="0" borderId="0" xfId="0" applyFont="1">
      <alignment vertical="center"/>
    </xf>
    <xf numFmtId="0" fontId="23" fillId="0" borderId="0" xfId="43" applyFill="1" applyBorder="1" applyAlignment="1">
      <alignment vertical="center"/>
    </xf>
    <xf numFmtId="0" fontId="30" fillId="42" borderId="0" xfId="0" applyFont="1" applyFill="1">
      <alignment vertical="center"/>
    </xf>
    <xf numFmtId="0" fontId="30" fillId="43" borderId="0" xfId="0" applyFont="1" applyFill="1">
      <alignment vertical="center"/>
    </xf>
    <xf numFmtId="0" fontId="31" fillId="42" borderId="0" xfId="0" applyFont="1" applyFill="1">
      <alignment vertical="center"/>
    </xf>
    <xf numFmtId="0" fontId="31" fillId="0" borderId="0" xfId="0" applyFont="1">
      <alignment vertical="center"/>
    </xf>
    <xf numFmtId="0" fontId="30" fillId="37" borderId="0" xfId="0" applyFont="1" applyFill="1">
      <alignment vertical="center"/>
    </xf>
    <xf numFmtId="22" fontId="30" fillId="0" borderId="0" xfId="0" applyNumberFormat="1" applyFont="1">
      <alignment vertical="center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22" fontId="42" fillId="0" borderId="0" xfId="0" applyNumberFormat="1" applyFont="1">
      <alignment vertical="center"/>
    </xf>
    <xf numFmtId="0" fontId="41" fillId="52" borderId="0" xfId="0" applyFont="1" applyFill="1">
      <alignment vertical="center"/>
    </xf>
    <xf numFmtId="0" fontId="43" fillId="53" borderId="0" xfId="0" applyFont="1" applyFill="1">
      <alignment vertical="center"/>
    </xf>
    <xf numFmtId="0" fontId="25" fillId="54" borderId="0" xfId="0" applyFont="1" applyFill="1">
      <alignment vertical="center"/>
    </xf>
    <xf numFmtId="0" fontId="44" fillId="0" borderId="0" xfId="0" applyFont="1">
      <alignment vertical="center"/>
    </xf>
    <xf numFmtId="55" fontId="41" fillId="0" borderId="0" xfId="0" applyNumberFormat="1" applyFont="1">
      <alignment vertical="center"/>
    </xf>
    <xf numFmtId="0" fontId="41" fillId="55" borderId="0" xfId="0" applyFont="1" applyFill="1">
      <alignment vertical="center"/>
    </xf>
    <xf numFmtId="0" fontId="45" fillId="0" borderId="0" xfId="44">
      <alignment vertical="center"/>
    </xf>
    <xf numFmtId="178" fontId="45" fillId="0" borderId="0" xfId="44" applyNumberFormat="1" applyAlignment="1"/>
    <xf numFmtId="0" fontId="23" fillId="0" borderId="0" xfId="43">
      <alignment vertical="center"/>
    </xf>
    <xf numFmtId="55" fontId="41" fillId="55" borderId="0" xfId="0" applyNumberFormat="1" applyFont="1" applyFill="1">
      <alignment vertical="center"/>
    </xf>
    <xf numFmtId="176" fontId="33" fillId="55" borderId="0" xfId="0" applyNumberFormat="1" applyFont="1" applyFill="1">
      <alignment vertical="center"/>
    </xf>
    <xf numFmtId="0" fontId="46" fillId="0" borderId="0" xfId="0" applyFont="1">
      <alignment vertical="center"/>
    </xf>
    <xf numFmtId="176" fontId="33" fillId="33" borderId="0" xfId="0" applyNumberFormat="1" applyFont="1" applyFill="1">
      <alignment vertical="center"/>
    </xf>
    <xf numFmtId="0" fontId="21" fillId="37" borderId="12" xfId="0" applyFont="1" applyFill="1" applyBorder="1">
      <alignment vertical="center"/>
    </xf>
    <xf numFmtId="0" fontId="20" fillId="36" borderId="12" xfId="0" applyFont="1" applyFill="1" applyBorder="1">
      <alignment vertical="center"/>
    </xf>
    <xf numFmtId="0" fontId="25" fillId="42" borderId="0" xfId="0" applyFont="1" applyFill="1">
      <alignment vertical="center"/>
    </xf>
    <xf numFmtId="0" fontId="21" fillId="37" borderId="11" xfId="0" applyFont="1" applyFill="1" applyBorder="1" applyAlignment="1">
      <alignment vertical="center"/>
    </xf>
    <xf numFmtId="0" fontId="21" fillId="37" borderId="12" xfId="0" applyFont="1" applyFill="1" applyBorder="1" applyAlignment="1">
      <alignment vertical="center"/>
    </xf>
    <xf numFmtId="0" fontId="20" fillId="36" borderId="11" xfId="0" applyFont="1" applyFill="1" applyBorder="1" applyAlignment="1">
      <alignment vertical="center"/>
    </xf>
    <xf numFmtId="0" fontId="20" fillId="36" borderId="12" xfId="0" applyFont="1" applyFill="1" applyBorder="1" applyAlignment="1">
      <alignment vertical="center"/>
    </xf>
    <xf numFmtId="0" fontId="25" fillId="42" borderId="0" xfId="0" applyFont="1" applyFill="1" applyAlignment="1">
      <alignment vertical="center"/>
    </xf>
    <xf numFmtId="0" fontId="27" fillId="46" borderId="25" xfId="0" applyFont="1" applyFill="1" applyBorder="1" applyAlignment="1">
      <alignment horizontal="center" vertical="center"/>
    </xf>
    <xf numFmtId="0" fontId="27" fillId="46" borderId="26" xfId="0" applyFont="1" applyFill="1" applyBorder="1" applyAlignment="1">
      <alignment horizontal="center" vertical="center"/>
    </xf>
    <xf numFmtId="0" fontId="27" fillId="46" borderId="34" xfId="0" applyFont="1" applyFill="1" applyBorder="1" applyAlignment="1">
      <alignment horizontal="center" vertical="center"/>
    </xf>
    <xf numFmtId="0" fontId="27" fillId="46" borderId="35" xfId="0" applyFont="1" applyFill="1" applyBorder="1" applyAlignment="1">
      <alignment horizontal="center" vertical="center"/>
    </xf>
    <xf numFmtId="0" fontId="27" fillId="46" borderId="27" xfId="0" applyFont="1" applyFill="1" applyBorder="1" applyAlignment="1">
      <alignment horizontal="center" vertical="center"/>
    </xf>
    <xf numFmtId="0" fontId="27" fillId="46" borderId="36" xfId="0" applyFont="1" applyFill="1" applyBorder="1" applyAlignment="1">
      <alignment horizontal="center" vertical="center"/>
    </xf>
    <xf numFmtId="0" fontId="26" fillId="47" borderId="25" xfId="0" applyFont="1" applyFill="1" applyBorder="1" applyAlignment="1">
      <alignment horizontal="center" vertical="center"/>
    </xf>
    <xf numFmtId="0" fontId="26" fillId="47" borderId="26" xfId="0" applyFont="1" applyFill="1" applyBorder="1" applyAlignment="1">
      <alignment horizontal="center" vertical="center"/>
    </xf>
  </cellXfs>
  <cellStyles count="45">
    <cellStyle name="20% - アクセント 1" xfId="20" builtinId="30" customBuiltin="1"/>
    <cellStyle name="20% - アクセント 2" xfId="24" builtinId="34" customBuiltin="1"/>
    <cellStyle name="20% - アクセント 3" xfId="28" builtinId="38" customBuiltin="1"/>
    <cellStyle name="20% - アクセント 4" xfId="32" builtinId="42" customBuiltin="1"/>
    <cellStyle name="20% - アクセント 5" xfId="36" builtinId="46" customBuiltin="1"/>
    <cellStyle name="20% - アクセント 6" xfId="40" builtinId="50" customBuiltin="1"/>
    <cellStyle name="40% - アクセント 1" xfId="21" builtinId="31" customBuiltin="1"/>
    <cellStyle name="40% - アクセント 2" xfId="25" builtinId="35" customBuiltin="1"/>
    <cellStyle name="40% - アクセント 3" xfId="29" builtinId="39" customBuiltin="1"/>
    <cellStyle name="40% - アクセント 4" xfId="33" builtinId="43" customBuiltin="1"/>
    <cellStyle name="40% - アクセント 5" xfId="37" builtinId="47" customBuiltin="1"/>
    <cellStyle name="40% - アクセント 6" xfId="41" builtinId="51" customBuiltin="1"/>
    <cellStyle name="60% - アクセント 1" xfId="22" builtinId="32" customBuiltin="1"/>
    <cellStyle name="60% - アクセント 2" xfId="26" builtinId="36" customBuiltin="1"/>
    <cellStyle name="60% - アクセント 3" xfId="30" builtinId="40" customBuiltin="1"/>
    <cellStyle name="60% - アクセント 4" xfId="34" builtinId="44" customBuiltin="1"/>
    <cellStyle name="60% - アクセント 5" xfId="38" builtinId="48" customBuiltin="1"/>
    <cellStyle name="60% - アクセント 6" xfId="42" builtinId="52" customBuiltin="1"/>
    <cellStyle name="Hyperlink" xfId="43" xr:uid="{00000000-000B-0000-0000-000008000000}"/>
    <cellStyle name="アクセント 1" xfId="19" builtinId="29" customBuiltin="1"/>
    <cellStyle name="アクセント 2" xfId="23" builtinId="33" customBuiltin="1"/>
    <cellStyle name="アクセント 3" xfId="27" builtinId="37" customBuiltin="1"/>
    <cellStyle name="アクセント 4" xfId="31" builtinId="41" customBuiltin="1"/>
    <cellStyle name="アクセント 5" xfId="35" builtinId="45" customBuiltin="1"/>
    <cellStyle name="アクセント 6" xfId="39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パーセント" xfId="1" builtinId="5"/>
    <cellStyle name="メモ" xfId="16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5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8" builtinId="25" customBuiltin="1"/>
    <cellStyle name="出力" xfId="11" builtinId="21" customBuiltin="1"/>
    <cellStyle name="説明文" xfId="17" builtinId="53" customBuiltin="1"/>
    <cellStyle name="入力" xfId="10" builtinId="20" customBuiltin="1"/>
    <cellStyle name="標準" xfId="0" builtinId="0"/>
    <cellStyle name="標準 2" xfId="44" xr:uid="{54D73E0E-08DE-46D8-947E-161C11B33C7C}"/>
    <cellStyle name="良い" xfId="7" builtinId="26" customBuiltin="1"/>
  </cellStyles>
  <dxfs count="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IS</a:t>
            </a:r>
            <a:r>
              <a:rPr lang="ja-JP" altLang="en-US"/>
              <a:t>｜</a:t>
            </a:r>
            <a:r>
              <a:rPr lang="en-US" altLang="ja-JP"/>
              <a:t>SQL/MQL</a:t>
            </a:r>
            <a:r>
              <a:rPr lang="ja-JP" altLang="en-US"/>
              <a:t>月次推移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SQL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流入チャネル別集計!$A$36:$A$53</c:f>
              <c:numCache>
                <c:formatCode>yyyy"年"m"月"</c:formatCode>
                <c:ptCount val="18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  <c:pt idx="12">
                  <c:v>45901</c:v>
                </c:pt>
                <c:pt idx="13">
                  <c:v>45931</c:v>
                </c:pt>
                <c:pt idx="14">
                  <c:v>45962</c:v>
                </c:pt>
                <c:pt idx="15">
                  <c:v>45992</c:v>
                </c:pt>
                <c:pt idx="16">
                  <c:v>46023</c:v>
                </c:pt>
                <c:pt idx="17">
                  <c:v>46054</c:v>
                </c:pt>
              </c:numCache>
            </c:numRef>
          </c:cat>
          <c:val>
            <c:numRef>
              <c:f>流入チャネル別集計!$B$36:$B$53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EC-460D-B97F-C3BFA98679A2}"/>
            </c:ext>
          </c:extLst>
        </c:ser>
        <c:ser>
          <c:idx val="1"/>
          <c:order val="1"/>
          <c:tx>
            <c:v>MQL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流入チャネル別集計!$A$36:$A$53</c:f>
              <c:numCache>
                <c:formatCode>yyyy"年"m"月"</c:formatCode>
                <c:ptCount val="18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  <c:pt idx="12">
                  <c:v>45901</c:v>
                </c:pt>
                <c:pt idx="13">
                  <c:v>45931</c:v>
                </c:pt>
                <c:pt idx="14">
                  <c:v>45962</c:v>
                </c:pt>
                <c:pt idx="15">
                  <c:v>45992</c:v>
                </c:pt>
                <c:pt idx="16">
                  <c:v>46023</c:v>
                </c:pt>
                <c:pt idx="17">
                  <c:v>46054</c:v>
                </c:pt>
              </c:numCache>
            </c:numRef>
          </c:cat>
          <c:val>
            <c:numRef>
              <c:f>流入チャネル別集計!$C$36:$C$53</c:f>
              <c:numCache>
                <c:formatCode>General</c:formatCode>
                <c:ptCount val="18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17</c:v>
                </c:pt>
                <c:pt idx="4">
                  <c:v>8</c:v>
                </c:pt>
                <c:pt idx="5">
                  <c:v>67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  <c:pt idx="9">
                  <c:v>12</c:v>
                </c:pt>
                <c:pt idx="10">
                  <c:v>16</c:v>
                </c:pt>
                <c:pt idx="11">
                  <c:v>25</c:v>
                </c:pt>
                <c:pt idx="12">
                  <c:v>5</c:v>
                </c:pt>
                <c:pt idx="13">
                  <c:v>16</c:v>
                </c:pt>
                <c:pt idx="14">
                  <c:v>9</c:v>
                </c:pt>
                <c:pt idx="15">
                  <c:v>24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EC-460D-B97F-C3BFA9867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548424"/>
        <c:axId val="1652253192"/>
      </c:lineChart>
      <c:dateAx>
        <c:axId val="1647548424"/>
        <c:scaling>
          <c:orientation val="minMax"/>
        </c:scaling>
        <c:delete val="0"/>
        <c:axPos val="b"/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253192"/>
        <c:crosses val="autoZero"/>
        <c:auto val="1"/>
        <c:lblOffset val="100"/>
        <c:baseTimeUnit val="months"/>
      </c:dateAx>
      <c:valAx>
        <c:axId val="165225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54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16</xdr:col>
      <xdr:colOff>476250</xdr:colOff>
      <xdr:row>13</xdr:row>
      <xdr:rowOff>219075</xdr:rowOff>
    </xdr:to>
    <xdr:sp macro="" textlink="">
      <xdr:nvSpPr>
        <xdr:cNvPr id="2" name="四角形 1">
          <a:extLst>
            <a:ext uri="{FF2B5EF4-FFF2-40B4-BE49-F238E27FC236}">
              <a16:creationId xmlns:a16="http://schemas.microsoft.com/office/drawing/2014/main" id="{E9B906C0-7236-43A7-9E0B-4E35A0CD5F62}"/>
            </a:ext>
            <a:ext uri="{147F2762-F138-4A5C-976F-8EAC2B608ADB}">
              <a16:predDERef xmlns:a16="http://schemas.microsoft.com/office/drawing/2014/main" pred="{12771FDF-DC0D-8230-24F0-3A5265F67A6D}"/>
            </a:ext>
          </a:extLst>
        </xdr:cNvPr>
        <xdr:cNvSpPr/>
      </xdr:nvSpPr>
      <xdr:spPr>
        <a:xfrm>
          <a:off x="0" y="76200"/>
          <a:ext cx="13515975" cy="3124200"/>
        </a:xfrm>
        <a:prstGeom prst="rect">
          <a:avLst/>
        </a:prstGeom>
        <a:solidFill>
          <a:srgbClr val="000000">
            <a:alpha val="43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ja-JP" altLang="en-US" sz="20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使わない</a:t>
          </a:r>
        </a:p>
      </xdr:txBody>
    </xdr:sp>
    <xdr:clientData/>
  </xdr:twoCellAnchor>
  <xdr:twoCellAnchor>
    <xdr:from>
      <xdr:col>4</xdr:col>
      <xdr:colOff>0</xdr:colOff>
      <xdr:row>33</xdr:row>
      <xdr:rowOff>180975</xdr:rowOff>
    </xdr:from>
    <xdr:to>
      <xdr:col>11</xdr:col>
      <xdr:colOff>619125</xdr:colOff>
      <xdr:row>52</xdr:row>
      <xdr:rowOff>180975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7A59864-A95A-6DA8-1371-0082A88FEF59}"/>
            </a:ext>
            <a:ext uri="{147F2762-F138-4A5C-976F-8EAC2B608ADB}">
              <a16:predDERef xmlns:a16="http://schemas.microsoft.com/office/drawing/2014/main" pred="{E9B906C0-7236-43A7-9E0B-4E35A0CD5F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142875</xdr:rowOff>
    </xdr:from>
    <xdr:to>
      <xdr:col>10</xdr:col>
      <xdr:colOff>47625</xdr:colOff>
      <xdr:row>21</xdr:row>
      <xdr:rowOff>95250</xdr:rowOff>
    </xdr:to>
    <xdr:sp macro="" textlink="">
      <xdr:nvSpPr>
        <xdr:cNvPr id="4" name="四角形 3">
          <a:extLst>
            <a:ext uri="{FF2B5EF4-FFF2-40B4-BE49-F238E27FC236}">
              <a16:creationId xmlns:a16="http://schemas.microsoft.com/office/drawing/2014/main" id="{D1873119-9476-4404-8663-D2B60695D6AF}"/>
            </a:ext>
            <a:ext uri="{147F2762-F138-4A5C-976F-8EAC2B608ADB}">
              <a16:predDERef xmlns:a16="http://schemas.microsoft.com/office/drawing/2014/main" pred="{67A59864-A95A-6DA8-1371-0082A88FEF59}"/>
            </a:ext>
          </a:extLst>
        </xdr:cNvPr>
        <xdr:cNvSpPr/>
      </xdr:nvSpPr>
      <xdr:spPr>
        <a:xfrm>
          <a:off x="0" y="3352800"/>
          <a:ext cx="8972550" cy="1552575"/>
        </a:xfrm>
        <a:prstGeom prst="rect">
          <a:avLst/>
        </a:prstGeom>
        <a:solidFill>
          <a:srgbClr val="000000">
            <a:alpha val="43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ja-JP" altLang="en-US" sz="20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使わない</a:t>
          </a:r>
        </a:p>
      </xdr:txBody>
    </xdr:sp>
    <xdr:clientData/>
  </xdr:twoCellAnchor>
  <xdr:twoCellAnchor>
    <xdr:from>
      <xdr:col>0</xdr:col>
      <xdr:colOff>0</xdr:colOff>
      <xdr:row>21</xdr:row>
      <xdr:rowOff>142875</xdr:rowOff>
    </xdr:from>
    <xdr:to>
      <xdr:col>8</xdr:col>
      <xdr:colOff>47625</xdr:colOff>
      <xdr:row>32</xdr:row>
      <xdr:rowOff>92075</xdr:rowOff>
    </xdr:to>
    <xdr:sp macro="" textlink="">
      <xdr:nvSpPr>
        <xdr:cNvPr id="5" name="四角形 4">
          <a:extLst>
            <a:ext uri="{FF2B5EF4-FFF2-40B4-BE49-F238E27FC236}">
              <a16:creationId xmlns:a16="http://schemas.microsoft.com/office/drawing/2014/main" id="{F22CAE43-576E-40CC-813D-6BCEC39D50E4}"/>
            </a:ext>
            <a:ext uri="{147F2762-F138-4A5C-976F-8EAC2B608ADB}">
              <a16:predDERef xmlns:a16="http://schemas.microsoft.com/office/drawing/2014/main" pred="{D1873119-9476-4404-8663-D2B60695D6AF}"/>
            </a:ext>
          </a:extLst>
        </xdr:cNvPr>
        <xdr:cNvSpPr/>
      </xdr:nvSpPr>
      <xdr:spPr>
        <a:xfrm>
          <a:off x="0" y="4972050"/>
          <a:ext cx="7572375" cy="2568575"/>
        </a:xfrm>
        <a:prstGeom prst="rect">
          <a:avLst/>
        </a:prstGeom>
        <a:solidFill>
          <a:srgbClr val="000000">
            <a:alpha val="43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ja-JP" altLang="en-US" sz="20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使わない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向山　あいる" id="{6FB07765-5B1B-4D1C-A887-8DBADE50F34A}" userId="" providerId=""/>
  <person displayName="神吉 まあや" id="{D59478E9-611A-4818-A2FE-33B14DB2B973}" userId="S::m-kanki@onward.co.jp::323b030d-3703-43a0-ab5a-3f93c9881e61" providerId="AD"/>
  <person displayName="中島 麻耶" id="{69A5F379-1CFF-4DB4-BA71-F3C21155B71F}" userId="S::maya.nakajima@onward.co.jp::50818e0c-ba44-4174-8ccc-64bd8752024b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神吉 まあや" refreshedDate="45681.689102083335" createdVersion="8" refreshedVersion="8" minRefreshableVersion="3" recordCount="59" xr:uid="{7F0DC0B0-646B-483E-8F18-C09C71FAF67A}">
  <cacheSource type="worksheet">
    <worksheetSource ref="A1:M70" sheet="流入チャネル別顧客一覧"/>
  </cacheSource>
  <cacheFields count="12">
    <cacheField name="CVフラグ" numFmtId="0">
      <sharedItems count="3">
        <s v="お問い合わせ完了"/>
        <s v="お役立ち資料DL"/>
        <s v="サービス資料DL"/>
      </sharedItems>
    </cacheField>
    <cacheField name="回答日時orCVしたメルマガ配信日時" numFmtId="22">
      <sharedItems containsSemiMixedTypes="0" containsNonDate="0" containsDate="1" containsString="0" minDate="2024-07-08T13:12:37" maxDate="2025-01-07T14:46:59"/>
    </cacheField>
    <cacheField name="会社名" numFmtId="0">
      <sharedItems/>
    </cacheField>
    <cacheField name="業種or部署" numFmtId="0">
      <sharedItems containsBlank="1"/>
    </cacheField>
    <cacheField name="お名前" numFmtId="0">
      <sharedItems/>
    </cacheField>
    <cacheField name="direct" numFmtId="0">
      <sharedItems containsSemiMixedTypes="0" containsString="0" containsNumber="1" containsInteger="1" minValue="0" maxValue="1"/>
    </cacheField>
    <cacheField name="link" numFmtId="0">
      <sharedItems containsSemiMixedTypes="0" containsString="0" containsNumber="1" containsInteger="1" minValue="0" maxValue="1"/>
    </cacheField>
    <cacheField name="listing" numFmtId="0">
      <sharedItems containsSemiMixedTypes="0" containsString="0" containsNumber="1" containsInteger="1" minValue="0" maxValue="1"/>
    </cacheField>
    <cacheField name="mail" numFmtId="0">
      <sharedItems containsSemiMixedTypes="0" containsString="0" containsNumber="1" containsInteger="1" minValue="0" maxValue="1"/>
    </cacheField>
    <cacheField name="organic" numFmtId="0">
      <sharedItems containsSemiMixedTypes="0" containsString="0" containsNumber="1" containsInteger="1" minValue="0" maxValue="1"/>
    </cacheField>
    <cacheField name="ステータス" numFmtId="0">
      <sharedItems containsBlank="1"/>
    </cacheField>
    <cacheField name="コメント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d v="2024-07-25T17:28:54"/>
    <s v="株式会社カルテットコミュニケーションズ"/>
    <s v="―"/>
    <s v="鬼頭一貴"/>
    <n v="1"/>
    <n v="0"/>
    <n v="0"/>
    <n v="0"/>
    <n v="0"/>
    <m/>
    <m/>
  </r>
  <r>
    <x v="0"/>
    <d v="2024-07-30T04:07:01"/>
    <s v="株式会社DIGIVALUE"/>
    <s v="―"/>
    <s v="松村俊介"/>
    <n v="1"/>
    <n v="0"/>
    <n v="0"/>
    <n v="0"/>
    <n v="0"/>
    <m/>
    <m/>
  </r>
  <r>
    <x v="0"/>
    <d v="2024-08-07T18:08:57"/>
    <s v="株式会社DIGIVALUE"/>
    <s v="―"/>
    <s v="松村俊介"/>
    <n v="1"/>
    <n v="0"/>
    <n v="0"/>
    <n v="0"/>
    <n v="0"/>
    <m/>
    <m/>
  </r>
  <r>
    <x v="0"/>
    <d v="2024-08-08T08:53:41"/>
    <s v="株式会社バリューパートナーズ"/>
    <s v="―"/>
    <s v="小林剛"/>
    <n v="1"/>
    <n v="0"/>
    <n v="0"/>
    <n v="0"/>
    <n v="0"/>
    <m/>
    <m/>
  </r>
  <r>
    <x v="0"/>
    <d v="2024-08-08T11:50:29"/>
    <s v="東莞市勇泰工芸ギフト株式会社"/>
    <s v="メーカー"/>
    <s v="劉相龍"/>
    <n v="0"/>
    <n v="1"/>
    <n v="0"/>
    <n v="0"/>
    <n v="1"/>
    <m/>
    <m/>
  </r>
  <r>
    <x v="0"/>
    <d v="2024-08-17T09:55:04"/>
    <s v="株式会社DIGIVALUE"/>
    <s v="―"/>
    <s v="松村俊介"/>
    <n v="1"/>
    <n v="0"/>
    <n v="0"/>
    <n v="0"/>
    <n v="0"/>
    <m/>
    <m/>
  </r>
  <r>
    <x v="0"/>
    <d v="2024-08-26T20:27:49"/>
    <s v="株式会社DIGIVALUE"/>
    <s v="―"/>
    <s v="松村俊介"/>
    <n v="1"/>
    <n v="0"/>
    <n v="0"/>
    <n v="0"/>
    <n v="0"/>
    <m/>
    <m/>
  </r>
  <r>
    <x v="0"/>
    <d v="2024-08-30T19:50:38"/>
    <s v="株式会社ADNEXT"/>
    <s v="―"/>
    <s v="森大輝"/>
    <n v="1"/>
    <n v="0"/>
    <n v="0"/>
    <n v="0"/>
    <n v="0"/>
    <m/>
    <m/>
  </r>
  <r>
    <x v="0"/>
    <d v="2024-09-04T20:36:53"/>
    <s v="株式会社バリューパートナーズ"/>
    <s v="―"/>
    <s v="小林剛"/>
    <n v="1"/>
    <n v="0"/>
    <n v="0"/>
    <n v="0"/>
    <n v="0"/>
    <m/>
    <m/>
  </r>
  <r>
    <x v="0"/>
    <d v="2024-09-05T09:12:37"/>
    <s v="株式会社DIGIVALUE"/>
    <s v="―"/>
    <s v="松村俊介"/>
    <n v="1"/>
    <n v="0"/>
    <n v="0"/>
    <n v="0"/>
    <n v="0"/>
    <m/>
    <m/>
  </r>
  <r>
    <x v="0"/>
    <d v="2024-09-18T09:36:09"/>
    <s v="株式会社DreaｍLab"/>
    <s v="マーケティング"/>
    <s v="津田雄大"/>
    <n v="0"/>
    <n v="0"/>
    <n v="0"/>
    <n v="0"/>
    <n v="1"/>
    <m/>
    <m/>
  </r>
  <r>
    <x v="0"/>
    <d v="2024-10-02T13:57:55"/>
    <s v="株式会社カルテットコミュニケーションズ"/>
    <s v="―"/>
    <s v="柴田卓真"/>
    <n v="1"/>
    <n v="0"/>
    <n v="0"/>
    <n v="0"/>
    <n v="0"/>
    <m/>
    <m/>
  </r>
  <r>
    <x v="0"/>
    <d v="2024-10-10T12:46:37"/>
    <s v="一般社団法人TOKYO WOOD / 株式会社小嶋工務店"/>
    <s v="建設業"/>
    <s v="金久保誠"/>
    <n v="1"/>
    <n v="1"/>
    <n v="0"/>
    <n v="0"/>
    <n v="1"/>
    <m/>
    <m/>
  </r>
  <r>
    <x v="0"/>
    <d v="2024-10-11T12:27:01"/>
    <s v="株式会社DIGIVALUE"/>
    <s v="―"/>
    <s v="松村俊介"/>
    <n v="1"/>
    <n v="0"/>
    <n v="0"/>
    <n v="0"/>
    <n v="0"/>
    <m/>
    <m/>
  </r>
  <r>
    <x v="0"/>
    <d v="2024-10-23T20:25:32"/>
    <s v="株式会社DIGIVALUE"/>
    <s v="―"/>
    <s v="岡田聡一"/>
    <n v="1"/>
    <n v="0"/>
    <n v="0"/>
    <n v="0"/>
    <n v="0"/>
    <m/>
    <m/>
  </r>
  <r>
    <x v="0"/>
    <d v="2024-10-28T14:27:53"/>
    <s v="大和産商㈱"/>
    <s v="ノベルティ商品製造・販売"/>
    <s v="木下隆之"/>
    <n v="0"/>
    <n v="1"/>
    <n v="0"/>
    <n v="0"/>
    <n v="0"/>
    <m/>
    <m/>
  </r>
  <r>
    <x v="0"/>
    <d v="2024-11-12T09:56:45"/>
    <s v="ソフトブレーン株式会社"/>
    <s v="インターネットサービス"/>
    <s v="直川哲也"/>
    <n v="0"/>
    <n v="0"/>
    <n v="1"/>
    <n v="0"/>
    <n v="1"/>
    <m/>
    <m/>
  </r>
  <r>
    <x v="0"/>
    <d v="2024-11-18T04:49:50"/>
    <s v="株式会社DIGIVALUE"/>
    <s v="―"/>
    <s v="平出優"/>
    <n v="1"/>
    <n v="0"/>
    <n v="0"/>
    <n v="0"/>
    <n v="0"/>
    <m/>
    <m/>
  </r>
  <r>
    <x v="0"/>
    <d v="2024-11-26T09:26:54"/>
    <s v="株式会社リンクアンドモチベーション"/>
    <s v="コンサルティング"/>
    <s v="竹田恭一朗"/>
    <n v="0"/>
    <n v="0"/>
    <n v="1"/>
    <n v="0"/>
    <n v="1"/>
    <m/>
    <m/>
  </r>
  <r>
    <x v="0"/>
    <d v="2024-12-02T20:15:13"/>
    <s v="株式会社Msta"/>
    <s v="―"/>
    <s v="菅井碧樹"/>
    <n v="1"/>
    <n v="0"/>
    <n v="0"/>
    <n v="0"/>
    <n v="0"/>
    <m/>
    <m/>
  </r>
  <r>
    <x v="0"/>
    <d v="2024-12-10T18:25:53"/>
    <s v="小石湖商店"/>
    <s v="卸売"/>
    <s v="中井佐千子"/>
    <n v="0"/>
    <n v="0"/>
    <n v="0"/>
    <n v="0"/>
    <n v="1"/>
    <m/>
    <m/>
  </r>
  <r>
    <x v="0"/>
    <d v="2024-12-13T12:12:03"/>
    <s v="株式会社バリューフロンティア"/>
    <s v="卸売"/>
    <s v="渡辺彩花"/>
    <n v="0"/>
    <n v="1"/>
    <n v="1"/>
    <n v="0"/>
    <n v="1"/>
    <m/>
    <m/>
  </r>
  <r>
    <x v="0"/>
    <d v="2024-12-18T10:34:41"/>
    <s v="株式会社トランス"/>
    <s v="製造"/>
    <s v="向井"/>
    <n v="0"/>
    <n v="0"/>
    <n v="1"/>
    <n v="0"/>
    <n v="1"/>
    <m/>
    <m/>
  </r>
  <r>
    <x v="1"/>
    <d v="2024-07-08T13:13:34"/>
    <s v="高橋工務店"/>
    <s v="不動産"/>
    <s v="高橋"/>
    <n v="0"/>
    <n v="1"/>
    <n v="0"/>
    <n v="0"/>
    <n v="1"/>
    <m/>
    <m/>
  </r>
  <r>
    <x v="1"/>
    <d v="2024-09-11T10:18:37"/>
    <s v="ウイングアーク１ｓｔ株式会社"/>
    <s v="IT・ソフトウェア"/>
    <s v="奥村啓一郎"/>
    <n v="0"/>
    <n v="0"/>
    <n v="0"/>
    <n v="1"/>
    <n v="0"/>
    <m/>
    <m/>
  </r>
  <r>
    <x v="1"/>
    <d v="2024-09-11T10:44:54"/>
    <s v="チョーヤ梅酒株式会社"/>
    <s v="酒類メーカー"/>
    <s v="浅野和世"/>
    <n v="1"/>
    <n v="0"/>
    <n v="0"/>
    <n v="0"/>
    <n v="0"/>
    <m/>
    <m/>
  </r>
  <r>
    <x v="1"/>
    <d v="2024-09-11T14:58:57"/>
    <s v="株式会社　アイプラネット"/>
    <s v="アカウントプロデュース部"/>
    <s v="戸倉宏"/>
    <n v="0"/>
    <n v="0"/>
    <n v="0"/>
    <n v="1"/>
    <n v="0"/>
    <m/>
    <m/>
  </r>
  <r>
    <x v="1"/>
    <d v="2024-09-11T17:14:48"/>
    <s v="株式会社ハーバー研究所"/>
    <s v="化粧品などの開発・製造・販売"/>
    <s v="田口純子"/>
    <n v="0"/>
    <n v="1"/>
    <n v="0"/>
    <n v="1"/>
    <n v="0"/>
    <m/>
    <m/>
  </r>
  <r>
    <x v="1"/>
    <d v="2024-10-08T10:26:33"/>
    <s v="日本メナード化粧品株式会社"/>
    <s v="製造卸し"/>
    <s v="宮地一直"/>
    <n v="0"/>
    <n v="0"/>
    <n v="0"/>
    <n v="1"/>
    <n v="0"/>
    <m/>
    <m/>
  </r>
  <r>
    <x v="1"/>
    <d v="2024-11-05T10:55:08"/>
    <s v="株式会社カネセ"/>
    <s v="陶磁器卸売"/>
    <s v="伊藤和洋"/>
    <n v="1"/>
    <n v="0"/>
    <n v="0"/>
    <n v="1"/>
    <n v="0"/>
    <m/>
    <m/>
  </r>
  <r>
    <x v="1"/>
    <d v="2024-11-07T12:00:30"/>
    <s v="（株）鎌倉紅谷"/>
    <s v="企画"/>
    <s v="吉田祐子"/>
    <n v="0"/>
    <n v="0"/>
    <n v="0"/>
    <n v="1"/>
    <n v="0"/>
    <m/>
    <m/>
  </r>
  <r>
    <x v="1"/>
    <d v="2024-11-13T10:23:20"/>
    <s v="株式会社キャメル珈琲"/>
    <s v="小売"/>
    <s v="石垣千尋"/>
    <n v="0"/>
    <n v="0"/>
    <n v="0"/>
    <n v="1"/>
    <n v="0"/>
    <m/>
    <m/>
  </r>
  <r>
    <x v="1"/>
    <d v="2024-11-25T10:19:51"/>
    <s v="共同印刷株式会社"/>
    <s v="製造業"/>
    <s v="神林　聡"/>
    <n v="1"/>
    <n v="0"/>
    <n v="0"/>
    <n v="1"/>
    <n v="0"/>
    <m/>
    <m/>
  </r>
  <r>
    <x v="1"/>
    <d v="2024-11-25T10:47:00"/>
    <s v="株式会社リーガルコーポレーション"/>
    <s v="製造・小売業"/>
    <s v="小森　直樹"/>
    <n v="0"/>
    <n v="0"/>
    <n v="0"/>
    <n v="1"/>
    <n v="0"/>
    <m/>
    <m/>
  </r>
  <r>
    <x v="1"/>
    <d v="2024-12-10T10:00:00"/>
    <s v="ENEOSトレーディング株式会社"/>
    <s v="販促推進部 SS販促グループ"/>
    <s v="川野邉 伸一"/>
    <n v="0"/>
    <n v="0"/>
    <n v="0"/>
    <n v="1"/>
    <n v="0"/>
    <m/>
    <m/>
  </r>
  <r>
    <x v="1"/>
    <d v="2024-12-10T10:00:00"/>
    <s v="ENEOSトレーディング株式会社"/>
    <s v="販促推進部 SS販促グループ"/>
    <s v="齋藤 絵里"/>
    <n v="0"/>
    <n v="0"/>
    <n v="0"/>
    <n v="1"/>
    <n v="0"/>
    <m/>
    <m/>
  </r>
  <r>
    <x v="1"/>
    <d v="2024-12-10T10:00:00"/>
    <s v="アヲハタ株式会社"/>
    <s v="広報室 メディアコミュニケーションチーム"/>
    <s v="藤原 慎司"/>
    <n v="0"/>
    <n v="0"/>
    <n v="0"/>
    <n v="1"/>
    <n v="0"/>
    <m/>
    <m/>
  </r>
  <r>
    <x v="1"/>
    <d v="2024-12-10T10:00:00"/>
    <s v="ウイングアーク1st株式会社"/>
    <s v="Data Empowerment事業部 ビジネスディベロップメント室"/>
    <s v="奥村 啓一郎"/>
    <n v="0"/>
    <n v="0"/>
    <n v="0"/>
    <n v="1"/>
    <n v="0"/>
    <m/>
    <m/>
  </r>
  <r>
    <x v="1"/>
    <d v="2024-12-10T10:00:00"/>
    <s v="ワールド・ファミリー株式会社"/>
    <s v="営業管理部 セールス・サポート ダイレクト・マーケティング"/>
    <s v="中島 淳子"/>
    <n v="0"/>
    <n v="0"/>
    <n v="0"/>
    <n v="1"/>
    <n v="0"/>
    <m/>
    <m/>
  </r>
  <r>
    <x v="1"/>
    <d v="2024-12-10T10:00:00"/>
    <s v="三協立山株式会社"/>
    <s v="三協アルミ社 エクステリア事業部 エクステリアマーケティング推進部 エクステリアマーケティング推進課"/>
    <s v="小林 泰"/>
    <n v="0"/>
    <n v="0"/>
    <n v="0"/>
    <n v="1"/>
    <n v="0"/>
    <m/>
    <m/>
  </r>
  <r>
    <x v="1"/>
    <d v="2024-12-10T10:00:00"/>
    <s v="日本シャクリー株式会社"/>
    <s v="営業・マーケティング本部 マーケティング部"/>
    <s v="山根 麻衣子"/>
    <n v="0"/>
    <n v="0"/>
    <n v="0"/>
    <n v="1"/>
    <n v="0"/>
    <m/>
    <m/>
  </r>
  <r>
    <x v="1"/>
    <d v="2024-12-10T10:00:00"/>
    <s v="株式会社オンワードパーソナルスタイル"/>
    <s v="営業本部訪問販売部"/>
    <s v="萩原 明夫"/>
    <n v="0"/>
    <n v="0"/>
    <n v="0"/>
    <n v="1"/>
    <n v="0"/>
    <m/>
    <m/>
  </r>
  <r>
    <x v="1"/>
    <d v="2024-12-10T10:00:00"/>
    <s v="株式会社ゼンショーファストホールディングス"/>
    <s v="ファスト営業企画本部 ファスト外食企画部"/>
    <s v="芦田 武宏"/>
    <n v="0"/>
    <n v="0"/>
    <n v="0"/>
    <n v="1"/>
    <n v="0"/>
    <m/>
    <m/>
  </r>
  <r>
    <x v="1"/>
    <d v="2024-12-10T10:00:00"/>
    <s v="株式会社フェリシモ"/>
    <s v="CFV事業本部"/>
    <s v="松本 和子"/>
    <n v="0"/>
    <n v="0"/>
    <n v="0"/>
    <n v="1"/>
    <n v="0"/>
    <m/>
    <m/>
  </r>
  <r>
    <x v="1"/>
    <d v="2024-12-10T10:00:00"/>
    <s v="株式会社ホンダコムテック"/>
    <s v="ブランドプロモーション統括部 商品事業企画部 1グループ"/>
    <s v="辻 萌"/>
    <n v="0"/>
    <n v="0"/>
    <n v="0"/>
    <n v="1"/>
    <n v="0"/>
    <m/>
    <m/>
  </r>
  <r>
    <x v="1"/>
    <d v="2024-12-10T10:00:00"/>
    <s v="株式会社リーガルコーポレーション"/>
    <s v="小売統括部 FC事業課"/>
    <s v="寺﨑 政弘"/>
    <n v="0"/>
    <n v="0"/>
    <n v="0"/>
    <n v="1"/>
    <n v="0"/>
    <m/>
    <m/>
  </r>
  <r>
    <x v="1"/>
    <d v="2024-12-10T10:00:00"/>
    <s v="株式会社世界文化ブックス"/>
    <s v="セールスマーケティング本部 特販部"/>
    <s v="松村 元幸"/>
    <n v="0"/>
    <n v="0"/>
    <n v="0"/>
    <n v="1"/>
    <n v="0"/>
    <m/>
    <m/>
  </r>
  <r>
    <x v="1"/>
    <d v="2024-12-10T10:00:00"/>
    <s v="株式会社丸善ジュンク堂書店"/>
    <s v="営業本部 店舗管理部"/>
    <s v="福島 志保"/>
    <n v="0"/>
    <n v="0"/>
    <n v="0"/>
    <n v="1"/>
    <n v="0"/>
    <m/>
    <m/>
  </r>
  <r>
    <x v="2"/>
    <d v="2024-07-08T13:12:37"/>
    <s v="高橋工務店"/>
    <s v="不動産"/>
    <s v="高橋"/>
    <n v="0"/>
    <n v="1"/>
    <n v="0"/>
    <n v="0"/>
    <n v="1"/>
    <m/>
    <m/>
  </r>
  <r>
    <x v="2"/>
    <d v="2024-08-26T08:33:30"/>
    <s v="TOPPAN株式会社"/>
    <s v="マーケティング支援"/>
    <s v="太田正伸"/>
    <n v="0"/>
    <n v="0"/>
    <n v="0"/>
    <n v="0"/>
    <n v="1"/>
    <s v="商談済み"/>
    <s v="企画プランニング課の担当より問い合わせあり。エンドクライアント：地方の自動車解体業者_x000a_相談内容：解体部品のリメイクアップ。規模小のため今回はお断り済み。"/>
  </r>
  <r>
    <x v="2"/>
    <d v="2024-08-26T23:36:53"/>
    <s v="abc"/>
    <s v="mg"/>
    <s v="chaoxiang"/>
    <n v="0"/>
    <n v="1"/>
    <n v="0"/>
    <n v="0"/>
    <n v="0"/>
    <m/>
    <m/>
  </r>
  <r>
    <x v="2"/>
    <d v="2024-09-17T11:09:47"/>
    <s v="株式会社アルテック"/>
    <s v="建設業"/>
    <s v="森﨑　愛結"/>
    <n v="0"/>
    <n v="1"/>
    <n v="0"/>
    <n v="0"/>
    <n v="0"/>
    <m/>
    <m/>
  </r>
  <r>
    <x v="2"/>
    <d v="2024-11-25T10:00:00"/>
    <s v="株式会社ヤオコー"/>
    <s v="営業統括室"/>
    <s v="宮本 昌明"/>
    <n v="0"/>
    <n v="0"/>
    <n v="0"/>
    <n v="1"/>
    <n v="0"/>
    <m/>
    <m/>
  </r>
  <r>
    <x v="2"/>
    <d v="2024-11-25T10:00:00"/>
    <s v="株式会社三城"/>
    <s v="営業企画"/>
    <s v="三海 美千代"/>
    <n v="0"/>
    <n v="0"/>
    <n v="0"/>
    <n v="1"/>
    <n v="0"/>
    <m/>
    <m/>
  </r>
  <r>
    <x v="2"/>
    <d v="2024-12-05T11:14:31"/>
    <s v="株式会社NAT"/>
    <m/>
    <s v="辻安里"/>
    <n v="0"/>
    <n v="0"/>
    <n v="1"/>
    <n v="0"/>
    <n v="1"/>
    <m/>
    <m/>
  </r>
  <r>
    <x v="2"/>
    <d v="2025-01-07T10:00:00"/>
    <s v="オリンパス株式会社"/>
    <s v="コーポレートサービス本部 宣伝部 事業グループ(展示・イベント)"/>
    <s v="嶋田 ふみ"/>
    <n v="0"/>
    <n v="0"/>
    <n v="0"/>
    <n v="1"/>
    <n v="0"/>
    <m/>
    <m/>
  </r>
  <r>
    <x v="2"/>
    <d v="2025-01-07T10:00:00"/>
    <s v="ルートインジャパン株式会社"/>
    <s v="運営部 運営企画課 ポイントカード推進室"/>
    <s v="小野塚 知子"/>
    <n v="0"/>
    <n v="0"/>
    <n v="0"/>
    <n v="1"/>
    <n v="0"/>
    <m/>
    <m/>
  </r>
  <r>
    <x v="2"/>
    <d v="2025-01-07T10:00:00"/>
    <s v="株式会社光未来"/>
    <s v="販売促進部"/>
    <s v="柏熊 厚志"/>
    <n v="0"/>
    <n v="0"/>
    <n v="0"/>
    <n v="1"/>
    <n v="0"/>
    <m/>
    <m/>
  </r>
  <r>
    <x v="2"/>
    <d v="2025-01-07T14:46:59"/>
    <s v="株式会社内藤ハウス"/>
    <m/>
    <s v="佐川友紀乃"/>
    <n v="0"/>
    <n v="0"/>
    <n v="1"/>
    <n v="0"/>
    <n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4FEFD8-0BE6-4DF1-AF42-C9AF51488D82}" name="ピボットテーブル9" cacheId="87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F7" firstHeaderRow="0" firstDataRow="1" firstDataCol="1"/>
  <pivotFields count="12">
    <pivotField axis="axisRow" showAll="0">
      <items count="4">
        <item x="0"/>
        <item x="1"/>
        <item x="2"/>
        <item t="default"/>
      </items>
    </pivotField>
    <pivotField numFmtId="22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合計 / direct" fld="5" baseField="0" baseItem="0"/>
    <dataField name="合計 / link" fld="6" baseField="0" baseItem="0"/>
    <dataField name="合計 / listing" fld="7" baseField="0" baseItem="0"/>
    <dataField name="合計 / mail" fld="8" baseField="0" baseItem="0"/>
    <dataField name="合計 / organic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77" dT="2025-08-21T10:39:17.89" personId="{6FB07765-5B1B-4D1C-A887-8DBADE50F34A}" id="{7E9D1615-658E-4E32-8A31-261A96499DF4}">
    <text>サプライヤー（東京　製品仕入れ先）
です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3" dT="2025-03-24T01:29:20.17" personId="{69A5F379-1CFF-4DB4-BA71-F3C21155B71F}" id="{40CCF45B-E33F-40D2-816B-682E5D50327C}">
    <text>営業がアプローチしているリードの数。SAで、アプローチしているか確認。</text>
  </threadedComment>
  <threadedComment ref="G7" dT="2025-01-24T08:22:19.10" personId="{D59478E9-611A-4818-A2FE-33B14DB2B973}" id="{0AC5C160-484E-463E-872C-98A4F1B47CCA}">
    <text>非ユニーク</text>
  </threadedComment>
  <threadedComment ref="H7" dT="2025-01-27T02:15:47.68" personId="{D59478E9-611A-4818-A2FE-33B14DB2B973}" id="{738ABAF1-1968-433F-BDC1-85FEB0114C4B}">
    <text>ユニーク</text>
  </threadedComment>
  <threadedComment ref="I7" dT="2025-01-24T07:43:12.93" personId="{D59478E9-611A-4818-A2FE-33B14DB2B973}" id="{CAD3B2B3-3A47-42A9-9EDC-9B43B29F05BD}">
    <text>ユニーク</text>
  </threadedComment>
  <threadedComment ref="G8" dT="2025-01-24T07:56:07.61" personId="{D59478E9-611A-4818-A2FE-33B14DB2B973}" id="{11C0FC18-5FDD-4A33-9F3F-E97EB07C580E}">
    <text>非ユニーク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kana_miyahara@haruyama.biz" TargetMode="External"/><Relationship Id="rId2" Type="http://schemas.openxmlformats.org/officeDocument/2006/relationships/hyperlink" Target="mailto:beybebei.2025@gmail.com" TargetMode="External"/><Relationship Id="rId1" Type="http://schemas.openxmlformats.org/officeDocument/2006/relationships/hyperlink" Target="mailto:okazakim@citizen.co.jp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nakamura_remi@koyasan.or.jp" TargetMode="External"/><Relationship Id="rId21" Type="http://schemas.openxmlformats.org/officeDocument/2006/relationships/hyperlink" Target="mailto:miyazawa@sanshinworld.com" TargetMode="External"/><Relationship Id="rId42" Type="http://schemas.openxmlformats.org/officeDocument/2006/relationships/hyperlink" Target="mailto:kusunoki@hiromata.jp" TargetMode="External"/><Relationship Id="rId47" Type="http://schemas.openxmlformats.org/officeDocument/2006/relationships/hyperlink" Target="mailto:n_sawada@ivy-company.jp" TargetMode="External"/><Relationship Id="rId63" Type="http://schemas.openxmlformats.org/officeDocument/2006/relationships/hyperlink" Target="mailto:kyowametal@biscuit.ocn.ne.jp" TargetMode="External"/><Relationship Id="rId68" Type="http://schemas.openxmlformats.org/officeDocument/2006/relationships/hyperlink" Target="mailto:sasaki.h@mazdabp.co.jp" TargetMode="External"/><Relationship Id="rId84" Type="http://schemas.openxmlformats.org/officeDocument/2006/relationships/hyperlink" Target="mailto:jss6128@jss-group.co.jp" TargetMode="External"/><Relationship Id="rId89" Type="http://schemas.openxmlformats.org/officeDocument/2006/relationships/hyperlink" Target="mailto:horie_kaori@lotte.co.jp" TargetMode="External"/><Relationship Id="rId16" Type="http://schemas.openxmlformats.org/officeDocument/2006/relationships/hyperlink" Target="mailto:satou_ryoji@lotte.co.jp" TargetMode="External"/><Relationship Id="rId11" Type="http://schemas.openxmlformats.org/officeDocument/2006/relationships/hyperlink" Target="mailto:taka_nakamura@suntory.co.jp" TargetMode="External"/><Relationship Id="rId32" Type="http://schemas.openxmlformats.org/officeDocument/2006/relationships/hyperlink" Target="mailto:murata@futaba1957.co.jp" TargetMode="External"/><Relationship Id="rId37" Type="http://schemas.openxmlformats.org/officeDocument/2006/relationships/hyperlink" Target="mailto:ry-suzuki@ogcr.co.jp" TargetMode="External"/><Relationship Id="rId53" Type="http://schemas.openxmlformats.org/officeDocument/2006/relationships/hyperlink" Target="mailto:mizuhiro.kawaguchi@teads.com" TargetMode="External"/><Relationship Id="rId58" Type="http://schemas.openxmlformats.org/officeDocument/2006/relationships/hyperlink" Target="mailto:kazuhiko-yasuda@st-grp.co.jp" TargetMode="External"/><Relationship Id="rId74" Type="http://schemas.openxmlformats.org/officeDocument/2006/relationships/hyperlink" Target="mailto:ayako_shima@usjc.co.jp" TargetMode="External"/><Relationship Id="rId79" Type="http://schemas.openxmlformats.org/officeDocument/2006/relationships/hyperlink" Target="mailto:kazuhiko-yasuda@st-grp.co.jp" TargetMode="External"/><Relationship Id="rId5" Type="http://schemas.openxmlformats.org/officeDocument/2006/relationships/hyperlink" Target="mailto:shiho_horiuchi@suntory.co.jp" TargetMode="External"/><Relationship Id="rId90" Type="http://schemas.openxmlformats.org/officeDocument/2006/relationships/hyperlink" Target="mailto:m-matsumura@sekaibunka.co.jp" TargetMode="External"/><Relationship Id="rId22" Type="http://schemas.openxmlformats.org/officeDocument/2006/relationships/hyperlink" Target="mailto:kazuhiko-yasuda@st-grp.co.jp" TargetMode="External"/><Relationship Id="rId27" Type="http://schemas.openxmlformats.org/officeDocument/2006/relationships/hyperlink" Target="/003fR000002Yqw8" TargetMode="External"/><Relationship Id="rId43" Type="http://schemas.openxmlformats.org/officeDocument/2006/relationships/hyperlink" Target="mailto:r_eguchi@pola.co.jp" TargetMode="External"/><Relationship Id="rId48" Type="http://schemas.openxmlformats.org/officeDocument/2006/relationships/hyperlink" Target="mailto:a.kinokami@newart-ir.jp" TargetMode="External"/><Relationship Id="rId64" Type="http://schemas.openxmlformats.org/officeDocument/2006/relationships/hyperlink" Target="mailto:kobayasi@sic.shimano.co.jp" TargetMode="External"/><Relationship Id="rId69" Type="http://schemas.openxmlformats.org/officeDocument/2006/relationships/hyperlink" Target="mailto:mi.mori@hino.co.jp" TargetMode="External"/><Relationship Id="rId8" Type="http://schemas.openxmlformats.org/officeDocument/2006/relationships/hyperlink" Target="mailto:f4-nakamura@iy.7andi.co.jp" TargetMode="External"/><Relationship Id="rId51" Type="http://schemas.openxmlformats.org/officeDocument/2006/relationships/hyperlink" Target="mailto:sho.inoue@fujidream.co.jp" TargetMode="External"/><Relationship Id="rId72" Type="http://schemas.openxmlformats.org/officeDocument/2006/relationships/hyperlink" Target="mailto:rsasaki@dhc.co.jp" TargetMode="External"/><Relationship Id="rId80" Type="http://schemas.openxmlformats.org/officeDocument/2006/relationships/hyperlink" Target="mailto:junichi.nishikata.wt@fm.fukoku-life.co.jp" TargetMode="External"/><Relationship Id="rId85" Type="http://schemas.openxmlformats.org/officeDocument/2006/relationships/hyperlink" Target="mailto:kamiyoshi@u-can.co.jp" TargetMode="External"/><Relationship Id="rId93" Type="http://schemas.openxmlformats.org/officeDocument/2006/relationships/hyperlink" Target="mailto:odagiri@osstech.co.jp" TargetMode="External"/><Relationship Id="rId3" Type="http://schemas.openxmlformats.org/officeDocument/2006/relationships/hyperlink" Target="mailto:hiroyasu.a@pg.com" TargetMode="External"/><Relationship Id="rId12" Type="http://schemas.openxmlformats.org/officeDocument/2006/relationships/hyperlink" Target="mailto:k-naoko@nochubank.or.jp" TargetMode="External"/><Relationship Id="rId17" Type="http://schemas.openxmlformats.org/officeDocument/2006/relationships/hyperlink" Target="mailto:camel.k-nohara@kaldi.co.jp" TargetMode="External"/><Relationship Id="rId25" Type="http://schemas.openxmlformats.org/officeDocument/2006/relationships/hyperlink" Target="mailto:s_baba@tbc.co.jp" TargetMode="External"/><Relationship Id="rId33" Type="http://schemas.openxmlformats.org/officeDocument/2006/relationships/hyperlink" Target="mailto:ky-mori@towayakuhin.co.jp" TargetMode="External"/><Relationship Id="rId38" Type="http://schemas.openxmlformats.org/officeDocument/2006/relationships/hyperlink" Target="mailto:doi-risako@yodoko.co.jp" TargetMode="External"/><Relationship Id="rId46" Type="http://schemas.openxmlformats.org/officeDocument/2006/relationships/hyperlink" Target="mailto:umeda_k@yomiuri-jko.co.jp" TargetMode="External"/><Relationship Id="rId59" Type="http://schemas.openxmlformats.org/officeDocument/2006/relationships/hyperlink" Target="mailto:atsushiyamatoya@jeans.ocn.ne.jp" TargetMode="External"/><Relationship Id="rId67" Type="http://schemas.openxmlformats.org/officeDocument/2006/relationships/hyperlink" Target="mailto:naemi.asai@nagase.co.jp" TargetMode="External"/><Relationship Id="rId20" Type="http://schemas.openxmlformats.org/officeDocument/2006/relationships/hyperlink" Target="mailto:suzuki-kaoru@regal.co.jp" TargetMode="External"/><Relationship Id="rId41" Type="http://schemas.openxmlformats.org/officeDocument/2006/relationships/hyperlink" Target="mailto:k-ito@movic.co.jp" TargetMode="External"/><Relationship Id="rId54" Type="http://schemas.openxmlformats.org/officeDocument/2006/relationships/hyperlink" Target="mailto:shigeo.ishimaru@bridgestone.com" TargetMode="External"/><Relationship Id="rId62" Type="http://schemas.openxmlformats.org/officeDocument/2006/relationships/hyperlink" Target="mailto:s_tanabe@leopalace21.com" TargetMode="External"/><Relationship Id="rId70" Type="http://schemas.openxmlformats.org/officeDocument/2006/relationships/hyperlink" Target="mailto:kawasaki@fellowroom.co.jp" TargetMode="External"/><Relationship Id="rId75" Type="http://schemas.openxmlformats.org/officeDocument/2006/relationships/hyperlink" Target="mailto:n-kamimura@owndays.co.jp" TargetMode="External"/><Relationship Id="rId83" Type="http://schemas.openxmlformats.org/officeDocument/2006/relationships/hyperlink" Target="mailto:a.shimada@hor.co.jp" TargetMode="External"/><Relationship Id="rId88" Type="http://schemas.openxmlformats.org/officeDocument/2006/relationships/hyperlink" Target="mailto:at.inoue@i-ne.co.jp" TargetMode="External"/><Relationship Id="rId91" Type="http://schemas.openxmlformats.org/officeDocument/2006/relationships/hyperlink" Target="mailto:hiroaki.sugita@g.softbank.co.jp" TargetMode="External"/><Relationship Id="rId1" Type="http://schemas.openxmlformats.org/officeDocument/2006/relationships/hyperlink" Target="mailto:yukako.naito@fujifilm.com" TargetMode="External"/><Relationship Id="rId6" Type="http://schemas.openxmlformats.org/officeDocument/2006/relationships/hyperlink" Target="mailto:arisa_kudo@fujifilm.co.jp" TargetMode="External"/><Relationship Id="rId15" Type="http://schemas.openxmlformats.org/officeDocument/2006/relationships/hyperlink" Target="mailto:sumiko.5480095@ichibanya.jp" TargetMode="External"/><Relationship Id="rId23" Type="http://schemas.openxmlformats.org/officeDocument/2006/relationships/hyperlink" Target="mailto:kawanamid1@lixil.co.jp" TargetMode="External"/><Relationship Id="rId28" Type="http://schemas.openxmlformats.org/officeDocument/2006/relationships/hyperlink" Target="mailto:h-matsunaga@taiho.co.jp" TargetMode="External"/><Relationship Id="rId36" Type="http://schemas.openxmlformats.org/officeDocument/2006/relationships/hyperlink" Target="mailto:koshino-chiaki@yodoko.co.jp" TargetMode="External"/><Relationship Id="rId49" Type="http://schemas.openxmlformats.org/officeDocument/2006/relationships/hyperlink" Target="mailto:yutaka.ooshiro.ql@fm.fukoku-life.co.jp" TargetMode="External"/><Relationship Id="rId57" Type="http://schemas.openxmlformats.org/officeDocument/2006/relationships/hyperlink" Target="mailto:m.yahata@anawf.co.jp" TargetMode="External"/><Relationship Id="rId10" Type="http://schemas.openxmlformats.org/officeDocument/2006/relationships/hyperlink" Target="mailto:takayama_tomoko@nintendo.co.jp" TargetMode="External"/><Relationship Id="rId31" Type="http://schemas.openxmlformats.org/officeDocument/2006/relationships/hyperlink" Target="mailto:yusuke_kawai@suntory.co.jp" TargetMode="External"/><Relationship Id="rId44" Type="http://schemas.openxmlformats.org/officeDocument/2006/relationships/hyperlink" Target="mailto:i-ito@cozycorner.co.jp" TargetMode="External"/><Relationship Id="rId52" Type="http://schemas.openxmlformats.org/officeDocument/2006/relationships/hyperlink" Target="mailto:yoriko_kozawa@am.sumitomolife.co.jp" TargetMode="External"/><Relationship Id="rId60" Type="http://schemas.openxmlformats.org/officeDocument/2006/relationships/hyperlink" Target="mailto:shimizu_haruka@dn.smbc.co.jp" TargetMode="External"/><Relationship Id="rId65" Type="http://schemas.openxmlformats.org/officeDocument/2006/relationships/hyperlink" Target="mailto:toyomi@gm.janome.co.jp" TargetMode="External"/><Relationship Id="rId73" Type="http://schemas.openxmlformats.org/officeDocument/2006/relationships/hyperlink" Target="mailto:emahi.yasuda@husqvarnagroup.com" TargetMode="External"/><Relationship Id="rId78" Type="http://schemas.openxmlformats.org/officeDocument/2006/relationships/hyperlink" Target="mailto:nobuhiko.kurihara@asahiinryo.co.jp" TargetMode="External"/><Relationship Id="rId81" Type="http://schemas.openxmlformats.org/officeDocument/2006/relationships/hyperlink" Target="mailto:kanda.ats@mazda.co.jp" TargetMode="External"/><Relationship Id="rId86" Type="http://schemas.openxmlformats.org/officeDocument/2006/relationships/hyperlink" Target="mailto:komatsuzaki_yujim@mary.co.jp" TargetMode="External"/><Relationship Id="rId4" Type="http://schemas.openxmlformats.org/officeDocument/2006/relationships/hyperlink" Target="mailto:kumatoriya.naoki@otsuka.jp" TargetMode="External"/><Relationship Id="rId9" Type="http://schemas.openxmlformats.org/officeDocument/2006/relationships/hyperlink" Target="mailto:inose27455@nissay.co.jp" TargetMode="External"/><Relationship Id="rId13" Type="http://schemas.openxmlformats.org/officeDocument/2006/relationships/hyperlink" Target="mailto:maeda_t@maruchan.co.jp" TargetMode="External"/><Relationship Id="rId18" Type="http://schemas.openxmlformats.org/officeDocument/2006/relationships/hyperlink" Target="mailto:m-matsumura@sekaibunka.co.jp" TargetMode="External"/><Relationship Id="rId39" Type="http://schemas.openxmlformats.org/officeDocument/2006/relationships/hyperlink" Target="mailto:n_yanagiya@haba.co.jp" TargetMode="External"/><Relationship Id="rId34" Type="http://schemas.openxmlformats.org/officeDocument/2006/relationships/hyperlink" Target="mailto:kazuhiko-yasuda@st-grp.co.jp" TargetMode="External"/><Relationship Id="rId50" Type="http://schemas.openxmlformats.org/officeDocument/2006/relationships/hyperlink" Target="mailto:miyosawa@hhq.suzuki.co.jp" TargetMode="External"/><Relationship Id="rId55" Type="http://schemas.openxmlformats.org/officeDocument/2006/relationships/hyperlink" Target="mailto:suzuki223@sekisuihouse.co.jp" TargetMode="External"/><Relationship Id="rId76" Type="http://schemas.openxmlformats.org/officeDocument/2006/relationships/hyperlink" Target="mailto:shintani-mari@yodoko.co.jp" TargetMode="External"/><Relationship Id="rId7" Type="http://schemas.openxmlformats.org/officeDocument/2006/relationships/hyperlink" Target="mailto:tani.kazuyuki@aquaclara.co.jp" TargetMode="External"/><Relationship Id="rId71" Type="http://schemas.openxmlformats.org/officeDocument/2006/relationships/hyperlink" Target="mailto:sayaka-uchiyama@belluna.co.jp" TargetMode="External"/><Relationship Id="rId92" Type="http://schemas.openxmlformats.org/officeDocument/2006/relationships/hyperlink" Target="mailto:katou-d@charle.co.jp" TargetMode="External"/><Relationship Id="rId2" Type="http://schemas.openxmlformats.org/officeDocument/2006/relationships/hyperlink" Target="mailto:eri.muto@fujifilm.com" TargetMode="External"/><Relationship Id="rId29" Type="http://schemas.openxmlformats.org/officeDocument/2006/relationships/hyperlink" Target="/0035j00001OLed2" TargetMode="External"/><Relationship Id="rId24" Type="http://schemas.openxmlformats.org/officeDocument/2006/relationships/hyperlink" Target="mailto:k.miyashita@sawai.co.jp" TargetMode="External"/><Relationship Id="rId40" Type="http://schemas.openxmlformats.org/officeDocument/2006/relationships/hyperlink" Target="mailto:omura6385@chateraise.co.jp" TargetMode="External"/><Relationship Id="rId45" Type="http://schemas.openxmlformats.org/officeDocument/2006/relationships/hyperlink" Target="mailto:nishida-s@gold-t.com" TargetMode="External"/><Relationship Id="rId66" Type="http://schemas.openxmlformats.org/officeDocument/2006/relationships/hyperlink" Target="mailto:masahiro-kikuchi@st-grp.co.jp" TargetMode="External"/><Relationship Id="rId87" Type="http://schemas.openxmlformats.org/officeDocument/2006/relationships/hyperlink" Target="mailto:m-kojima@haagen-dazs.co.jp" TargetMode="External"/><Relationship Id="rId61" Type="http://schemas.openxmlformats.org/officeDocument/2006/relationships/hyperlink" Target="mailto:a.watanabe@dianashoes.com" TargetMode="External"/><Relationship Id="rId82" Type="http://schemas.openxmlformats.org/officeDocument/2006/relationships/hyperlink" Target="mailto:satomi.yagi@angp.jp" TargetMode="External"/><Relationship Id="rId19" Type="http://schemas.openxmlformats.org/officeDocument/2006/relationships/hyperlink" Target="mailto:j_taguchi@haba.co.jp" TargetMode="External"/><Relationship Id="rId14" Type="http://schemas.openxmlformats.org/officeDocument/2006/relationships/hyperlink" Target="mailto:kasahara-mika@sej.7andi.co.jp" TargetMode="External"/><Relationship Id="rId30" Type="http://schemas.openxmlformats.org/officeDocument/2006/relationships/hyperlink" Target="mailto:hamade.p88w@jal.com" TargetMode="External"/><Relationship Id="rId35" Type="http://schemas.openxmlformats.org/officeDocument/2006/relationships/hyperlink" Target="mailto:a.watanabe@dianashoes.com" TargetMode="External"/><Relationship Id="rId56" Type="http://schemas.openxmlformats.org/officeDocument/2006/relationships/hyperlink" Target="mailto:n.onodera@st-grp.co.jp" TargetMode="External"/><Relationship Id="rId77" Type="http://schemas.openxmlformats.org/officeDocument/2006/relationships/hyperlink" Target="mailto:tsujino.kento@byd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30744-694F-4261-BF2E-BDC0AB3C56BD}">
  <dimension ref="A1:E867"/>
  <sheetViews>
    <sheetView topLeftCell="A2" workbookViewId="0">
      <selection activeCell="A2" sqref="A2:B2"/>
    </sheetView>
  </sheetViews>
  <sheetFormatPr defaultRowHeight="18"/>
  <cols>
    <col min="1" max="1" width="29.625" customWidth="1"/>
    <col min="2" max="2" width="25.75" customWidth="1"/>
    <col min="3" max="3" width="22.375" customWidth="1"/>
    <col min="4" max="4" width="38" customWidth="1"/>
    <col min="5" max="5" width="18.125" customWidth="1"/>
  </cols>
  <sheetData>
    <row r="1" spans="1:5">
      <c r="A1" s="135" t="s">
        <v>0</v>
      </c>
      <c r="B1" s="136"/>
      <c r="C1" s="131" t="s">
        <v>1</v>
      </c>
      <c r="D1" s="131" t="s">
        <v>2</v>
      </c>
      <c r="E1" s="131" t="s">
        <v>3</v>
      </c>
    </row>
    <row r="2" spans="1:5">
      <c r="A2" s="133" t="s">
        <v>4</v>
      </c>
      <c r="B2" s="134"/>
      <c r="C2" s="130" t="s">
        <v>5</v>
      </c>
      <c r="D2" s="130" t="s">
        <v>6</v>
      </c>
      <c r="E2" s="28">
        <v>45446</v>
      </c>
    </row>
    <row r="3" spans="1:5">
      <c r="A3" s="133" t="s">
        <v>7</v>
      </c>
      <c r="B3" s="134"/>
      <c r="C3" s="29" t="s">
        <v>5</v>
      </c>
      <c r="D3" s="29" t="s">
        <v>8</v>
      </c>
      <c r="E3" s="30">
        <v>45446</v>
      </c>
    </row>
    <row r="4" spans="1:5">
      <c r="A4" s="133" t="s">
        <v>9</v>
      </c>
      <c r="B4" s="134"/>
      <c r="C4" s="29" t="s">
        <v>5</v>
      </c>
      <c r="D4" s="29" t="s">
        <v>10</v>
      </c>
      <c r="E4" s="30">
        <v>45446</v>
      </c>
    </row>
    <row r="5" spans="1:5">
      <c r="A5" s="133" t="s">
        <v>11</v>
      </c>
      <c r="B5" s="134"/>
      <c r="C5" s="29" t="s">
        <v>5</v>
      </c>
      <c r="D5" s="29" t="s">
        <v>12</v>
      </c>
      <c r="E5" s="30">
        <v>45448</v>
      </c>
    </row>
    <row r="6" spans="1:5">
      <c r="A6" s="133" t="s">
        <v>13</v>
      </c>
      <c r="B6" s="134"/>
      <c r="C6" s="29" t="s">
        <v>5</v>
      </c>
      <c r="D6" s="29" t="s">
        <v>14</v>
      </c>
      <c r="E6" s="30">
        <v>45448</v>
      </c>
    </row>
    <row r="7" spans="1:5">
      <c r="A7" s="133" t="s">
        <v>15</v>
      </c>
      <c r="B7" s="134"/>
      <c r="C7" s="29" t="s">
        <v>16</v>
      </c>
      <c r="D7" s="29" t="s">
        <v>17</v>
      </c>
      <c r="E7" s="30">
        <v>45450</v>
      </c>
    </row>
    <row r="8" spans="1:5">
      <c r="A8" s="133" t="s">
        <v>18</v>
      </c>
      <c r="B8" s="134"/>
      <c r="C8" s="29" t="s">
        <v>5</v>
      </c>
      <c r="D8" s="29" t="s">
        <v>19</v>
      </c>
      <c r="E8" s="30">
        <v>45450</v>
      </c>
    </row>
    <row r="9" spans="1:5">
      <c r="A9" s="133" t="s">
        <v>20</v>
      </c>
      <c r="B9" s="134"/>
      <c r="C9" s="29" t="s">
        <v>16</v>
      </c>
      <c r="D9" s="29" t="s">
        <v>21</v>
      </c>
      <c r="E9" s="30">
        <v>45453</v>
      </c>
    </row>
    <row r="10" spans="1:5">
      <c r="A10" s="133" t="s">
        <v>22</v>
      </c>
      <c r="B10" s="134"/>
      <c r="C10" s="29" t="s">
        <v>23</v>
      </c>
      <c r="D10" s="29" t="s">
        <v>24</v>
      </c>
      <c r="E10" s="30">
        <v>45457</v>
      </c>
    </row>
    <row r="11" spans="1:5">
      <c r="A11" s="133" t="s">
        <v>25</v>
      </c>
      <c r="B11" s="134"/>
      <c r="C11" s="29" t="s">
        <v>5</v>
      </c>
      <c r="D11" s="29" t="s">
        <v>26</v>
      </c>
      <c r="E11" s="30">
        <v>45457</v>
      </c>
    </row>
    <row r="12" spans="1:5">
      <c r="A12" s="133" t="s">
        <v>27</v>
      </c>
      <c r="B12" s="134"/>
      <c r="C12" s="29" t="s">
        <v>5</v>
      </c>
      <c r="D12" s="29" t="s">
        <v>28</v>
      </c>
      <c r="E12" s="30">
        <v>45457</v>
      </c>
    </row>
    <row r="13" spans="1:5">
      <c r="A13" s="133" t="s">
        <v>29</v>
      </c>
      <c r="B13" s="134"/>
      <c r="C13" s="29" t="s">
        <v>5</v>
      </c>
      <c r="D13" s="29" t="s">
        <v>30</v>
      </c>
      <c r="E13" s="30">
        <v>45461</v>
      </c>
    </row>
    <row r="14" spans="1:5">
      <c r="A14" s="133" t="s">
        <v>31</v>
      </c>
      <c r="B14" s="134"/>
      <c r="C14" s="29" t="s">
        <v>5</v>
      </c>
      <c r="D14" s="29" t="s">
        <v>32</v>
      </c>
      <c r="E14" s="30">
        <v>45461</v>
      </c>
    </row>
    <row r="15" spans="1:5">
      <c r="A15" s="133" t="s">
        <v>33</v>
      </c>
      <c r="B15" s="134"/>
      <c r="C15" s="29" t="s">
        <v>5</v>
      </c>
      <c r="D15" s="29" t="s">
        <v>34</v>
      </c>
      <c r="E15" s="30">
        <v>45462</v>
      </c>
    </row>
    <row r="16" spans="1:5">
      <c r="A16" s="133" t="s">
        <v>35</v>
      </c>
      <c r="B16" s="134"/>
      <c r="C16" s="29" t="s">
        <v>23</v>
      </c>
      <c r="D16" s="29" t="s">
        <v>36</v>
      </c>
      <c r="E16" s="30">
        <v>45463</v>
      </c>
    </row>
    <row r="17" spans="1:5">
      <c r="A17" s="133" t="s">
        <v>37</v>
      </c>
      <c r="B17" s="134"/>
      <c r="C17" s="29" t="s">
        <v>5</v>
      </c>
      <c r="D17" s="29" t="s">
        <v>38</v>
      </c>
      <c r="E17" s="30">
        <v>45463</v>
      </c>
    </row>
    <row r="18" spans="1:5">
      <c r="A18" s="133" t="s">
        <v>39</v>
      </c>
      <c r="B18" s="134"/>
      <c r="C18" s="29" t="s">
        <v>40</v>
      </c>
      <c r="D18" s="29" t="s">
        <v>41</v>
      </c>
      <c r="E18" s="30">
        <v>45464</v>
      </c>
    </row>
    <row r="19" spans="1:5">
      <c r="A19" s="133" t="s">
        <v>42</v>
      </c>
      <c r="B19" s="134"/>
      <c r="C19" s="29" t="s">
        <v>40</v>
      </c>
      <c r="D19" s="29" t="s">
        <v>43</v>
      </c>
      <c r="E19" s="30">
        <v>45464</v>
      </c>
    </row>
    <row r="20" spans="1:5">
      <c r="A20" s="133" t="s">
        <v>44</v>
      </c>
      <c r="B20" s="134"/>
      <c r="C20" s="29" t="s">
        <v>40</v>
      </c>
      <c r="D20" s="29" t="s">
        <v>45</v>
      </c>
      <c r="E20" s="30">
        <v>45464</v>
      </c>
    </row>
    <row r="21" spans="1:5">
      <c r="A21" s="133" t="s">
        <v>46</v>
      </c>
      <c r="B21" s="134"/>
      <c r="C21" s="29" t="s">
        <v>40</v>
      </c>
      <c r="D21" s="29" t="s">
        <v>47</v>
      </c>
      <c r="E21" s="30">
        <v>45464</v>
      </c>
    </row>
    <row r="22" spans="1:5">
      <c r="A22" s="133" t="s">
        <v>48</v>
      </c>
      <c r="B22" s="134"/>
      <c r="C22" s="29" t="s">
        <v>40</v>
      </c>
      <c r="D22" s="29" t="s">
        <v>47</v>
      </c>
      <c r="E22" s="30">
        <v>45464</v>
      </c>
    </row>
    <row r="23" spans="1:5">
      <c r="A23" s="133" t="s">
        <v>49</v>
      </c>
      <c r="B23" s="134"/>
      <c r="C23" s="29" t="s">
        <v>50</v>
      </c>
      <c r="D23" s="29" t="s">
        <v>51</v>
      </c>
      <c r="E23" s="30">
        <v>45464</v>
      </c>
    </row>
    <row r="24" spans="1:5">
      <c r="A24" s="133" t="s">
        <v>52</v>
      </c>
      <c r="B24" s="134"/>
      <c r="C24" s="29" t="s">
        <v>40</v>
      </c>
      <c r="D24" s="29" t="s">
        <v>47</v>
      </c>
      <c r="E24" s="30">
        <v>45464</v>
      </c>
    </row>
    <row r="25" spans="1:5">
      <c r="A25" s="133" t="s">
        <v>53</v>
      </c>
      <c r="B25" s="134"/>
      <c r="C25" s="29" t="s">
        <v>50</v>
      </c>
      <c r="D25" s="29" t="s">
        <v>54</v>
      </c>
      <c r="E25" s="30">
        <v>45464</v>
      </c>
    </row>
    <row r="26" spans="1:5">
      <c r="A26" s="133" t="s">
        <v>55</v>
      </c>
      <c r="B26" s="134"/>
      <c r="C26" s="29" t="s">
        <v>50</v>
      </c>
      <c r="D26" s="29" t="s">
        <v>56</v>
      </c>
      <c r="E26" s="30">
        <v>45464</v>
      </c>
    </row>
    <row r="27" spans="1:5">
      <c r="A27" s="133" t="s">
        <v>57</v>
      </c>
      <c r="B27" s="134"/>
      <c r="C27" s="29" t="s">
        <v>5</v>
      </c>
      <c r="D27" s="29" t="s">
        <v>58</v>
      </c>
      <c r="E27" s="30">
        <v>45466</v>
      </c>
    </row>
    <row r="28" spans="1:5">
      <c r="A28" s="133" t="s">
        <v>59</v>
      </c>
      <c r="B28" s="134"/>
      <c r="C28" s="29" t="s">
        <v>5</v>
      </c>
      <c r="D28" s="29" t="s">
        <v>60</v>
      </c>
      <c r="E28" s="30">
        <v>45466</v>
      </c>
    </row>
    <row r="29" spans="1:5">
      <c r="A29" s="133" t="s">
        <v>61</v>
      </c>
      <c r="B29" s="134"/>
      <c r="C29" s="29" t="s">
        <v>5</v>
      </c>
      <c r="D29" s="29" t="s">
        <v>62</v>
      </c>
      <c r="E29" s="30">
        <v>45466</v>
      </c>
    </row>
    <row r="30" spans="1:5">
      <c r="A30" s="133" t="s">
        <v>63</v>
      </c>
      <c r="B30" s="134"/>
      <c r="C30" s="29" t="s">
        <v>16</v>
      </c>
      <c r="D30" s="29" t="s">
        <v>64</v>
      </c>
      <c r="E30" s="30">
        <v>45467</v>
      </c>
    </row>
    <row r="31" spans="1:5">
      <c r="A31" s="133" t="s">
        <v>65</v>
      </c>
      <c r="B31" s="134"/>
      <c r="C31" s="29" t="s">
        <v>16</v>
      </c>
      <c r="D31" s="29" t="s">
        <v>66</v>
      </c>
      <c r="E31" s="30">
        <v>45467</v>
      </c>
    </row>
    <row r="32" spans="1:5">
      <c r="A32" s="133" t="s">
        <v>67</v>
      </c>
      <c r="B32" s="134"/>
      <c r="C32" s="29" t="s">
        <v>68</v>
      </c>
      <c r="D32" s="29" t="s">
        <v>69</v>
      </c>
      <c r="E32" s="30">
        <v>45467</v>
      </c>
    </row>
    <row r="33" spans="1:5">
      <c r="A33" s="133" t="s">
        <v>70</v>
      </c>
      <c r="B33" s="134"/>
      <c r="C33" s="29" t="s">
        <v>16</v>
      </c>
      <c r="D33" s="29" t="s">
        <v>71</v>
      </c>
      <c r="E33" s="30">
        <v>45467</v>
      </c>
    </row>
    <row r="34" spans="1:5">
      <c r="A34" s="133" t="s">
        <v>72</v>
      </c>
      <c r="B34" s="134"/>
      <c r="C34" s="29" t="s">
        <v>16</v>
      </c>
      <c r="D34" s="29" t="s">
        <v>66</v>
      </c>
      <c r="E34" s="30">
        <v>45467</v>
      </c>
    </row>
    <row r="35" spans="1:5">
      <c r="A35" s="133" t="s">
        <v>73</v>
      </c>
      <c r="B35" s="134"/>
      <c r="C35" s="29" t="s">
        <v>16</v>
      </c>
      <c r="D35" s="29" t="s">
        <v>74</v>
      </c>
      <c r="E35" s="30">
        <v>45467</v>
      </c>
    </row>
    <row r="36" spans="1:5">
      <c r="A36" s="133" t="s">
        <v>75</v>
      </c>
      <c r="B36" s="134"/>
      <c r="C36" s="29" t="s">
        <v>5</v>
      </c>
      <c r="D36" s="29" t="s">
        <v>76</v>
      </c>
      <c r="E36" s="30">
        <v>45468</v>
      </c>
    </row>
    <row r="37" spans="1:5">
      <c r="A37" s="133" t="s">
        <v>77</v>
      </c>
      <c r="B37" s="134"/>
      <c r="C37" s="29" t="s">
        <v>5</v>
      </c>
      <c r="D37" s="29" t="s">
        <v>78</v>
      </c>
      <c r="E37" s="30">
        <v>45468</v>
      </c>
    </row>
    <row r="38" spans="1:5">
      <c r="A38" s="133" t="s">
        <v>67</v>
      </c>
      <c r="B38" s="134"/>
      <c r="C38" s="29" t="s">
        <v>16</v>
      </c>
      <c r="D38" s="29" t="s">
        <v>79</v>
      </c>
      <c r="E38" s="30">
        <v>45468</v>
      </c>
    </row>
    <row r="39" spans="1:5">
      <c r="A39" s="133" t="s">
        <v>80</v>
      </c>
      <c r="B39" s="134"/>
      <c r="C39" s="29" t="s">
        <v>16</v>
      </c>
      <c r="D39" s="29" t="s">
        <v>81</v>
      </c>
      <c r="E39" s="30">
        <v>45470</v>
      </c>
    </row>
    <row r="40" spans="1:5">
      <c r="A40" s="133" t="s">
        <v>82</v>
      </c>
      <c r="B40" s="134"/>
      <c r="C40" s="29" t="s">
        <v>5</v>
      </c>
      <c r="D40" s="29" t="s">
        <v>58</v>
      </c>
      <c r="E40" s="30">
        <v>45470</v>
      </c>
    </row>
    <row r="41" spans="1:5">
      <c r="A41" s="133" t="s">
        <v>83</v>
      </c>
      <c r="B41" s="134"/>
      <c r="C41" s="29" t="s">
        <v>23</v>
      </c>
      <c r="D41" s="29" t="s">
        <v>84</v>
      </c>
      <c r="E41" s="30">
        <v>45470</v>
      </c>
    </row>
    <row r="42" spans="1:5">
      <c r="A42" s="133" t="s">
        <v>85</v>
      </c>
      <c r="B42" s="134"/>
      <c r="C42" s="29" t="s">
        <v>5</v>
      </c>
      <c r="D42" s="29" t="s">
        <v>86</v>
      </c>
      <c r="E42" s="30">
        <v>45471</v>
      </c>
    </row>
    <row r="43" spans="1:5">
      <c r="A43" s="133" t="s">
        <v>87</v>
      </c>
      <c r="B43" s="134"/>
      <c r="C43" s="29" t="s">
        <v>16</v>
      </c>
      <c r="D43" s="29" t="s">
        <v>88</v>
      </c>
      <c r="E43" s="30">
        <v>45474</v>
      </c>
    </row>
    <row r="44" spans="1:5">
      <c r="A44" s="133" t="s">
        <v>89</v>
      </c>
      <c r="B44" s="134"/>
      <c r="C44" s="29" t="s">
        <v>5</v>
      </c>
      <c r="D44" s="29" t="s">
        <v>90</v>
      </c>
      <c r="E44" s="30">
        <v>45475</v>
      </c>
    </row>
    <row r="45" spans="1:5">
      <c r="A45" s="133" t="s">
        <v>91</v>
      </c>
      <c r="B45" s="134"/>
      <c r="C45" s="29" t="s">
        <v>23</v>
      </c>
      <c r="D45" s="29" t="s">
        <v>92</v>
      </c>
      <c r="E45" s="30">
        <v>45475</v>
      </c>
    </row>
    <row r="46" spans="1:5">
      <c r="A46" s="133" t="s">
        <v>93</v>
      </c>
      <c r="B46" s="134"/>
      <c r="C46" s="29" t="s">
        <v>16</v>
      </c>
      <c r="D46" s="29" t="s">
        <v>94</v>
      </c>
      <c r="E46" s="30">
        <v>45476</v>
      </c>
    </row>
    <row r="47" spans="1:5">
      <c r="A47" s="133" t="s">
        <v>95</v>
      </c>
      <c r="B47" s="134"/>
      <c r="C47" s="29" t="s">
        <v>5</v>
      </c>
      <c r="D47" s="29" t="s">
        <v>79</v>
      </c>
      <c r="E47" s="30">
        <v>45476</v>
      </c>
    </row>
    <row r="48" spans="1:5">
      <c r="A48" s="133" t="s">
        <v>96</v>
      </c>
      <c r="B48" s="134"/>
      <c r="C48" s="29" t="s">
        <v>5</v>
      </c>
      <c r="D48" s="29" t="s">
        <v>97</v>
      </c>
      <c r="E48" s="30">
        <v>45476</v>
      </c>
    </row>
    <row r="49" spans="1:5">
      <c r="A49" s="133" t="s">
        <v>98</v>
      </c>
      <c r="B49" s="134"/>
      <c r="C49" s="29" t="s">
        <v>16</v>
      </c>
      <c r="D49" s="29" t="s">
        <v>79</v>
      </c>
      <c r="E49" s="30">
        <v>45476</v>
      </c>
    </row>
    <row r="50" spans="1:5">
      <c r="A50" s="133" t="s">
        <v>99</v>
      </c>
      <c r="B50" s="134"/>
      <c r="C50" s="29" t="s">
        <v>16</v>
      </c>
      <c r="D50" s="29" t="s">
        <v>100</v>
      </c>
      <c r="E50" s="30">
        <v>45476</v>
      </c>
    </row>
    <row r="51" spans="1:5">
      <c r="A51" s="133" t="s">
        <v>101</v>
      </c>
      <c r="B51" s="134"/>
      <c r="C51" s="29" t="s">
        <v>16</v>
      </c>
      <c r="D51" s="29" t="s">
        <v>102</v>
      </c>
      <c r="E51" s="30">
        <v>45476</v>
      </c>
    </row>
    <row r="52" spans="1:5">
      <c r="A52" s="133" t="s">
        <v>103</v>
      </c>
      <c r="B52" s="134"/>
      <c r="C52" s="29" t="s">
        <v>16</v>
      </c>
      <c r="D52" s="29" t="s">
        <v>102</v>
      </c>
      <c r="E52" s="30">
        <v>45476</v>
      </c>
    </row>
    <row r="53" spans="1:5">
      <c r="A53" s="133" t="s">
        <v>104</v>
      </c>
      <c r="B53" s="134"/>
      <c r="C53" s="29" t="s">
        <v>16</v>
      </c>
      <c r="D53" s="29" t="s">
        <v>105</v>
      </c>
      <c r="E53" s="30">
        <v>45476</v>
      </c>
    </row>
    <row r="54" spans="1:5">
      <c r="A54" s="133" t="s">
        <v>106</v>
      </c>
      <c r="B54" s="134"/>
      <c r="C54" s="29" t="s">
        <v>16</v>
      </c>
      <c r="D54" s="29" t="s">
        <v>107</v>
      </c>
      <c r="E54" s="30">
        <v>45476</v>
      </c>
    </row>
    <row r="55" spans="1:5">
      <c r="A55" s="133" t="s">
        <v>108</v>
      </c>
      <c r="B55" s="134"/>
      <c r="C55" s="29" t="s">
        <v>5</v>
      </c>
      <c r="D55" s="29" t="s">
        <v>109</v>
      </c>
      <c r="E55" s="30">
        <v>45477</v>
      </c>
    </row>
    <row r="56" spans="1:5">
      <c r="A56" s="133" t="s">
        <v>110</v>
      </c>
      <c r="B56" s="134"/>
      <c r="C56" s="29" t="s">
        <v>5</v>
      </c>
      <c r="D56" s="29" t="s">
        <v>111</v>
      </c>
      <c r="E56" s="30">
        <v>45477</v>
      </c>
    </row>
    <row r="57" spans="1:5">
      <c r="A57" s="133" t="s">
        <v>112</v>
      </c>
      <c r="B57" s="134"/>
      <c r="C57" s="29" t="s">
        <v>16</v>
      </c>
      <c r="D57" s="29" t="s">
        <v>79</v>
      </c>
      <c r="E57" s="30">
        <v>45477</v>
      </c>
    </row>
    <row r="58" spans="1:5">
      <c r="A58" s="133" t="s">
        <v>113</v>
      </c>
      <c r="B58" s="134"/>
      <c r="C58" s="29" t="s">
        <v>5</v>
      </c>
      <c r="D58" s="29" t="s">
        <v>114</v>
      </c>
      <c r="E58" s="30">
        <v>45477</v>
      </c>
    </row>
    <row r="59" spans="1:5">
      <c r="A59" s="133" t="s">
        <v>115</v>
      </c>
      <c r="B59" s="134"/>
      <c r="C59" s="29" t="s">
        <v>40</v>
      </c>
      <c r="D59" s="29" t="s">
        <v>116</v>
      </c>
      <c r="E59" s="30">
        <v>45477</v>
      </c>
    </row>
    <row r="60" spans="1:5">
      <c r="A60" s="133" t="s">
        <v>117</v>
      </c>
      <c r="B60" s="134"/>
      <c r="C60" s="29" t="s">
        <v>5</v>
      </c>
      <c r="D60" s="29" t="s">
        <v>118</v>
      </c>
      <c r="E60" s="30">
        <v>45478</v>
      </c>
    </row>
    <row r="61" spans="1:5">
      <c r="A61" s="133" t="s">
        <v>119</v>
      </c>
      <c r="B61" s="134"/>
      <c r="C61" s="29" t="s">
        <v>5</v>
      </c>
      <c r="D61" s="29" t="s">
        <v>120</v>
      </c>
      <c r="E61" s="30">
        <v>45478</v>
      </c>
    </row>
    <row r="62" spans="1:5">
      <c r="A62" s="133" t="s">
        <v>121</v>
      </c>
      <c r="B62" s="134"/>
      <c r="C62" s="29" t="s">
        <v>23</v>
      </c>
      <c r="D62" s="29" t="s">
        <v>122</v>
      </c>
      <c r="E62" s="30">
        <v>45478</v>
      </c>
    </row>
    <row r="63" spans="1:5">
      <c r="A63" s="133" t="s">
        <v>123</v>
      </c>
      <c r="B63" s="134"/>
      <c r="C63" s="29" t="s">
        <v>16</v>
      </c>
      <c r="D63" s="29" t="s">
        <v>124</v>
      </c>
      <c r="E63" s="30">
        <v>45478</v>
      </c>
    </row>
    <row r="64" spans="1:5">
      <c r="A64" s="133" t="s">
        <v>125</v>
      </c>
      <c r="B64" s="134"/>
      <c r="C64" s="29" t="s">
        <v>5</v>
      </c>
      <c r="D64" s="29" t="s">
        <v>126</v>
      </c>
      <c r="E64" s="30">
        <v>45478</v>
      </c>
    </row>
    <row r="65" spans="1:5">
      <c r="A65" s="133" t="s">
        <v>127</v>
      </c>
      <c r="B65" s="134"/>
      <c r="C65" s="29" t="s">
        <v>5</v>
      </c>
      <c r="D65" s="29" t="s">
        <v>128</v>
      </c>
      <c r="E65" s="30">
        <v>45478</v>
      </c>
    </row>
    <row r="66" spans="1:5">
      <c r="A66" s="133" t="s">
        <v>129</v>
      </c>
      <c r="B66" s="134"/>
      <c r="C66" s="29" t="s">
        <v>5</v>
      </c>
      <c r="D66" s="29" t="s">
        <v>10</v>
      </c>
      <c r="E66" s="30">
        <v>45480</v>
      </c>
    </row>
    <row r="67" spans="1:5">
      <c r="A67" s="133" t="s">
        <v>130</v>
      </c>
      <c r="B67" s="134"/>
      <c r="C67" s="29" t="s">
        <v>5</v>
      </c>
      <c r="D67" s="29" t="s">
        <v>131</v>
      </c>
      <c r="E67" s="30">
        <v>45480</v>
      </c>
    </row>
    <row r="68" spans="1:5">
      <c r="A68" s="133" t="s">
        <v>132</v>
      </c>
      <c r="B68" s="134"/>
      <c r="C68" s="29" t="s">
        <v>5</v>
      </c>
      <c r="D68" s="29" t="s">
        <v>6</v>
      </c>
      <c r="E68" s="30">
        <v>45481</v>
      </c>
    </row>
    <row r="69" spans="1:5">
      <c r="A69" s="133" t="s">
        <v>133</v>
      </c>
      <c r="B69" s="134"/>
      <c r="C69" s="29" t="s">
        <v>5</v>
      </c>
      <c r="D69" s="29" t="s">
        <v>134</v>
      </c>
      <c r="E69" s="30">
        <v>45483</v>
      </c>
    </row>
    <row r="70" spans="1:5">
      <c r="A70" s="133" t="s">
        <v>135</v>
      </c>
      <c r="B70" s="134"/>
      <c r="C70" s="29" t="s">
        <v>5</v>
      </c>
      <c r="D70" s="29" t="s">
        <v>136</v>
      </c>
      <c r="E70" s="30">
        <v>45484</v>
      </c>
    </row>
    <row r="71" spans="1:5">
      <c r="A71" s="133" t="s">
        <v>137</v>
      </c>
      <c r="B71" s="134"/>
      <c r="C71" s="29" t="s">
        <v>16</v>
      </c>
      <c r="D71" s="29" t="s">
        <v>138</v>
      </c>
      <c r="E71" s="30">
        <v>45484</v>
      </c>
    </row>
    <row r="72" spans="1:5">
      <c r="A72" s="133" t="s">
        <v>139</v>
      </c>
      <c r="B72" s="134"/>
      <c r="C72" s="29" t="s">
        <v>16</v>
      </c>
      <c r="D72" s="29" t="s">
        <v>140</v>
      </c>
      <c r="E72" s="30">
        <v>45484</v>
      </c>
    </row>
    <row r="73" spans="1:5">
      <c r="A73" s="133" t="s">
        <v>141</v>
      </c>
      <c r="B73" s="134"/>
      <c r="C73" s="29" t="s">
        <v>142</v>
      </c>
      <c r="D73" s="29" t="s">
        <v>143</v>
      </c>
      <c r="E73" s="30">
        <v>45485</v>
      </c>
    </row>
    <row r="74" spans="1:5">
      <c r="A74" s="133" t="s">
        <v>144</v>
      </c>
      <c r="B74" s="134"/>
      <c r="C74" s="29" t="s">
        <v>145</v>
      </c>
      <c r="D74" s="29" t="s">
        <v>79</v>
      </c>
      <c r="E74" s="30">
        <v>45485</v>
      </c>
    </row>
    <row r="75" spans="1:5">
      <c r="A75" s="133" t="s">
        <v>146</v>
      </c>
      <c r="B75" s="134"/>
      <c r="C75" s="29" t="s">
        <v>16</v>
      </c>
      <c r="D75" s="29" t="s">
        <v>147</v>
      </c>
      <c r="E75" s="30">
        <v>45485</v>
      </c>
    </row>
    <row r="76" spans="1:5">
      <c r="A76" s="133" t="s">
        <v>148</v>
      </c>
      <c r="B76" s="134"/>
      <c r="C76" s="29" t="s">
        <v>5</v>
      </c>
      <c r="D76" s="29" t="s">
        <v>149</v>
      </c>
      <c r="E76" s="30">
        <v>45485</v>
      </c>
    </row>
    <row r="77" spans="1:5">
      <c r="A77" s="133" t="s">
        <v>150</v>
      </c>
      <c r="B77" s="134"/>
      <c r="C77" s="29" t="s">
        <v>5</v>
      </c>
      <c r="D77" s="29" t="s">
        <v>120</v>
      </c>
      <c r="E77" s="30">
        <v>45488</v>
      </c>
    </row>
    <row r="78" spans="1:5">
      <c r="A78" s="133" t="s">
        <v>144</v>
      </c>
      <c r="B78" s="134"/>
      <c r="C78" s="29" t="s">
        <v>5</v>
      </c>
      <c r="D78" s="29" t="s">
        <v>79</v>
      </c>
      <c r="E78" s="30">
        <v>45489</v>
      </c>
    </row>
    <row r="79" spans="1:5">
      <c r="A79" s="133" t="s">
        <v>151</v>
      </c>
      <c r="B79" s="134"/>
      <c r="C79" s="29" t="s">
        <v>5</v>
      </c>
      <c r="D79" s="29" t="s">
        <v>30</v>
      </c>
      <c r="E79" s="30">
        <v>45491</v>
      </c>
    </row>
    <row r="80" spans="1:5">
      <c r="A80" s="133" t="s">
        <v>152</v>
      </c>
      <c r="B80" s="134"/>
      <c r="C80" s="29" t="s">
        <v>5</v>
      </c>
      <c r="D80" s="29" t="s">
        <v>153</v>
      </c>
      <c r="E80" s="30">
        <v>45491</v>
      </c>
    </row>
    <row r="81" spans="1:5">
      <c r="A81" s="133" t="s">
        <v>154</v>
      </c>
      <c r="B81" s="134"/>
      <c r="C81" s="29" t="s">
        <v>16</v>
      </c>
      <c r="D81" s="29" t="s">
        <v>155</v>
      </c>
      <c r="E81" s="30">
        <v>45492</v>
      </c>
    </row>
    <row r="82" spans="1:5">
      <c r="A82" s="133" t="s">
        <v>156</v>
      </c>
      <c r="B82" s="134"/>
      <c r="C82" s="29" t="s">
        <v>5</v>
      </c>
      <c r="D82" s="29" t="s">
        <v>157</v>
      </c>
      <c r="E82" s="30">
        <v>45492</v>
      </c>
    </row>
    <row r="83" spans="1:5">
      <c r="A83" s="133" t="s">
        <v>158</v>
      </c>
      <c r="B83" s="134"/>
      <c r="C83" s="29" t="s">
        <v>5</v>
      </c>
      <c r="D83" s="29" t="s">
        <v>159</v>
      </c>
      <c r="E83" s="30">
        <v>45492</v>
      </c>
    </row>
    <row r="84" spans="1:5">
      <c r="A84" s="133" t="s">
        <v>160</v>
      </c>
      <c r="B84" s="134"/>
      <c r="C84" s="29" t="s">
        <v>5</v>
      </c>
      <c r="D84" s="29" t="s">
        <v>161</v>
      </c>
      <c r="E84" s="30">
        <v>45492</v>
      </c>
    </row>
    <row r="85" spans="1:5">
      <c r="A85" s="133" t="s">
        <v>162</v>
      </c>
      <c r="B85" s="134"/>
      <c r="C85" s="29" t="s">
        <v>5</v>
      </c>
      <c r="D85" s="29" t="s">
        <v>120</v>
      </c>
      <c r="E85" s="30">
        <v>45495</v>
      </c>
    </row>
    <row r="86" spans="1:5">
      <c r="A86" s="133" t="s">
        <v>163</v>
      </c>
      <c r="B86" s="134"/>
      <c r="C86" s="29" t="s">
        <v>5</v>
      </c>
      <c r="D86" s="29" t="s">
        <v>120</v>
      </c>
      <c r="E86" s="30">
        <v>45495</v>
      </c>
    </row>
    <row r="87" spans="1:5">
      <c r="A87" s="133" t="s">
        <v>164</v>
      </c>
      <c r="B87" s="134"/>
      <c r="C87" s="29" t="s">
        <v>5</v>
      </c>
      <c r="D87" s="29" t="s">
        <v>165</v>
      </c>
      <c r="E87" s="30">
        <v>45495</v>
      </c>
    </row>
    <row r="88" spans="1:5">
      <c r="A88" s="133" t="s">
        <v>166</v>
      </c>
      <c r="B88" s="134"/>
      <c r="C88" s="29" t="s">
        <v>5</v>
      </c>
      <c r="D88" s="29" t="s">
        <v>167</v>
      </c>
      <c r="E88" s="30">
        <v>45495</v>
      </c>
    </row>
    <row r="89" spans="1:5">
      <c r="A89" s="133" t="s">
        <v>168</v>
      </c>
      <c r="B89" s="134"/>
      <c r="C89" s="29" t="s">
        <v>5</v>
      </c>
      <c r="D89" s="29" t="s">
        <v>169</v>
      </c>
      <c r="E89" s="30">
        <v>45495</v>
      </c>
    </row>
    <row r="90" spans="1:5">
      <c r="A90" s="133" t="s">
        <v>170</v>
      </c>
      <c r="B90" s="134"/>
      <c r="C90" s="29" t="s">
        <v>5</v>
      </c>
      <c r="D90" s="29" t="s">
        <v>171</v>
      </c>
      <c r="E90" s="30">
        <v>45496</v>
      </c>
    </row>
    <row r="91" spans="1:5">
      <c r="A91" s="133" t="s">
        <v>172</v>
      </c>
      <c r="B91" s="134"/>
      <c r="C91" s="29" t="s">
        <v>5</v>
      </c>
      <c r="D91" s="29" t="s">
        <v>173</v>
      </c>
      <c r="E91" s="30">
        <v>45496</v>
      </c>
    </row>
    <row r="92" spans="1:5">
      <c r="A92" s="133" t="s">
        <v>174</v>
      </c>
      <c r="B92" s="134"/>
      <c r="C92" s="29" t="s">
        <v>5</v>
      </c>
      <c r="D92" s="29" t="s">
        <v>175</v>
      </c>
      <c r="E92" s="30">
        <v>45497</v>
      </c>
    </row>
    <row r="93" spans="1:5">
      <c r="A93" s="133" t="s">
        <v>176</v>
      </c>
      <c r="B93" s="134"/>
      <c r="C93" s="29" t="s">
        <v>23</v>
      </c>
      <c r="D93" s="29" t="s">
        <v>177</v>
      </c>
      <c r="E93" s="30">
        <v>45497</v>
      </c>
    </row>
    <row r="94" spans="1:5">
      <c r="A94" s="133" t="s">
        <v>178</v>
      </c>
      <c r="B94" s="134"/>
      <c r="C94" s="29" t="s">
        <v>5</v>
      </c>
      <c r="D94" s="29" t="s">
        <v>179</v>
      </c>
      <c r="E94" s="30">
        <v>45498</v>
      </c>
    </row>
    <row r="95" spans="1:5">
      <c r="A95" s="133" t="s">
        <v>180</v>
      </c>
      <c r="B95" s="134"/>
      <c r="C95" s="29" t="s">
        <v>5</v>
      </c>
      <c r="D95" s="29" t="s">
        <v>181</v>
      </c>
      <c r="E95" s="30">
        <v>45499</v>
      </c>
    </row>
    <row r="96" spans="1:5">
      <c r="A96" s="133" t="s">
        <v>182</v>
      </c>
      <c r="B96" s="134"/>
      <c r="C96" s="29" t="s">
        <v>16</v>
      </c>
      <c r="D96" s="29" t="s">
        <v>183</v>
      </c>
      <c r="E96" s="30">
        <v>45499</v>
      </c>
    </row>
    <row r="97" spans="1:5">
      <c r="A97" s="133" t="s">
        <v>184</v>
      </c>
      <c r="B97" s="134"/>
      <c r="C97" s="29" t="s">
        <v>16</v>
      </c>
      <c r="D97" s="29" t="s">
        <v>97</v>
      </c>
      <c r="E97" s="30">
        <v>45499</v>
      </c>
    </row>
    <row r="98" spans="1:5">
      <c r="A98" s="133" t="s">
        <v>185</v>
      </c>
      <c r="B98" s="134"/>
      <c r="C98" s="29" t="s">
        <v>5</v>
      </c>
      <c r="D98" s="29" t="s">
        <v>186</v>
      </c>
      <c r="E98" s="30">
        <v>45500</v>
      </c>
    </row>
    <row r="99" spans="1:5">
      <c r="A99" s="133" t="s">
        <v>187</v>
      </c>
      <c r="B99" s="134"/>
      <c r="C99" s="29" t="s">
        <v>5</v>
      </c>
      <c r="D99" s="29" t="s">
        <v>78</v>
      </c>
      <c r="E99" s="30">
        <v>45502</v>
      </c>
    </row>
    <row r="100" spans="1:5">
      <c r="A100" s="133" t="s">
        <v>188</v>
      </c>
      <c r="B100" s="134"/>
      <c r="C100" s="29" t="s">
        <v>5</v>
      </c>
      <c r="D100" s="29" t="s">
        <v>189</v>
      </c>
      <c r="E100" s="30">
        <v>45502</v>
      </c>
    </row>
    <row r="101" spans="1:5">
      <c r="A101" s="133" t="s">
        <v>190</v>
      </c>
      <c r="B101" s="134"/>
      <c r="C101" s="29" t="s">
        <v>5</v>
      </c>
      <c r="D101" s="29" t="s">
        <v>191</v>
      </c>
      <c r="E101" s="30">
        <v>45502</v>
      </c>
    </row>
    <row r="102" spans="1:5">
      <c r="A102" s="133" t="s">
        <v>192</v>
      </c>
      <c r="B102" s="134"/>
      <c r="C102" s="29" t="s">
        <v>40</v>
      </c>
      <c r="D102" s="29" t="s">
        <v>193</v>
      </c>
      <c r="E102" s="30">
        <v>45502</v>
      </c>
    </row>
    <row r="103" spans="1:5">
      <c r="A103" s="133" t="s">
        <v>194</v>
      </c>
      <c r="B103" s="134"/>
      <c r="C103" s="29" t="s">
        <v>195</v>
      </c>
      <c r="D103" s="29" t="s">
        <v>193</v>
      </c>
      <c r="E103" s="30">
        <v>45502</v>
      </c>
    </row>
    <row r="104" spans="1:5">
      <c r="A104" s="133" t="s">
        <v>196</v>
      </c>
      <c r="B104" s="134"/>
      <c r="C104" s="29" t="s">
        <v>5</v>
      </c>
      <c r="D104" s="29" t="s">
        <v>197</v>
      </c>
      <c r="E104" s="30">
        <v>45503</v>
      </c>
    </row>
    <row r="105" spans="1:5">
      <c r="A105" s="133" t="s">
        <v>198</v>
      </c>
      <c r="B105" s="134"/>
      <c r="C105" s="29" t="s">
        <v>5</v>
      </c>
      <c r="D105" s="29" t="s">
        <v>199</v>
      </c>
      <c r="E105" s="30">
        <v>45504</v>
      </c>
    </row>
    <row r="106" spans="1:5">
      <c r="A106" s="133" t="s">
        <v>200</v>
      </c>
      <c r="B106" s="134"/>
      <c r="C106" s="29" t="s">
        <v>195</v>
      </c>
      <c r="D106" s="29" t="s">
        <v>201</v>
      </c>
      <c r="E106" s="30">
        <v>45504</v>
      </c>
    </row>
    <row r="107" spans="1:5">
      <c r="A107" s="133" t="s">
        <v>192</v>
      </c>
      <c r="B107" s="134"/>
      <c r="C107" s="29" t="s">
        <v>40</v>
      </c>
      <c r="D107" s="29" t="s">
        <v>202</v>
      </c>
      <c r="E107" s="30">
        <v>45504</v>
      </c>
    </row>
    <row r="108" spans="1:5">
      <c r="A108" s="133" t="s">
        <v>192</v>
      </c>
      <c r="B108" s="134"/>
      <c r="C108" s="29" t="s">
        <v>40</v>
      </c>
      <c r="D108" s="29" t="s">
        <v>203</v>
      </c>
      <c r="E108" s="30">
        <v>45504</v>
      </c>
    </row>
    <row r="109" spans="1:5">
      <c r="A109" s="133" t="s">
        <v>192</v>
      </c>
      <c r="B109" s="134"/>
      <c r="C109" s="29" t="s">
        <v>40</v>
      </c>
      <c r="D109" s="29" t="s">
        <v>204</v>
      </c>
      <c r="E109" s="30">
        <v>45504</v>
      </c>
    </row>
    <row r="110" spans="1:5">
      <c r="A110" s="133" t="s">
        <v>205</v>
      </c>
      <c r="B110" s="134"/>
      <c r="C110" s="29" t="s">
        <v>40</v>
      </c>
      <c r="D110" s="29" t="s">
        <v>203</v>
      </c>
      <c r="E110" s="30">
        <v>45504</v>
      </c>
    </row>
    <row r="111" spans="1:5">
      <c r="A111" s="133" t="s">
        <v>206</v>
      </c>
      <c r="B111" s="134"/>
      <c r="C111" s="29" t="s">
        <v>5</v>
      </c>
      <c r="D111" s="29" t="s">
        <v>207</v>
      </c>
      <c r="E111" s="30">
        <v>45504</v>
      </c>
    </row>
    <row r="112" spans="1:5">
      <c r="A112" s="133" t="s">
        <v>208</v>
      </c>
      <c r="B112" s="134"/>
      <c r="C112" s="29" t="s">
        <v>5</v>
      </c>
      <c r="D112" s="29" t="s">
        <v>173</v>
      </c>
      <c r="E112" s="30">
        <v>45504</v>
      </c>
    </row>
    <row r="113" spans="1:5">
      <c r="A113" s="133" t="s">
        <v>209</v>
      </c>
      <c r="B113" s="134"/>
      <c r="C113" s="29" t="s">
        <v>5</v>
      </c>
      <c r="D113" s="29" t="s">
        <v>186</v>
      </c>
      <c r="E113" s="30">
        <v>45505</v>
      </c>
    </row>
    <row r="114" spans="1:5">
      <c r="A114" s="133" t="s">
        <v>210</v>
      </c>
      <c r="B114" s="134"/>
      <c r="C114" s="29" t="s">
        <v>5</v>
      </c>
      <c r="D114" s="29" t="s">
        <v>211</v>
      </c>
      <c r="E114" s="30">
        <v>45505</v>
      </c>
    </row>
    <row r="115" spans="1:5">
      <c r="A115" s="133" t="s">
        <v>212</v>
      </c>
      <c r="B115" s="134"/>
      <c r="C115" s="29" t="s">
        <v>5</v>
      </c>
      <c r="D115" s="29" t="s">
        <v>213</v>
      </c>
      <c r="E115" s="30">
        <v>45506</v>
      </c>
    </row>
    <row r="116" spans="1:5">
      <c r="A116" s="133" t="s">
        <v>214</v>
      </c>
      <c r="B116" s="134"/>
      <c r="C116" s="29" t="s">
        <v>5</v>
      </c>
      <c r="D116" s="29" t="s">
        <v>215</v>
      </c>
      <c r="E116" s="30">
        <v>45510</v>
      </c>
    </row>
    <row r="117" spans="1:5">
      <c r="A117" s="133" t="s">
        <v>216</v>
      </c>
      <c r="B117" s="134"/>
      <c r="C117" s="29" t="s">
        <v>5</v>
      </c>
      <c r="D117" s="29" t="s">
        <v>217</v>
      </c>
      <c r="E117" s="30">
        <v>45510</v>
      </c>
    </row>
    <row r="118" spans="1:5">
      <c r="A118" s="133" t="s">
        <v>218</v>
      </c>
      <c r="B118" s="134"/>
      <c r="C118" s="29" t="s">
        <v>5</v>
      </c>
      <c r="D118" s="29" t="s">
        <v>219</v>
      </c>
      <c r="E118" s="30">
        <v>45511</v>
      </c>
    </row>
    <row r="119" spans="1:5">
      <c r="A119" s="133" t="s">
        <v>220</v>
      </c>
      <c r="B119" s="134"/>
      <c r="C119" s="29" t="s">
        <v>5</v>
      </c>
      <c r="D119" s="29" t="s">
        <v>221</v>
      </c>
      <c r="E119" s="30">
        <v>45513</v>
      </c>
    </row>
    <row r="120" spans="1:5">
      <c r="A120" s="133" t="s">
        <v>222</v>
      </c>
      <c r="B120" s="134"/>
      <c r="C120" s="29" t="s">
        <v>16</v>
      </c>
      <c r="D120" s="29" t="s">
        <v>223</v>
      </c>
      <c r="E120" s="30">
        <v>45513</v>
      </c>
    </row>
    <row r="121" spans="1:5">
      <c r="A121" s="133" t="s">
        <v>224</v>
      </c>
      <c r="B121" s="134"/>
      <c r="C121" s="29" t="s">
        <v>5</v>
      </c>
      <c r="D121" s="29" t="s">
        <v>225</v>
      </c>
      <c r="E121" s="30">
        <v>45513</v>
      </c>
    </row>
    <row r="122" spans="1:5">
      <c r="A122" s="133" t="s">
        <v>226</v>
      </c>
      <c r="B122" s="134"/>
      <c r="C122" s="29" t="s">
        <v>5</v>
      </c>
      <c r="D122" s="29" t="s">
        <v>126</v>
      </c>
      <c r="E122" s="30">
        <v>45513</v>
      </c>
    </row>
    <row r="123" spans="1:5">
      <c r="A123" s="133" t="s">
        <v>227</v>
      </c>
      <c r="B123" s="134"/>
      <c r="C123" s="29" t="s">
        <v>5</v>
      </c>
      <c r="D123" s="29" t="s">
        <v>126</v>
      </c>
      <c r="E123" s="30">
        <v>45513</v>
      </c>
    </row>
    <row r="124" spans="1:5">
      <c r="A124" s="133" t="s">
        <v>228</v>
      </c>
      <c r="B124" s="134"/>
      <c r="C124" s="29" t="s">
        <v>5</v>
      </c>
      <c r="D124" s="29" t="s">
        <v>229</v>
      </c>
      <c r="E124" s="30">
        <v>45513</v>
      </c>
    </row>
    <row r="125" spans="1:5">
      <c r="A125" s="133" t="s">
        <v>73</v>
      </c>
      <c r="B125" s="134"/>
      <c r="C125" s="29" t="s">
        <v>16</v>
      </c>
      <c r="D125" s="29" t="s">
        <v>230</v>
      </c>
      <c r="E125" s="30">
        <v>45513</v>
      </c>
    </row>
    <row r="126" spans="1:5">
      <c r="A126" s="133" t="s">
        <v>231</v>
      </c>
      <c r="B126" s="134"/>
      <c r="C126" s="29" t="s">
        <v>16</v>
      </c>
      <c r="D126" s="29" t="s">
        <v>232</v>
      </c>
      <c r="E126" s="30">
        <v>45513</v>
      </c>
    </row>
    <row r="127" spans="1:5">
      <c r="A127" s="133" t="s">
        <v>233</v>
      </c>
      <c r="B127" s="134"/>
      <c r="C127" s="29" t="s">
        <v>16</v>
      </c>
      <c r="D127" s="29" t="s">
        <v>234</v>
      </c>
      <c r="E127" s="30">
        <v>45513</v>
      </c>
    </row>
    <row r="128" spans="1:5">
      <c r="A128" s="133" t="s">
        <v>235</v>
      </c>
      <c r="B128" s="134"/>
      <c r="C128" s="29" t="s">
        <v>16</v>
      </c>
      <c r="D128" s="29" t="s">
        <v>207</v>
      </c>
      <c r="E128" s="30">
        <v>45513</v>
      </c>
    </row>
    <row r="129" spans="1:5">
      <c r="A129" s="133" t="s">
        <v>236</v>
      </c>
      <c r="B129" s="134"/>
      <c r="C129" s="29" t="s">
        <v>16</v>
      </c>
      <c r="D129" s="29" t="s">
        <v>237</v>
      </c>
      <c r="E129" s="30">
        <v>45513</v>
      </c>
    </row>
    <row r="130" spans="1:5">
      <c r="A130" s="133" t="s">
        <v>238</v>
      </c>
      <c r="B130" s="134"/>
      <c r="C130" s="29" t="s">
        <v>5</v>
      </c>
      <c r="D130" s="29" t="s">
        <v>6</v>
      </c>
      <c r="E130" s="30">
        <v>45523</v>
      </c>
    </row>
    <row r="131" spans="1:5">
      <c r="A131" s="133" t="s">
        <v>239</v>
      </c>
      <c r="B131" s="134"/>
      <c r="C131" s="29" t="s">
        <v>5</v>
      </c>
      <c r="D131" s="29" t="s">
        <v>6</v>
      </c>
      <c r="E131" s="30">
        <v>45523</v>
      </c>
    </row>
    <row r="132" spans="1:5">
      <c r="A132" s="133" t="s">
        <v>240</v>
      </c>
      <c r="B132" s="134"/>
      <c r="C132" s="29" t="s">
        <v>5</v>
      </c>
      <c r="D132" s="29" t="s">
        <v>241</v>
      </c>
      <c r="E132" s="30">
        <v>45525</v>
      </c>
    </row>
    <row r="133" spans="1:5">
      <c r="A133" s="133" t="s">
        <v>242</v>
      </c>
      <c r="B133" s="134"/>
      <c r="C133" s="29" t="s">
        <v>23</v>
      </c>
      <c r="D133" s="29" t="s">
        <v>243</v>
      </c>
      <c r="E133" s="30">
        <v>45525</v>
      </c>
    </row>
    <row r="134" spans="1:5">
      <c r="A134" s="133" t="s">
        <v>244</v>
      </c>
      <c r="B134" s="134"/>
      <c r="C134" s="29" t="s">
        <v>23</v>
      </c>
      <c r="D134" s="29" t="s">
        <v>243</v>
      </c>
      <c r="E134" s="30">
        <v>45525</v>
      </c>
    </row>
    <row r="135" spans="1:5">
      <c r="A135" s="133" t="s">
        <v>245</v>
      </c>
      <c r="B135" s="134"/>
      <c r="C135" s="29" t="s">
        <v>23</v>
      </c>
      <c r="D135" s="29" t="s">
        <v>246</v>
      </c>
      <c r="E135" s="30">
        <v>45525</v>
      </c>
    </row>
    <row r="136" spans="1:5">
      <c r="A136" s="133" t="s">
        <v>247</v>
      </c>
      <c r="B136" s="134"/>
      <c r="C136" s="29" t="s">
        <v>23</v>
      </c>
      <c r="D136" s="29" t="s">
        <v>248</v>
      </c>
      <c r="E136" s="30">
        <v>45525</v>
      </c>
    </row>
    <row r="137" spans="1:5">
      <c r="A137" s="133" t="s">
        <v>249</v>
      </c>
      <c r="B137" s="134"/>
      <c r="C137" s="29" t="s">
        <v>5</v>
      </c>
      <c r="D137" s="29" t="s">
        <v>250</v>
      </c>
      <c r="E137" s="30">
        <v>45526</v>
      </c>
    </row>
    <row r="138" spans="1:5">
      <c r="A138" s="133" t="s">
        <v>251</v>
      </c>
      <c r="B138" s="134"/>
      <c r="C138" s="29" t="s">
        <v>5</v>
      </c>
      <c r="D138" s="29" t="s">
        <v>252</v>
      </c>
      <c r="E138" s="30">
        <v>45527</v>
      </c>
    </row>
    <row r="139" spans="1:5">
      <c r="A139" s="133" t="s">
        <v>253</v>
      </c>
      <c r="B139" s="134"/>
      <c r="C139" s="29" t="s">
        <v>5</v>
      </c>
      <c r="D139" s="29" t="s">
        <v>207</v>
      </c>
      <c r="E139" s="30">
        <v>45527</v>
      </c>
    </row>
    <row r="140" spans="1:5">
      <c r="A140" s="133" t="s">
        <v>254</v>
      </c>
      <c r="B140" s="134"/>
      <c r="C140" s="29" t="s">
        <v>5</v>
      </c>
      <c r="D140" s="29" t="s">
        <v>255</v>
      </c>
      <c r="E140" s="30">
        <v>45527</v>
      </c>
    </row>
    <row r="141" spans="1:5">
      <c r="A141" s="133" t="s">
        <v>256</v>
      </c>
      <c r="B141" s="134"/>
      <c r="C141" s="29" t="s">
        <v>5</v>
      </c>
      <c r="D141" s="29" t="s">
        <v>199</v>
      </c>
      <c r="E141" s="30">
        <v>45529</v>
      </c>
    </row>
    <row r="142" spans="1:5">
      <c r="A142" s="133" t="s">
        <v>257</v>
      </c>
      <c r="B142" s="134"/>
      <c r="C142" s="29" t="s">
        <v>16</v>
      </c>
      <c r="D142" s="29" t="s">
        <v>258</v>
      </c>
      <c r="E142" s="30">
        <v>45534</v>
      </c>
    </row>
    <row r="143" spans="1:5">
      <c r="A143" s="133" t="s">
        <v>259</v>
      </c>
      <c r="B143" s="134"/>
      <c r="C143" s="29" t="s">
        <v>5</v>
      </c>
      <c r="D143" s="29" t="s">
        <v>260</v>
      </c>
      <c r="E143" s="30">
        <v>45534</v>
      </c>
    </row>
    <row r="144" spans="1:5">
      <c r="A144" s="133" t="s">
        <v>261</v>
      </c>
      <c r="B144" s="134"/>
      <c r="C144" s="29" t="s">
        <v>195</v>
      </c>
      <c r="D144" s="29" t="s">
        <v>43</v>
      </c>
      <c r="E144" s="30">
        <v>45534</v>
      </c>
    </row>
    <row r="145" spans="1:5">
      <c r="A145" s="133" t="s">
        <v>262</v>
      </c>
      <c r="B145" s="134"/>
      <c r="C145" s="29" t="s">
        <v>5</v>
      </c>
      <c r="D145" s="29" t="s">
        <v>219</v>
      </c>
      <c r="E145" s="30">
        <v>45534</v>
      </c>
    </row>
    <row r="146" spans="1:5">
      <c r="A146" s="133" t="s">
        <v>262</v>
      </c>
      <c r="B146" s="134"/>
      <c r="C146" s="29" t="s">
        <v>5</v>
      </c>
      <c r="D146" s="29" t="s">
        <v>263</v>
      </c>
      <c r="E146" s="30">
        <v>45534</v>
      </c>
    </row>
    <row r="147" spans="1:5">
      <c r="A147" s="133" t="s">
        <v>264</v>
      </c>
      <c r="B147" s="134"/>
      <c r="C147" s="29" t="s">
        <v>5</v>
      </c>
      <c r="D147" s="29" t="s">
        <v>265</v>
      </c>
      <c r="E147" s="30">
        <v>45534</v>
      </c>
    </row>
    <row r="148" spans="1:5">
      <c r="A148" s="133" t="s">
        <v>266</v>
      </c>
      <c r="B148" s="134"/>
      <c r="C148" s="29" t="s">
        <v>5</v>
      </c>
      <c r="D148" s="29" t="s">
        <v>267</v>
      </c>
      <c r="E148" s="30">
        <v>45534</v>
      </c>
    </row>
    <row r="149" spans="1:5">
      <c r="A149" s="133" t="s">
        <v>268</v>
      </c>
      <c r="B149" s="134"/>
      <c r="C149" s="29" t="s">
        <v>5</v>
      </c>
      <c r="D149" s="29" t="s">
        <v>269</v>
      </c>
      <c r="E149" s="30">
        <v>45540</v>
      </c>
    </row>
    <row r="150" spans="1:5">
      <c r="A150" s="133" t="s">
        <v>270</v>
      </c>
      <c r="B150" s="134"/>
      <c r="C150" s="29" t="s">
        <v>5</v>
      </c>
      <c r="D150" s="29" t="s">
        <v>271</v>
      </c>
      <c r="E150" s="30">
        <v>45540</v>
      </c>
    </row>
    <row r="151" spans="1:5">
      <c r="A151" s="133" t="s">
        <v>272</v>
      </c>
      <c r="B151" s="134"/>
      <c r="C151" s="29" t="s">
        <v>5</v>
      </c>
      <c r="D151" s="29" t="s">
        <v>10</v>
      </c>
      <c r="E151" s="30">
        <v>45541</v>
      </c>
    </row>
    <row r="152" spans="1:5">
      <c r="A152" s="133" t="s">
        <v>273</v>
      </c>
      <c r="B152" s="134"/>
      <c r="C152" s="29" t="s">
        <v>5</v>
      </c>
      <c r="D152" s="29" t="s">
        <v>126</v>
      </c>
      <c r="E152" s="30">
        <v>45541</v>
      </c>
    </row>
    <row r="153" spans="1:5">
      <c r="A153" s="133" t="s">
        <v>274</v>
      </c>
      <c r="B153" s="134"/>
      <c r="C153" s="29" t="s">
        <v>5</v>
      </c>
      <c r="D153" s="29" t="s">
        <v>275</v>
      </c>
      <c r="E153" s="30">
        <v>45541</v>
      </c>
    </row>
    <row r="154" spans="1:5">
      <c r="A154" s="133" t="s">
        <v>276</v>
      </c>
      <c r="B154" s="134"/>
      <c r="C154" s="29" t="s">
        <v>5</v>
      </c>
      <c r="D154" s="29" t="s">
        <v>120</v>
      </c>
      <c r="E154" s="30">
        <v>45544</v>
      </c>
    </row>
    <row r="155" spans="1:5">
      <c r="A155" s="133" t="s">
        <v>277</v>
      </c>
      <c r="B155" s="134"/>
      <c r="C155" s="29" t="s">
        <v>5</v>
      </c>
      <c r="D155" s="29" t="s">
        <v>278</v>
      </c>
      <c r="E155" s="30">
        <v>45544</v>
      </c>
    </row>
    <row r="156" spans="1:5">
      <c r="A156" s="133" t="s">
        <v>279</v>
      </c>
      <c r="B156" s="134"/>
      <c r="C156" s="29" t="s">
        <v>5</v>
      </c>
      <c r="D156" s="29" t="s">
        <v>280</v>
      </c>
      <c r="E156" s="30">
        <v>45547</v>
      </c>
    </row>
    <row r="157" spans="1:5">
      <c r="A157" s="133" t="s">
        <v>281</v>
      </c>
      <c r="B157" s="134"/>
      <c r="C157" s="29" t="s">
        <v>5</v>
      </c>
      <c r="D157" s="29" t="s">
        <v>282</v>
      </c>
      <c r="E157" s="30">
        <v>45547</v>
      </c>
    </row>
    <row r="158" spans="1:5">
      <c r="A158" s="133" t="s">
        <v>283</v>
      </c>
      <c r="B158" s="134"/>
      <c r="C158" s="29" t="s">
        <v>5</v>
      </c>
      <c r="D158" s="29" t="s">
        <v>284</v>
      </c>
      <c r="E158" s="30">
        <v>45548</v>
      </c>
    </row>
    <row r="159" spans="1:5">
      <c r="A159" s="133" t="s">
        <v>285</v>
      </c>
      <c r="B159" s="134"/>
      <c r="C159" s="29" t="s">
        <v>5</v>
      </c>
      <c r="D159" s="29" t="s">
        <v>286</v>
      </c>
      <c r="E159" s="30">
        <v>45548</v>
      </c>
    </row>
    <row r="160" spans="1:5">
      <c r="A160" s="133" t="s">
        <v>287</v>
      </c>
      <c r="B160" s="134"/>
      <c r="C160" s="29" t="s">
        <v>5</v>
      </c>
      <c r="D160" s="29" t="s">
        <v>288</v>
      </c>
      <c r="E160" s="30">
        <v>45550</v>
      </c>
    </row>
    <row r="161" spans="1:5">
      <c r="A161" s="133" t="s">
        <v>289</v>
      </c>
      <c r="B161" s="134"/>
      <c r="C161" s="29" t="s">
        <v>5</v>
      </c>
      <c r="D161" s="29" t="s">
        <v>10</v>
      </c>
      <c r="E161" s="30">
        <v>45553</v>
      </c>
    </row>
    <row r="162" spans="1:5">
      <c r="A162" s="133" t="s">
        <v>290</v>
      </c>
      <c r="B162" s="134"/>
      <c r="C162" s="29" t="s">
        <v>5</v>
      </c>
      <c r="D162" s="29" t="s">
        <v>171</v>
      </c>
      <c r="E162" s="30">
        <v>45553</v>
      </c>
    </row>
    <row r="163" spans="1:5">
      <c r="A163" s="133" t="s">
        <v>291</v>
      </c>
      <c r="B163" s="134"/>
      <c r="C163" s="29" t="s">
        <v>16</v>
      </c>
      <c r="D163" s="29" t="s">
        <v>292</v>
      </c>
      <c r="E163" s="30">
        <v>45553</v>
      </c>
    </row>
    <row r="164" spans="1:5">
      <c r="A164" s="133" t="s">
        <v>293</v>
      </c>
      <c r="B164" s="134"/>
      <c r="C164" s="29" t="s">
        <v>5</v>
      </c>
      <c r="D164" s="29" t="s">
        <v>62</v>
      </c>
      <c r="E164" s="30">
        <v>45553</v>
      </c>
    </row>
    <row r="165" spans="1:5">
      <c r="A165" s="133" t="s">
        <v>294</v>
      </c>
      <c r="B165" s="134"/>
      <c r="C165" s="29" t="s">
        <v>5</v>
      </c>
      <c r="D165" s="29" t="s">
        <v>295</v>
      </c>
      <c r="E165" s="30">
        <v>45554</v>
      </c>
    </row>
    <row r="166" spans="1:5">
      <c r="A166" s="133" t="s">
        <v>296</v>
      </c>
      <c r="B166" s="134"/>
      <c r="C166" s="29" t="s">
        <v>5</v>
      </c>
      <c r="D166" s="29" t="s">
        <v>297</v>
      </c>
      <c r="E166" s="30">
        <v>45555</v>
      </c>
    </row>
    <row r="167" spans="1:5">
      <c r="A167" s="133" t="s">
        <v>298</v>
      </c>
      <c r="B167" s="134"/>
      <c r="C167" s="29" t="s">
        <v>5</v>
      </c>
      <c r="D167" s="29" t="s">
        <v>297</v>
      </c>
      <c r="E167" s="30">
        <v>45555</v>
      </c>
    </row>
    <row r="168" spans="1:5">
      <c r="A168" s="133" t="s">
        <v>299</v>
      </c>
      <c r="B168" s="134"/>
      <c r="C168" s="29" t="s">
        <v>5</v>
      </c>
      <c r="D168" s="29" t="s">
        <v>300</v>
      </c>
      <c r="E168" s="30">
        <v>45555</v>
      </c>
    </row>
    <row r="169" spans="1:5">
      <c r="A169" s="133" t="s">
        <v>301</v>
      </c>
      <c r="B169" s="134"/>
      <c r="C169" s="29" t="s">
        <v>5</v>
      </c>
      <c r="D169" s="29" t="s">
        <v>302</v>
      </c>
      <c r="E169" s="30">
        <v>45557</v>
      </c>
    </row>
    <row r="170" spans="1:5">
      <c r="A170" s="133" t="s">
        <v>303</v>
      </c>
      <c r="B170" s="134"/>
      <c r="C170" s="29" t="s">
        <v>5</v>
      </c>
      <c r="D170" s="29" t="s">
        <v>304</v>
      </c>
      <c r="E170" s="30">
        <v>45560</v>
      </c>
    </row>
    <row r="171" spans="1:5">
      <c r="A171" s="133" t="s">
        <v>305</v>
      </c>
      <c r="B171" s="134"/>
      <c r="C171" s="29" t="s">
        <v>5</v>
      </c>
      <c r="D171" s="29" t="s">
        <v>306</v>
      </c>
      <c r="E171" s="30">
        <v>45560</v>
      </c>
    </row>
    <row r="172" spans="1:5">
      <c r="A172" s="133" t="s">
        <v>307</v>
      </c>
      <c r="B172" s="134"/>
      <c r="C172" s="29" t="s">
        <v>5</v>
      </c>
      <c r="D172" s="29" t="s">
        <v>306</v>
      </c>
      <c r="E172" s="30">
        <v>45560</v>
      </c>
    </row>
    <row r="173" spans="1:5">
      <c r="A173" s="133" t="s">
        <v>308</v>
      </c>
      <c r="B173" s="134"/>
      <c r="C173" s="29" t="s">
        <v>16</v>
      </c>
      <c r="D173" s="29" t="s">
        <v>309</v>
      </c>
      <c r="E173" s="30">
        <v>45562</v>
      </c>
    </row>
    <row r="174" spans="1:5">
      <c r="A174" s="133" t="s">
        <v>310</v>
      </c>
      <c r="B174" s="134"/>
      <c r="C174" s="29" t="s">
        <v>5</v>
      </c>
      <c r="D174" s="29" t="s">
        <v>311</v>
      </c>
      <c r="E174" s="30">
        <v>45562</v>
      </c>
    </row>
    <row r="175" spans="1:5">
      <c r="A175" s="133" t="s">
        <v>312</v>
      </c>
      <c r="B175" s="134"/>
      <c r="C175" s="29" t="s">
        <v>5</v>
      </c>
      <c r="D175" s="29" t="s">
        <v>58</v>
      </c>
      <c r="E175" s="30">
        <v>45562</v>
      </c>
    </row>
    <row r="176" spans="1:5">
      <c r="A176" s="133" t="s">
        <v>313</v>
      </c>
      <c r="B176" s="134"/>
      <c r="C176" s="29" t="s">
        <v>5</v>
      </c>
      <c r="D176" s="29" t="s">
        <v>314</v>
      </c>
      <c r="E176" s="30">
        <v>45562</v>
      </c>
    </row>
    <row r="177" spans="1:5">
      <c r="A177" s="133" t="s">
        <v>315</v>
      </c>
      <c r="B177" s="134"/>
      <c r="C177" s="29" t="s">
        <v>5</v>
      </c>
      <c r="D177" s="29" t="s">
        <v>136</v>
      </c>
      <c r="E177" s="30">
        <v>45562</v>
      </c>
    </row>
    <row r="178" spans="1:5">
      <c r="A178" s="133" t="s">
        <v>316</v>
      </c>
      <c r="B178" s="134"/>
      <c r="C178" s="29" t="s">
        <v>5</v>
      </c>
      <c r="D178" s="29" t="s">
        <v>207</v>
      </c>
      <c r="E178" s="30">
        <v>45565</v>
      </c>
    </row>
    <row r="179" spans="1:5">
      <c r="A179" s="133" t="s">
        <v>317</v>
      </c>
      <c r="B179" s="134"/>
      <c r="C179" s="29" t="s">
        <v>16</v>
      </c>
      <c r="D179" s="29" t="s">
        <v>318</v>
      </c>
      <c r="E179" s="30">
        <v>45565</v>
      </c>
    </row>
    <row r="180" spans="1:5">
      <c r="A180" s="133" t="s">
        <v>319</v>
      </c>
      <c r="B180" s="134"/>
      <c r="C180" s="29" t="s">
        <v>16</v>
      </c>
      <c r="D180" s="29" t="s">
        <v>320</v>
      </c>
      <c r="E180" s="30">
        <v>45565</v>
      </c>
    </row>
    <row r="181" spans="1:5">
      <c r="A181" s="133" t="s">
        <v>321</v>
      </c>
      <c r="B181" s="134"/>
      <c r="C181" s="29" t="s">
        <v>16</v>
      </c>
      <c r="D181" s="29" t="s">
        <v>322</v>
      </c>
      <c r="E181" s="30">
        <v>45565</v>
      </c>
    </row>
    <row r="182" spans="1:5">
      <c r="A182" s="133" t="s">
        <v>323</v>
      </c>
      <c r="B182" s="134"/>
      <c r="C182" s="29" t="s">
        <v>16</v>
      </c>
      <c r="D182" s="29" t="s">
        <v>324</v>
      </c>
      <c r="E182" s="30">
        <v>45565</v>
      </c>
    </row>
    <row r="183" spans="1:5">
      <c r="A183" s="133" t="s">
        <v>325</v>
      </c>
      <c r="B183" s="134"/>
      <c r="C183" s="29" t="s">
        <v>16</v>
      </c>
      <c r="D183" s="29" t="s">
        <v>326</v>
      </c>
      <c r="E183" s="30">
        <v>45565</v>
      </c>
    </row>
    <row r="184" spans="1:5">
      <c r="A184" s="133" t="s">
        <v>327</v>
      </c>
      <c r="B184" s="134"/>
      <c r="C184" s="29" t="s">
        <v>16</v>
      </c>
      <c r="D184" s="29" t="s">
        <v>328</v>
      </c>
      <c r="E184" s="30">
        <v>45566</v>
      </c>
    </row>
    <row r="185" spans="1:5">
      <c r="A185" s="133" t="s">
        <v>329</v>
      </c>
      <c r="B185" s="134"/>
      <c r="C185" s="29" t="s">
        <v>5</v>
      </c>
      <c r="D185" s="29" t="s">
        <v>330</v>
      </c>
      <c r="E185" s="30">
        <v>45568</v>
      </c>
    </row>
    <row r="186" spans="1:5">
      <c r="A186" s="133" t="s">
        <v>331</v>
      </c>
      <c r="B186" s="134"/>
      <c r="C186" s="29" t="s">
        <v>5</v>
      </c>
      <c r="D186" s="29" t="s">
        <v>332</v>
      </c>
      <c r="E186" s="30">
        <v>45569</v>
      </c>
    </row>
    <row r="187" spans="1:5">
      <c r="A187" s="133" t="s">
        <v>333</v>
      </c>
      <c r="B187" s="134"/>
      <c r="C187" s="29" t="s">
        <v>5</v>
      </c>
      <c r="D187" s="29" t="s">
        <v>171</v>
      </c>
      <c r="E187" s="30">
        <v>45572</v>
      </c>
    </row>
    <row r="188" spans="1:5">
      <c r="A188" s="133" t="s">
        <v>334</v>
      </c>
      <c r="B188" s="134"/>
      <c r="C188" s="29" t="s">
        <v>5</v>
      </c>
      <c r="D188" s="29" t="s">
        <v>335</v>
      </c>
      <c r="E188" s="30">
        <v>45572</v>
      </c>
    </row>
    <row r="189" spans="1:5">
      <c r="A189" s="133" t="s">
        <v>336</v>
      </c>
      <c r="B189" s="134"/>
      <c r="C189" s="29" t="s">
        <v>5</v>
      </c>
      <c r="D189" s="29" t="s">
        <v>337</v>
      </c>
      <c r="E189" s="30">
        <v>45572</v>
      </c>
    </row>
    <row r="190" spans="1:5">
      <c r="A190" s="133" t="s">
        <v>338</v>
      </c>
      <c r="B190" s="134"/>
      <c r="C190" s="29" t="s">
        <v>16</v>
      </c>
      <c r="D190" s="29" t="s">
        <v>339</v>
      </c>
      <c r="E190" s="30">
        <v>45572</v>
      </c>
    </row>
    <row r="191" spans="1:5">
      <c r="A191" s="133" t="s">
        <v>340</v>
      </c>
      <c r="B191" s="134"/>
      <c r="C191" s="29" t="s">
        <v>16</v>
      </c>
      <c r="D191" s="29" t="s">
        <v>341</v>
      </c>
      <c r="E191" s="30">
        <v>45572</v>
      </c>
    </row>
    <row r="192" spans="1:5">
      <c r="A192" s="133" t="s">
        <v>342</v>
      </c>
      <c r="B192" s="134"/>
      <c r="C192" s="29" t="s">
        <v>16</v>
      </c>
      <c r="D192" s="29" t="s">
        <v>343</v>
      </c>
      <c r="E192" s="30">
        <v>45572</v>
      </c>
    </row>
    <row r="193" spans="1:5">
      <c r="A193" s="133" t="s">
        <v>344</v>
      </c>
      <c r="B193" s="134"/>
      <c r="C193" s="29" t="s">
        <v>16</v>
      </c>
      <c r="D193" s="29" t="s">
        <v>345</v>
      </c>
      <c r="E193" s="30">
        <v>45572</v>
      </c>
    </row>
    <row r="194" spans="1:5">
      <c r="A194" s="133" t="s">
        <v>346</v>
      </c>
      <c r="B194" s="134"/>
      <c r="C194" s="29" t="s">
        <v>16</v>
      </c>
      <c r="D194" s="29" t="s">
        <v>324</v>
      </c>
      <c r="E194" s="30">
        <v>45572</v>
      </c>
    </row>
    <row r="195" spans="1:5">
      <c r="A195" s="133" t="s">
        <v>347</v>
      </c>
      <c r="B195" s="134"/>
      <c r="C195" s="29" t="s">
        <v>16</v>
      </c>
      <c r="D195" s="29" t="s">
        <v>265</v>
      </c>
      <c r="E195" s="30">
        <v>45572</v>
      </c>
    </row>
    <row r="196" spans="1:5">
      <c r="A196" s="133" t="s">
        <v>348</v>
      </c>
      <c r="B196" s="134"/>
      <c r="C196" s="29" t="s">
        <v>16</v>
      </c>
      <c r="D196" s="29" t="s">
        <v>349</v>
      </c>
      <c r="E196" s="30">
        <v>45572</v>
      </c>
    </row>
    <row r="197" spans="1:5">
      <c r="A197" s="133" t="s">
        <v>350</v>
      </c>
      <c r="B197" s="134"/>
      <c r="C197" s="29" t="s">
        <v>16</v>
      </c>
      <c r="D197" s="29" t="s">
        <v>351</v>
      </c>
      <c r="E197" s="30">
        <v>45572</v>
      </c>
    </row>
    <row r="198" spans="1:5">
      <c r="A198" s="133" t="s">
        <v>352</v>
      </c>
      <c r="B198" s="134"/>
      <c r="C198" s="29" t="s">
        <v>16</v>
      </c>
      <c r="D198" s="29" t="s">
        <v>353</v>
      </c>
      <c r="E198" s="30">
        <v>45572</v>
      </c>
    </row>
    <row r="199" spans="1:5">
      <c r="A199" s="133" t="s">
        <v>354</v>
      </c>
      <c r="B199" s="134"/>
      <c r="C199" s="29" t="s">
        <v>16</v>
      </c>
      <c r="D199" s="29" t="s">
        <v>355</v>
      </c>
      <c r="E199" s="30">
        <v>45572</v>
      </c>
    </row>
    <row r="200" spans="1:5">
      <c r="A200" s="133" t="s">
        <v>356</v>
      </c>
      <c r="B200" s="134"/>
      <c r="C200" s="29" t="s">
        <v>5</v>
      </c>
      <c r="D200" s="29" t="s">
        <v>241</v>
      </c>
      <c r="E200" s="30">
        <v>45573</v>
      </c>
    </row>
    <row r="201" spans="1:5">
      <c r="A201" s="133" t="s">
        <v>357</v>
      </c>
      <c r="B201" s="134"/>
      <c r="C201" s="29" t="s">
        <v>5</v>
      </c>
      <c r="D201" s="29" t="s">
        <v>34</v>
      </c>
      <c r="E201" s="30">
        <v>45573</v>
      </c>
    </row>
    <row r="202" spans="1:5">
      <c r="A202" s="133" t="s">
        <v>358</v>
      </c>
      <c r="B202" s="134"/>
      <c r="C202" s="29" t="s">
        <v>16</v>
      </c>
      <c r="D202" s="29" t="s">
        <v>359</v>
      </c>
      <c r="E202" s="30">
        <v>45573</v>
      </c>
    </row>
    <row r="203" spans="1:5">
      <c r="A203" s="133" t="s">
        <v>360</v>
      </c>
      <c r="B203" s="134"/>
      <c r="C203" s="29" t="s">
        <v>5</v>
      </c>
      <c r="D203" s="29" t="s">
        <v>131</v>
      </c>
      <c r="E203" s="30">
        <v>45574</v>
      </c>
    </row>
    <row r="204" spans="1:5">
      <c r="A204" s="133" t="s">
        <v>361</v>
      </c>
      <c r="B204" s="134"/>
      <c r="C204" s="29" t="s">
        <v>16</v>
      </c>
      <c r="D204" s="29" t="s">
        <v>362</v>
      </c>
      <c r="E204" s="30">
        <v>45574</v>
      </c>
    </row>
    <row r="205" spans="1:5">
      <c r="A205" s="133" t="s">
        <v>363</v>
      </c>
      <c r="B205" s="134"/>
      <c r="C205" s="29" t="s">
        <v>5</v>
      </c>
      <c r="D205" s="29" t="s">
        <v>364</v>
      </c>
      <c r="E205" s="30">
        <v>45574</v>
      </c>
    </row>
    <row r="206" spans="1:5">
      <c r="A206" s="133" t="s">
        <v>365</v>
      </c>
      <c r="B206" s="134"/>
      <c r="C206" s="29" t="s">
        <v>145</v>
      </c>
      <c r="D206" s="29" t="s">
        <v>366</v>
      </c>
      <c r="E206" s="30">
        <v>45575</v>
      </c>
    </row>
    <row r="207" spans="1:5">
      <c r="A207" s="133" t="s">
        <v>367</v>
      </c>
      <c r="B207" s="134"/>
      <c r="C207" s="29" t="s">
        <v>5</v>
      </c>
      <c r="D207" s="29" t="s">
        <v>120</v>
      </c>
      <c r="E207" s="30">
        <v>45575</v>
      </c>
    </row>
    <row r="208" spans="1:5">
      <c r="A208" s="133" t="s">
        <v>368</v>
      </c>
      <c r="B208" s="134"/>
      <c r="C208" s="29" t="s">
        <v>5</v>
      </c>
      <c r="D208" s="29" t="s">
        <v>107</v>
      </c>
      <c r="E208" s="30">
        <v>45576</v>
      </c>
    </row>
    <row r="209" spans="1:5">
      <c r="A209" s="133" t="s">
        <v>369</v>
      </c>
      <c r="B209" s="134"/>
      <c r="C209" s="29" t="s">
        <v>5</v>
      </c>
      <c r="D209" s="29" t="s">
        <v>60</v>
      </c>
      <c r="E209" s="30">
        <v>45576</v>
      </c>
    </row>
    <row r="210" spans="1:5">
      <c r="A210" s="133" t="s">
        <v>370</v>
      </c>
      <c r="B210" s="134"/>
      <c r="C210" s="29" t="s">
        <v>5</v>
      </c>
      <c r="D210" s="29" t="s">
        <v>199</v>
      </c>
      <c r="E210" s="30">
        <v>45579</v>
      </c>
    </row>
    <row r="211" spans="1:5">
      <c r="A211" s="133" t="s">
        <v>371</v>
      </c>
      <c r="B211" s="134"/>
      <c r="C211" s="29" t="s">
        <v>5</v>
      </c>
      <c r="D211" s="29" t="s">
        <v>372</v>
      </c>
      <c r="E211" s="30">
        <v>45580</v>
      </c>
    </row>
    <row r="212" spans="1:5">
      <c r="A212" s="133" t="s">
        <v>373</v>
      </c>
      <c r="B212" s="134"/>
      <c r="C212" s="29" t="s">
        <v>5</v>
      </c>
      <c r="D212" s="29" t="s">
        <v>364</v>
      </c>
      <c r="E212" s="30">
        <v>45581</v>
      </c>
    </row>
    <row r="213" spans="1:5">
      <c r="A213" s="133" t="s">
        <v>374</v>
      </c>
      <c r="B213" s="134"/>
      <c r="C213" s="29" t="s">
        <v>145</v>
      </c>
      <c r="D213" s="29" t="s">
        <v>375</v>
      </c>
      <c r="E213" s="30">
        <v>45581</v>
      </c>
    </row>
    <row r="214" spans="1:5">
      <c r="A214" s="133" t="s">
        <v>376</v>
      </c>
      <c r="B214" s="134"/>
      <c r="C214" s="29" t="s">
        <v>145</v>
      </c>
      <c r="D214" s="29" t="s">
        <v>377</v>
      </c>
      <c r="E214" s="30">
        <v>45581</v>
      </c>
    </row>
    <row r="215" spans="1:5">
      <c r="A215" s="133" t="s">
        <v>378</v>
      </c>
      <c r="B215" s="134"/>
      <c r="C215" s="29" t="s">
        <v>16</v>
      </c>
      <c r="D215" s="29" t="s">
        <v>379</v>
      </c>
      <c r="E215" s="30">
        <v>45582</v>
      </c>
    </row>
    <row r="216" spans="1:5">
      <c r="A216" s="133" t="s">
        <v>313</v>
      </c>
      <c r="B216" s="134"/>
      <c r="C216" s="29" t="s">
        <v>5</v>
      </c>
      <c r="D216" s="29" t="s">
        <v>38</v>
      </c>
      <c r="E216" s="30">
        <v>45583</v>
      </c>
    </row>
    <row r="217" spans="1:5">
      <c r="A217" s="133" t="s">
        <v>380</v>
      </c>
      <c r="B217" s="134"/>
      <c r="C217" s="29" t="s">
        <v>5</v>
      </c>
      <c r="D217" s="29" t="s">
        <v>381</v>
      </c>
      <c r="E217" s="30">
        <v>45583</v>
      </c>
    </row>
    <row r="218" spans="1:5">
      <c r="A218" s="133" t="s">
        <v>382</v>
      </c>
      <c r="B218" s="134"/>
      <c r="C218" s="29" t="s">
        <v>5</v>
      </c>
      <c r="D218" s="29" t="s">
        <v>207</v>
      </c>
      <c r="E218" s="30">
        <v>45583</v>
      </c>
    </row>
    <row r="219" spans="1:5">
      <c r="A219" s="133" t="s">
        <v>383</v>
      </c>
      <c r="B219" s="134"/>
      <c r="C219" s="29" t="s">
        <v>5</v>
      </c>
      <c r="D219" s="29" t="s">
        <v>38</v>
      </c>
      <c r="E219" s="30">
        <v>45583</v>
      </c>
    </row>
    <row r="220" spans="1:5">
      <c r="A220" s="133" t="s">
        <v>384</v>
      </c>
      <c r="B220" s="134"/>
      <c r="C220" s="29" t="s">
        <v>16</v>
      </c>
      <c r="D220" s="29" t="s">
        <v>385</v>
      </c>
      <c r="E220" s="30">
        <v>45589</v>
      </c>
    </row>
    <row r="221" spans="1:5">
      <c r="A221" s="133" t="s">
        <v>386</v>
      </c>
      <c r="B221" s="134"/>
      <c r="C221" s="29" t="s">
        <v>5</v>
      </c>
      <c r="D221" s="29" t="s">
        <v>387</v>
      </c>
      <c r="E221" s="30">
        <v>45590</v>
      </c>
    </row>
    <row r="222" spans="1:5">
      <c r="A222" s="133" t="s">
        <v>388</v>
      </c>
      <c r="B222" s="134"/>
      <c r="C222" s="29" t="s">
        <v>16</v>
      </c>
      <c r="D222" s="29" t="s">
        <v>297</v>
      </c>
      <c r="E222" s="30">
        <v>45590</v>
      </c>
    </row>
    <row r="223" spans="1:5">
      <c r="A223" s="133" t="s">
        <v>389</v>
      </c>
      <c r="B223" s="134"/>
      <c r="C223" s="29" t="s">
        <v>16</v>
      </c>
      <c r="D223" s="29" t="s">
        <v>306</v>
      </c>
      <c r="E223" s="30">
        <v>45590</v>
      </c>
    </row>
    <row r="224" spans="1:5">
      <c r="A224" s="133" t="s">
        <v>390</v>
      </c>
      <c r="B224" s="134"/>
      <c r="C224" s="29" t="s">
        <v>16</v>
      </c>
      <c r="D224" s="29" t="s">
        <v>391</v>
      </c>
      <c r="E224" s="30">
        <v>45590</v>
      </c>
    </row>
    <row r="225" spans="1:5">
      <c r="A225" s="133" t="s">
        <v>392</v>
      </c>
      <c r="B225" s="134"/>
      <c r="C225" s="29" t="s">
        <v>16</v>
      </c>
      <c r="D225" s="29" t="s">
        <v>179</v>
      </c>
      <c r="E225" s="30">
        <v>45590</v>
      </c>
    </row>
    <row r="226" spans="1:5">
      <c r="A226" s="133" t="s">
        <v>393</v>
      </c>
      <c r="B226" s="134"/>
      <c r="C226" s="29" t="s">
        <v>16</v>
      </c>
      <c r="D226" s="29" t="s">
        <v>179</v>
      </c>
      <c r="E226" s="30">
        <v>45590</v>
      </c>
    </row>
    <row r="227" spans="1:5">
      <c r="A227" s="133" t="s">
        <v>394</v>
      </c>
      <c r="B227" s="134"/>
      <c r="C227" s="29" t="s">
        <v>16</v>
      </c>
      <c r="D227" s="29" t="s">
        <v>179</v>
      </c>
      <c r="E227" s="30">
        <v>45590</v>
      </c>
    </row>
    <row r="228" spans="1:5">
      <c r="A228" s="133" t="s">
        <v>395</v>
      </c>
      <c r="B228" s="134"/>
      <c r="C228" s="29" t="s">
        <v>5</v>
      </c>
      <c r="D228" s="29" t="s">
        <v>396</v>
      </c>
      <c r="E228" s="30">
        <v>45590</v>
      </c>
    </row>
    <row r="229" spans="1:5">
      <c r="A229" s="133" t="s">
        <v>397</v>
      </c>
      <c r="B229" s="134"/>
      <c r="C229" s="29" t="s">
        <v>5</v>
      </c>
      <c r="D229" s="29" t="s">
        <v>32</v>
      </c>
      <c r="E229" s="30">
        <v>45590</v>
      </c>
    </row>
    <row r="230" spans="1:5">
      <c r="A230" s="133" t="s">
        <v>398</v>
      </c>
      <c r="B230" s="134"/>
      <c r="C230" s="29" t="s">
        <v>5</v>
      </c>
      <c r="D230" s="29" t="s">
        <v>199</v>
      </c>
      <c r="E230" s="30">
        <v>45590</v>
      </c>
    </row>
    <row r="231" spans="1:5">
      <c r="A231" s="133" t="s">
        <v>399</v>
      </c>
      <c r="B231" s="134"/>
      <c r="C231" s="29" t="s">
        <v>5</v>
      </c>
      <c r="D231" s="29" t="s">
        <v>30</v>
      </c>
      <c r="E231" s="30">
        <v>45590</v>
      </c>
    </row>
    <row r="232" spans="1:5">
      <c r="A232" s="133" t="s">
        <v>400</v>
      </c>
      <c r="B232" s="134"/>
      <c r="C232" s="29" t="s">
        <v>5</v>
      </c>
      <c r="D232" s="29" t="s">
        <v>30</v>
      </c>
      <c r="E232" s="30">
        <v>45590</v>
      </c>
    </row>
    <row r="233" spans="1:5">
      <c r="A233" s="133" t="s">
        <v>401</v>
      </c>
      <c r="B233" s="134"/>
      <c r="C233" s="29" t="s">
        <v>5</v>
      </c>
      <c r="D233" s="29" t="s">
        <v>199</v>
      </c>
      <c r="E233" s="30">
        <v>45590</v>
      </c>
    </row>
    <row r="234" spans="1:5">
      <c r="A234" s="133" t="s">
        <v>130</v>
      </c>
      <c r="B234" s="134"/>
      <c r="C234" s="29" t="s">
        <v>5</v>
      </c>
      <c r="D234" s="29" t="s">
        <v>131</v>
      </c>
      <c r="E234" s="30">
        <v>45590</v>
      </c>
    </row>
    <row r="235" spans="1:5">
      <c r="A235" s="133" t="s">
        <v>402</v>
      </c>
      <c r="B235" s="134"/>
      <c r="C235" s="29" t="s">
        <v>5</v>
      </c>
      <c r="D235" s="29" t="s">
        <v>6</v>
      </c>
      <c r="E235" s="30">
        <v>45590</v>
      </c>
    </row>
    <row r="236" spans="1:5">
      <c r="A236" s="133" t="s">
        <v>403</v>
      </c>
      <c r="B236" s="134"/>
      <c r="C236" s="29" t="s">
        <v>5</v>
      </c>
      <c r="D236" s="29" t="s">
        <v>396</v>
      </c>
      <c r="E236" s="30">
        <v>45590</v>
      </c>
    </row>
    <row r="237" spans="1:5">
      <c r="A237" s="133" t="s">
        <v>404</v>
      </c>
      <c r="B237" s="134"/>
      <c r="C237" s="29" t="s">
        <v>5</v>
      </c>
      <c r="D237" s="29" t="s">
        <v>6</v>
      </c>
      <c r="E237" s="30">
        <v>45590</v>
      </c>
    </row>
    <row r="238" spans="1:5">
      <c r="A238" s="133" t="s">
        <v>405</v>
      </c>
      <c r="B238" s="134"/>
      <c r="C238" s="29" t="s">
        <v>5</v>
      </c>
      <c r="D238" s="29" t="s">
        <v>207</v>
      </c>
      <c r="E238" s="30">
        <v>45590</v>
      </c>
    </row>
    <row r="239" spans="1:5">
      <c r="A239" s="133" t="s">
        <v>406</v>
      </c>
      <c r="B239" s="134"/>
      <c r="C239" s="29" t="s">
        <v>5</v>
      </c>
      <c r="D239" s="29" t="s">
        <v>407</v>
      </c>
      <c r="E239" s="30">
        <v>45590</v>
      </c>
    </row>
    <row r="240" spans="1:5">
      <c r="A240" s="133" t="s">
        <v>408</v>
      </c>
      <c r="B240" s="134"/>
      <c r="C240" s="29" t="s">
        <v>5</v>
      </c>
      <c r="D240" s="29" t="s">
        <v>6</v>
      </c>
      <c r="E240" s="30">
        <v>45590</v>
      </c>
    </row>
    <row r="241" spans="1:5">
      <c r="A241" s="133" t="s">
        <v>409</v>
      </c>
      <c r="B241" s="134"/>
      <c r="C241" s="29" t="s">
        <v>5</v>
      </c>
      <c r="D241" s="29" t="s">
        <v>410</v>
      </c>
      <c r="E241" s="30">
        <v>45590</v>
      </c>
    </row>
    <row r="242" spans="1:5">
      <c r="A242" s="133" t="s">
        <v>411</v>
      </c>
      <c r="B242" s="134"/>
      <c r="C242" s="29" t="s">
        <v>5</v>
      </c>
      <c r="D242" s="29" t="s">
        <v>412</v>
      </c>
      <c r="E242" s="30">
        <v>45590</v>
      </c>
    </row>
    <row r="243" spans="1:5">
      <c r="A243" s="133" t="s">
        <v>413</v>
      </c>
      <c r="B243" s="134"/>
      <c r="C243" s="29" t="s">
        <v>5</v>
      </c>
      <c r="D243" s="29" t="s">
        <v>414</v>
      </c>
      <c r="E243" s="30">
        <v>45590</v>
      </c>
    </row>
    <row r="244" spans="1:5">
      <c r="A244" s="133" t="s">
        <v>415</v>
      </c>
      <c r="B244" s="134"/>
      <c r="C244" s="29" t="s">
        <v>5</v>
      </c>
      <c r="D244" s="29" t="s">
        <v>414</v>
      </c>
      <c r="E244" s="30">
        <v>45590</v>
      </c>
    </row>
    <row r="245" spans="1:5">
      <c r="A245" s="133" t="s">
        <v>416</v>
      </c>
      <c r="B245" s="134"/>
      <c r="C245" s="29" t="s">
        <v>5</v>
      </c>
      <c r="D245" s="29" t="s">
        <v>414</v>
      </c>
      <c r="E245" s="30">
        <v>45590</v>
      </c>
    </row>
    <row r="246" spans="1:5">
      <c r="A246" s="133" t="s">
        <v>417</v>
      </c>
      <c r="B246" s="134"/>
      <c r="C246" s="29" t="s">
        <v>5</v>
      </c>
      <c r="D246" s="29" t="s">
        <v>330</v>
      </c>
      <c r="E246" s="30">
        <v>45590</v>
      </c>
    </row>
    <row r="247" spans="1:5">
      <c r="A247" s="133" t="s">
        <v>418</v>
      </c>
      <c r="B247" s="134"/>
      <c r="C247" s="29" t="s">
        <v>5</v>
      </c>
      <c r="D247" s="29" t="s">
        <v>332</v>
      </c>
      <c r="E247" s="30">
        <v>45590</v>
      </c>
    </row>
    <row r="248" spans="1:5">
      <c r="A248" s="133" t="s">
        <v>419</v>
      </c>
      <c r="B248" s="134"/>
      <c r="C248" s="29" t="s">
        <v>5</v>
      </c>
      <c r="D248" s="29" t="s">
        <v>38</v>
      </c>
      <c r="E248" s="30">
        <v>45590</v>
      </c>
    </row>
    <row r="249" spans="1:5">
      <c r="A249" s="133" t="s">
        <v>420</v>
      </c>
      <c r="B249" s="134"/>
      <c r="C249" s="29" t="s">
        <v>5</v>
      </c>
      <c r="D249" s="29" t="s">
        <v>60</v>
      </c>
      <c r="E249" s="30">
        <v>45590</v>
      </c>
    </row>
    <row r="250" spans="1:5">
      <c r="A250" s="133" t="s">
        <v>421</v>
      </c>
      <c r="B250" s="134"/>
      <c r="C250" s="29" t="s">
        <v>16</v>
      </c>
      <c r="D250" s="29" t="s">
        <v>422</v>
      </c>
      <c r="E250" s="30">
        <v>45590</v>
      </c>
    </row>
    <row r="251" spans="1:5">
      <c r="A251" s="133" t="s">
        <v>423</v>
      </c>
      <c r="B251" s="134"/>
      <c r="C251" s="29" t="s">
        <v>16</v>
      </c>
      <c r="D251" s="29" t="s">
        <v>424</v>
      </c>
      <c r="E251" s="30">
        <v>45590</v>
      </c>
    </row>
    <row r="252" spans="1:5">
      <c r="A252" s="133" t="s">
        <v>425</v>
      </c>
      <c r="B252" s="134"/>
      <c r="C252" s="29" t="s">
        <v>16</v>
      </c>
      <c r="D252" s="29" t="s">
        <v>426</v>
      </c>
      <c r="E252" s="30">
        <v>45590</v>
      </c>
    </row>
    <row r="253" spans="1:5">
      <c r="A253" s="133" t="s">
        <v>427</v>
      </c>
      <c r="B253" s="134"/>
      <c r="C253" s="29" t="s">
        <v>16</v>
      </c>
      <c r="D253" s="29" t="s">
        <v>428</v>
      </c>
      <c r="E253" s="30">
        <v>45590</v>
      </c>
    </row>
    <row r="254" spans="1:5">
      <c r="A254" s="133" t="s">
        <v>429</v>
      </c>
      <c r="B254" s="134"/>
      <c r="C254" s="29" t="s">
        <v>16</v>
      </c>
      <c r="D254" s="29" t="s">
        <v>430</v>
      </c>
      <c r="E254" s="30">
        <v>45590</v>
      </c>
    </row>
    <row r="255" spans="1:5">
      <c r="A255" s="133" t="s">
        <v>421</v>
      </c>
      <c r="B255" s="134"/>
      <c r="C255" s="29" t="s">
        <v>16</v>
      </c>
      <c r="D255" s="29" t="s">
        <v>431</v>
      </c>
      <c r="E255" s="30">
        <v>45590</v>
      </c>
    </row>
    <row r="256" spans="1:5">
      <c r="A256" s="133" t="s">
        <v>432</v>
      </c>
      <c r="B256" s="134"/>
      <c r="C256" s="29" t="s">
        <v>16</v>
      </c>
      <c r="D256" s="29" t="s">
        <v>433</v>
      </c>
      <c r="E256" s="30">
        <v>45590</v>
      </c>
    </row>
    <row r="257" spans="1:5">
      <c r="A257" s="133" t="s">
        <v>432</v>
      </c>
      <c r="B257" s="134"/>
      <c r="C257" s="29" t="s">
        <v>16</v>
      </c>
      <c r="D257" s="29" t="s">
        <v>434</v>
      </c>
      <c r="E257" s="30">
        <v>45590</v>
      </c>
    </row>
    <row r="258" spans="1:5">
      <c r="A258" s="133" t="s">
        <v>435</v>
      </c>
      <c r="B258" s="134"/>
      <c r="C258" s="29" t="s">
        <v>16</v>
      </c>
      <c r="D258" s="29" t="s">
        <v>436</v>
      </c>
      <c r="E258" s="30">
        <v>45590</v>
      </c>
    </row>
    <row r="259" spans="1:5">
      <c r="A259" s="133" t="s">
        <v>425</v>
      </c>
      <c r="B259" s="134"/>
      <c r="C259" s="29" t="s">
        <v>16</v>
      </c>
      <c r="D259" s="29" t="s">
        <v>437</v>
      </c>
      <c r="E259" s="30">
        <v>45590</v>
      </c>
    </row>
    <row r="260" spans="1:5">
      <c r="A260" s="133" t="s">
        <v>438</v>
      </c>
      <c r="B260" s="134"/>
      <c r="C260" s="29" t="s">
        <v>16</v>
      </c>
      <c r="D260" s="29" t="s">
        <v>439</v>
      </c>
      <c r="E260" s="30">
        <v>45590</v>
      </c>
    </row>
    <row r="261" spans="1:5">
      <c r="A261" s="133" t="s">
        <v>440</v>
      </c>
      <c r="B261" s="134"/>
      <c r="C261" s="29" t="s">
        <v>16</v>
      </c>
      <c r="D261" s="29" t="s">
        <v>439</v>
      </c>
      <c r="E261" s="30">
        <v>45590</v>
      </c>
    </row>
    <row r="262" spans="1:5">
      <c r="A262" s="133" t="s">
        <v>441</v>
      </c>
      <c r="B262" s="134"/>
      <c r="C262" s="29" t="s">
        <v>16</v>
      </c>
      <c r="D262" s="29" t="s">
        <v>442</v>
      </c>
      <c r="E262" s="30">
        <v>45590</v>
      </c>
    </row>
    <row r="263" spans="1:5">
      <c r="A263" s="133" t="s">
        <v>443</v>
      </c>
      <c r="B263" s="134"/>
      <c r="C263" s="29" t="s">
        <v>16</v>
      </c>
      <c r="D263" s="29" t="s">
        <v>444</v>
      </c>
      <c r="E263" s="30">
        <v>45590</v>
      </c>
    </row>
    <row r="264" spans="1:5">
      <c r="A264" s="133" t="s">
        <v>425</v>
      </c>
      <c r="B264" s="134"/>
      <c r="C264" s="29" t="s">
        <v>16</v>
      </c>
      <c r="D264" s="29" t="s">
        <v>445</v>
      </c>
      <c r="E264" s="30">
        <v>45590</v>
      </c>
    </row>
    <row r="265" spans="1:5">
      <c r="A265" s="133" t="s">
        <v>446</v>
      </c>
      <c r="B265" s="134"/>
      <c r="C265" s="29" t="s">
        <v>16</v>
      </c>
      <c r="D265" s="29" t="s">
        <v>447</v>
      </c>
      <c r="E265" s="30">
        <v>45590</v>
      </c>
    </row>
    <row r="266" spans="1:5">
      <c r="A266" s="133" t="s">
        <v>448</v>
      </c>
      <c r="B266" s="134"/>
      <c r="C266" s="29" t="s">
        <v>23</v>
      </c>
      <c r="D266" s="29" t="s">
        <v>449</v>
      </c>
      <c r="E266" s="30">
        <v>45590</v>
      </c>
    </row>
    <row r="267" spans="1:5">
      <c r="A267" s="133" t="s">
        <v>450</v>
      </c>
      <c r="B267" s="134"/>
      <c r="C267" s="29" t="s">
        <v>23</v>
      </c>
      <c r="D267" s="29" t="s">
        <v>451</v>
      </c>
      <c r="E267" s="30">
        <v>45590</v>
      </c>
    </row>
    <row r="268" spans="1:5">
      <c r="A268" s="133" t="s">
        <v>452</v>
      </c>
      <c r="B268" s="134"/>
      <c r="C268" s="29" t="s">
        <v>23</v>
      </c>
      <c r="D268" s="29" t="s">
        <v>453</v>
      </c>
      <c r="E268" s="30">
        <v>45590</v>
      </c>
    </row>
    <row r="269" spans="1:5">
      <c r="A269" s="133" t="s">
        <v>454</v>
      </c>
      <c r="B269" s="134"/>
      <c r="C269" s="29" t="s">
        <v>23</v>
      </c>
      <c r="D269" s="29" t="s">
        <v>455</v>
      </c>
      <c r="E269" s="30">
        <v>45590</v>
      </c>
    </row>
    <row r="270" spans="1:5">
      <c r="A270" s="133" t="s">
        <v>456</v>
      </c>
      <c r="B270" s="134"/>
      <c r="C270" s="29" t="s">
        <v>23</v>
      </c>
      <c r="D270" s="29" t="s">
        <v>457</v>
      </c>
      <c r="E270" s="30">
        <v>45590</v>
      </c>
    </row>
    <row r="271" spans="1:5">
      <c r="A271" s="133" t="s">
        <v>458</v>
      </c>
      <c r="B271" s="134"/>
      <c r="C271" s="29" t="s">
        <v>23</v>
      </c>
      <c r="D271" s="29" t="s">
        <v>459</v>
      </c>
      <c r="E271" s="30">
        <v>45590</v>
      </c>
    </row>
    <row r="272" spans="1:5">
      <c r="A272" s="133" t="s">
        <v>460</v>
      </c>
      <c r="B272" s="134"/>
      <c r="C272" s="29" t="s">
        <v>23</v>
      </c>
      <c r="D272" s="29" t="s">
        <v>243</v>
      </c>
      <c r="E272" s="30">
        <v>45590</v>
      </c>
    </row>
    <row r="273" spans="1:5">
      <c r="A273" s="133" t="s">
        <v>461</v>
      </c>
      <c r="B273" s="134"/>
      <c r="C273" s="29" t="s">
        <v>23</v>
      </c>
      <c r="D273" s="29" t="s">
        <v>462</v>
      </c>
      <c r="E273" s="30">
        <v>45590</v>
      </c>
    </row>
    <row r="274" spans="1:5">
      <c r="A274" s="133" t="s">
        <v>463</v>
      </c>
      <c r="B274" s="134"/>
      <c r="C274" s="29" t="s">
        <v>23</v>
      </c>
      <c r="D274" s="29" t="s">
        <v>464</v>
      </c>
      <c r="E274" s="30">
        <v>45590</v>
      </c>
    </row>
    <row r="275" spans="1:5">
      <c r="A275" s="133" t="s">
        <v>465</v>
      </c>
      <c r="B275" s="134"/>
      <c r="C275" s="29" t="s">
        <v>23</v>
      </c>
      <c r="D275" s="29" t="s">
        <v>466</v>
      </c>
      <c r="E275" s="30">
        <v>45590</v>
      </c>
    </row>
    <row r="276" spans="1:5">
      <c r="A276" s="133" t="s">
        <v>467</v>
      </c>
      <c r="B276" s="134"/>
      <c r="C276" s="29" t="s">
        <v>23</v>
      </c>
      <c r="D276" s="29" t="s">
        <v>468</v>
      </c>
      <c r="E276" s="30">
        <v>45590</v>
      </c>
    </row>
    <row r="277" spans="1:5">
      <c r="A277" s="133" t="s">
        <v>469</v>
      </c>
      <c r="B277" s="134"/>
      <c r="C277" s="29" t="s">
        <v>23</v>
      </c>
      <c r="D277" s="29" t="s">
        <v>468</v>
      </c>
      <c r="E277" s="30">
        <v>45590</v>
      </c>
    </row>
    <row r="278" spans="1:5">
      <c r="A278" s="133" t="s">
        <v>470</v>
      </c>
      <c r="B278" s="134"/>
      <c r="C278" s="29" t="s">
        <v>23</v>
      </c>
      <c r="D278" s="29" t="s">
        <v>471</v>
      </c>
      <c r="E278" s="30">
        <v>45590</v>
      </c>
    </row>
    <row r="279" spans="1:5">
      <c r="A279" s="133" t="s">
        <v>472</v>
      </c>
      <c r="B279" s="134"/>
      <c r="C279" s="29" t="s">
        <v>16</v>
      </c>
      <c r="D279" s="29" t="s">
        <v>473</v>
      </c>
      <c r="E279" s="30">
        <v>45590</v>
      </c>
    </row>
    <row r="280" spans="1:5">
      <c r="A280" s="133" t="s">
        <v>474</v>
      </c>
      <c r="B280" s="134"/>
      <c r="C280" s="29" t="s">
        <v>16</v>
      </c>
      <c r="D280" s="29" t="s">
        <v>475</v>
      </c>
      <c r="E280" s="30">
        <v>45590</v>
      </c>
    </row>
    <row r="281" spans="1:5">
      <c r="A281" s="133" t="s">
        <v>476</v>
      </c>
      <c r="B281" s="134"/>
      <c r="C281" s="29" t="s">
        <v>16</v>
      </c>
      <c r="D281" s="29" t="s">
        <v>477</v>
      </c>
      <c r="E281" s="30">
        <v>45590</v>
      </c>
    </row>
    <row r="282" spans="1:5">
      <c r="A282" s="133" t="s">
        <v>478</v>
      </c>
      <c r="B282" s="134"/>
      <c r="C282" s="29" t="s">
        <v>16</v>
      </c>
      <c r="D282" s="29" t="s">
        <v>479</v>
      </c>
      <c r="E282" s="30">
        <v>45590</v>
      </c>
    </row>
    <row r="283" spans="1:5">
      <c r="A283" s="133" t="s">
        <v>480</v>
      </c>
      <c r="B283" s="134"/>
      <c r="C283" s="29" t="s">
        <v>16</v>
      </c>
      <c r="D283" s="29" t="s">
        <v>481</v>
      </c>
      <c r="E283" s="30">
        <v>45590</v>
      </c>
    </row>
    <row r="284" spans="1:5">
      <c r="A284" s="133" t="s">
        <v>482</v>
      </c>
      <c r="B284" s="134"/>
      <c r="C284" s="29" t="s">
        <v>16</v>
      </c>
      <c r="D284" s="29" t="s">
        <v>241</v>
      </c>
      <c r="E284" s="30">
        <v>45590</v>
      </c>
    </row>
    <row r="285" spans="1:5">
      <c r="A285" s="133" t="s">
        <v>483</v>
      </c>
      <c r="B285" s="134"/>
      <c r="C285" s="29" t="s">
        <v>16</v>
      </c>
      <c r="D285" s="29" t="s">
        <v>241</v>
      </c>
      <c r="E285" s="30">
        <v>45590</v>
      </c>
    </row>
    <row r="286" spans="1:5">
      <c r="A286" s="133" t="s">
        <v>484</v>
      </c>
      <c r="B286" s="134"/>
      <c r="C286" s="29" t="s">
        <v>16</v>
      </c>
      <c r="D286" s="29" t="s">
        <v>485</v>
      </c>
      <c r="E286" s="30">
        <v>45590</v>
      </c>
    </row>
    <row r="287" spans="1:5">
      <c r="A287" s="133" t="s">
        <v>20</v>
      </c>
      <c r="B287" s="134"/>
      <c r="C287" s="29" t="s">
        <v>16</v>
      </c>
      <c r="D287" s="29" t="s">
        <v>21</v>
      </c>
      <c r="E287" s="30">
        <v>45590</v>
      </c>
    </row>
    <row r="288" spans="1:5">
      <c r="A288" s="133" t="s">
        <v>486</v>
      </c>
      <c r="B288" s="134"/>
      <c r="C288" s="29" t="s">
        <v>16</v>
      </c>
      <c r="D288" s="29" t="s">
        <v>487</v>
      </c>
      <c r="E288" s="30">
        <v>45590</v>
      </c>
    </row>
    <row r="289" spans="1:5">
      <c r="A289" s="133" t="s">
        <v>488</v>
      </c>
      <c r="B289" s="134"/>
      <c r="C289" s="29" t="s">
        <v>16</v>
      </c>
      <c r="D289" s="29" t="s">
        <v>489</v>
      </c>
      <c r="E289" s="30">
        <v>45590</v>
      </c>
    </row>
    <row r="290" spans="1:5">
      <c r="A290" s="133" t="s">
        <v>490</v>
      </c>
      <c r="B290" s="134"/>
      <c r="C290" s="29" t="s">
        <v>16</v>
      </c>
      <c r="D290" s="29" t="s">
        <v>491</v>
      </c>
      <c r="E290" s="30">
        <v>45590</v>
      </c>
    </row>
    <row r="291" spans="1:5">
      <c r="A291" s="133" t="s">
        <v>492</v>
      </c>
      <c r="B291" s="134"/>
      <c r="C291" s="29" t="s">
        <v>16</v>
      </c>
      <c r="D291" s="29" t="s">
        <v>492</v>
      </c>
      <c r="E291" s="30">
        <v>45590</v>
      </c>
    </row>
    <row r="292" spans="1:5">
      <c r="A292" s="133" t="s">
        <v>493</v>
      </c>
      <c r="B292" s="134"/>
      <c r="C292" s="29" t="s">
        <v>16</v>
      </c>
      <c r="D292" s="29" t="s">
        <v>494</v>
      </c>
      <c r="E292" s="30">
        <v>45590</v>
      </c>
    </row>
    <row r="293" spans="1:5">
      <c r="A293" s="133" t="s">
        <v>495</v>
      </c>
      <c r="B293" s="134"/>
      <c r="C293" s="29" t="s">
        <v>16</v>
      </c>
      <c r="D293" s="29" t="s">
        <v>496</v>
      </c>
      <c r="E293" s="30">
        <v>45590</v>
      </c>
    </row>
    <row r="294" spans="1:5">
      <c r="A294" s="133" t="s">
        <v>497</v>
      </c>
      <c r="B294" s="134"/>
      <c r="C294" s="29" t="s">
        <v>16</v>
      </c>
      <c r="D294" s="29" t="s">
        <v>498</v>
      </c>
      <c r="E294" s="30">
        <v>45590</v>
      </c>
    </row>
    <row r="295" spans="1:5">
      <c r="A295" s="133" t="s">
        <v>499</v>
      </c>
      <c r="B295" s="134"/>
      <c r="C295" s="29" t="s">
        <v>16</v>
      </c>
      <c r="D295" s="29" t="s">
        <v>500</v>
      </c>
      <c r="E295" s="30">
        <v>45590</v>
      </c>
    </row>
    <row r="296" spans="1:5">
      <c r="A296" s="133" t="s">
        <v>501</v>
      </c>
      <c r="B296" s="134"/>
      <c r="C296" s="29" t="s">
        <v>16</v>
      </c>
      <c r="D296" s="29" t="s">
        <v>502</v>
      </c>
      <c r="E296" s="30">
        <v>45590</v>
      </c>
    </row>
    <row r="297" spans="1:5">
      <c r="A297" s="133" t="s">
        <v>503</v>
      </c>
      <c r="B297" s="134"/>
      <c r="C297" s="29" t="s">
        <v>16</v>
      </c>
      <c r="D297" s="29" t="s">
        <v>504</v>
      </c>
      <c r="E297" s="30">
        <v>45590</v>
      </c>
    </row>
    <row r="298" spans="1:5">
      <c r="A298" s="133" t="s">
        <v>503</v>
      </c>
      <c r="B298" s="134"/>
      <c r="C298" s="29" t="s">
        <v>16</v>
      </c>
      <c r="D298" s="29" t="s">
        <v>504</v>
      </c>
      <c r="E298" s="30">
        <v>45590</v>
      </c>
    </row>
    <row r="299" spans="1:5">
      <c r="A299" s="133" t="s">
        <v>505</v>
      </c>
      <c r="B299" s="134"/>
      <c r="C299" s="29" t="s">
        <v>16</v>
      </c>
      <c r="D299" s="29" t="s">
        <v>506</v>
      </c>
      <c r="E299" s="30">
        <v>45590</v>
      </c>
    </row>
    <row r="300" spans="1:5">
      <c r="A300" s="133" t="s">
        <v>507</v>
      </c>
      <c r="B300" s="134"/>
      <c r="C300" s="29" t="s">
        <v>16</v>
      </c>
      <c r="D300" s="29" t="s">
        <v>508</v>
      </c>
      <c r="E300" s="30">
        <v>45590</v>
      </c>
    </row>
    <row r="301" spans="1:5">
      <c r="A301" s="133" t="s">
        <v>509</v>
      </c>
      <c r="B301" s="134"/>
      <c r="C301" s="29" t="s">
        <v>23</v>
      </c>
      <c r="D301" s="29" t="s">
        <v>510</v>
      </c>
      <c r="E301" s="30">
        <v>45590</v>
      </c>
    </row>
    <row r="302" spans="1:5">
      <c r="A302" s="133" t="s">
        <v>511</v>
      </c>
      <c r="B302" s="134"/>
      <c r="C302" s="29" t="s">
        <v>23</v>
      </c>
      <c r="D302" s="29" t="s">
        <v>512</v>
      </c>
      <c r="E302" s="30">
        <v>45590</v>
      </c>
    </row>
    <row r="303" spans="1:5">
      <c r="A303" s="133" t="s">
        <v>513</v>
      </c>
      <c r="B303" s="134"/>
      <c r="C303" s="29" t="s">
        <v>23</v>
      </c>
      <c r="D303" s="29" t="s">
        <v>514</v>
      </c>
      <c r="E303" s="30">
        <v>45590</v>
      </c>
    </row>
    <row r="304" spans="1:5">
      <c r="A304" s="133" t="s">
        <v>515</v>
      </c>
      <c r="B304" s="134"/>
      <c r="C304" s="29" t="s">
        <v>23</v>
      </c>
      <c r="D304" s="29" t="s">
        <v>516</v>
      </c>
      <c r="E304" s="30">
        <v>45590</v>
      </c>
    </row>
    <row r="305" spans="1:5">
      <c r="A305" s="133" t="s">
        <v>517</v>
      </c>
      <c r="B305" s="134"/>
      <c r="C305" s="29" t="s">
        <v>145</v>
      </c>
      <c r="D305" s="29" t="s">
        <v>517</v>
      </c>
      <c r="E305" s="30">
        <v>45590</v>
      </c>
    </row>
    <row r="306" spans="1:5">
      <c r="A306" s="133" t="s">
        <v>518</v>
      </c>
      <c r="B306" s="134"/>
      <c r="C306" s="29" t="s">
        <v>145</v>
      </c>
      <c r="D306" s="29" t="s">
        <v>519</v>
      </c>
      <c r="E306" s="30">
        <v>45590</v>
      </c>
    </row>
    <row r="307" spans="1:5">
      <c r="A307" s="133" t="s">
        <v>520</v>
      </c>
      <c r="B307" s="134"/>
      <c r="C307" s="29" t="s">
        <v>145</v>
      </c>
      <c r="D307" s="29" t="s">
        <v>521</v>
      </c>
      <c r="E307" s="30">
        <v>45590</v>
      </c>
    </row>
    <row r="308" spans="1:5">
      <c r="A308" s="133" t="s">
        <v>522</v>
      </c>
      <c r="B308" s="134"/>
      <c r="C308" s="29" t="s">
        <v>145</v>
      </c>
      <c r="D308" s="29" t="s">
        <v>523</v>
      </c>
      <c r="E308" s="30">
        <v>45590</v>
      </c>
    </row>
    <row r="309" spans="1:5">
      <c r="A309" s="133" t="s">
        <v>524</v>
      </c>
      <c r="B309" s="134"/>
      <c r="C309" s="29" t="s">
        <v>145</v>
      </c>
      <c r="D309" s="29" t="s">
        <v>525</v>
      </c>
      <c r="E309" s="30">
        <v>45590</v>
      </c>
    </row>
    <row r="310" spans="1:5">
      <c r="A310" s="133" t="s">
        <v>526</v>
      </c>
      <c r="B310" s="134"/>
      <c r="C310" s="29" t="s">
        <v>145</v>
      </c>
      <c r="D310" s="29" t="s">
        <v>527</v>
      </c>
      <c r="E310" s="30">
        <v>45590</v>
      </c>
    </row>
    <row r="311" spans="1:5">
      <c r="A311" s="133" t="s">
        <v>528</v>
      </c>
      <c r="B311" s="134"/>
      <c r="C311" s="29" t="s">
        <v>145</v>
      </c>
      <c r="D311" s="29" t="s">
        <v>529</v>
      </c>
      <c r="E311" s="30">
        <v>45590</v>
      </c>
    </row>
    <row r="312" spans="1:5">
      <c r="A312" s="133" t="s">
        <v>530</v>
      </c>
      <c r="B312" s="134"/>
      <c r="C312" s="29" t="s">
        <v>145</v>
      </c>
      <c r="D312" s="29" t="s">
        <v>530</v>
      </c>
      <c r="E312" s="30">
        <v>45590</v>
      </c>
    </row>
    <row r="313" spans="1:5">
      <c r="A313" s="133" t="s">
        <v>531</v>
      </c>
      <c r="B313" s="134"/>
      <c r="C313" s="29" t="s">
        <v>145</v>
      </c>
      <c r="D313" s="29" t="s">
        <v>532</v>
      </c>
      <c r="E313" s="30">
        <v>45590</v>
      </c>
    </row>
    <row r="314" spans="1:5">
      <c r="A314" s="133" t="s">
        <v>533</v>
      </c>
      <c r="B314" s="134"/>
      <c r="C314" s="29" t="s">
        <v>145</v>
      </c>
      <c r="D314" s="29" t="s">
        <v>534</v>
      </c>
      <c r="E314" s="30">
        <v>45590</v>
      </c>
    </row>
    <row r="315" spans="1:5">
      <c r="A315" s="133" t="s">
        <v>535</v>
      </c>
      <c r="B315" s="134"/>
      <c r="C315" s="29" t="s">
        <v>145</v>
      </c>
      <c r="D315" s="29" t="s">
        <v>535</v>
      </c>
      <c r="E315" s="30">
        <v>45590</v>
      </c>
    </row>
    <row r="316" spans="1:5">
      <c r="A316" s="133" t="s">
        <v>536</v>
      </c>
      <c r="B316" s="134"/>
      <c r="C316" s="29" t="s">
        <v>145</v>
      </c>
      <c r="D316" s="29" t="s">
        <v>536</v>
      </c>
      <c r="E316" s="30">
        <v>45590</v>
      </c>
    </row>
    <row r="317" spans="1:5">
      <c r="A317" s="133" t="s">
        <v>537</v>
      </c>
      <c r="B317" s="134"/>
      <c r="C317" s="29" t="s">
        <v>145</v>
      </c>
      <c r="D317" s="29" t="s">
        <v>537</v>
      </c>
      <c r="E317" s="30">
        <v>45590</v>
      </c>
    </row>
    <row r="318" spans="1:5">
      <c r="A318" s="133" t="s">
        <v>538</v>
      </c>
      <c r="B318" s="134"/>
      <c r="C318" s="29" t="s">
        <v>145</v>
      </c>
      <c r="D318" s="29" t="s">
        <v>539</v>
      </c>
      <c r="E318" s="30">
        <v>45590</v>
      </c>
    </row>
    <row r="319" spans="1:5">
      <c r="A319" s="133" t="s">
        <v>540</v>
      </c>
      <c r="B319" s="134"/>
      <c r="C319" s="29" t="s">
        <v>145</v>
      </c>
      <c r="D319" s="29" t="s">
        <v>541</v>
      </c>
      <c r="E319" s="30">
        <v>45590</v>
      </c>
    </row>
    <row r="320" spans="1:5">
      <c r="A320" s="133" t="s">
        <v>542</v>
      </c>
      <c r="B320" s="134"/>
      <c r="C320" s="29" t="s">
        <v>145</v>
      </c>
      <c r="D320" s="29" t="s">
        <v>542</v>
      </c>
      <c r="E320" s="30">
        <v>45590</v>
      </c>
    </row>
    <row r="321" spans="1:5">
      <c r="A321" s="133" t="s">
        <v>543</v>
      </c>
      <c r="B321" s="134"/>
      <c r="C321" s="29" t="s">
        <v>145</v>
      </c>
      <c r="D321" s="29" t="s">
        <v>543</v>
      </c>
      <c r="E321" s="30">
        <v>45590</v>
      </c>
    </row>
    <row r="322" spans="1:5">
      <c r="A322" s="133" t="s">
        <v>544</v>
      </c>
      <c r="B322" s="134"/>
      <c r="C322" s="29" t="s">
        <v>145</v>
      </c>
      <c r="D322" s="29" t="s">
        <v>544</v>
      </c>
      <c r="E322" s="30">
        <v>45590</v>
      </c>
    </row>
    <row r="323" spans="1:5">
      <c r="A323" s="133" t="s">
        <v>545</v>
      </c>
      <c r="B323" s="134"/>
      <c r="C323" s="29" t="s">
        <v>145</v>
      </c>
      <c r="D323" s="29" t="s">
        <v>545</v>
      </c>
      <c r="E323" s="30">
        <v>45590</v>
      </c>
    </row>
    <row r="324" spans="1:5">
      <c r="A324" s="133" t="s">
        <v>546</v>
      </c>
      <c r="B324" s="134"/>
      <c r="C324" s="29" t="s">
        <v>145</v>
      </c>
      <c r="D324" s="29" t="s">
        <v>546</v>
      </c>
      <c r="E324" s="30">
        <v>45590</v>
      </c>
    </row>
    <row r="325" spans="1:5">
      <c r="A325" s="133" t="s">
        <v>547</v>
      </c>
      <c r="B325" s="134"/>
      <c r="C325" s="29" t="s">
        <v>145</v>
      </c>
      <c r="D325" s="29" t="s">
        <v>548</v>
      </c>
      <c r="E325" s="30">
        <v>45590</v>
      </c>
    </row>
    <row r="326" spans="1:5">
      <c r="A326" s="133" t="s">
        <v>549</v>
      </c>
      <c r="B326" s="134"/>
      <c r="C326" s="29" t="s">
        <v>145</v>
      </c>
      <c r="D326" s="29" t="s">
        <v>550</v>
      </c>
      <c r="E326" s="30">
        <v>45590</v>
      </c>
    </row>
    <row r="327" spans="1:5">
      <c r="A327" s="133" t="s">
        <v>551</v>
      </c>
      <c r="B327" s="134"/>
      <c r="C327" s="29" t="s">
        <v>145</v>
      </c>
      <c r="D327" s="29" t="s">
        <v>551</v>
      </c>
      <c r="E327" s="30">
        <v>45590</v>
      </c>
    </row>
    <row r="328" spans="1:5">
      <c r="A328" s="133" t="s">
        <v>552</v>
      </c>
      <c r="B328" s="134"/>
      <c r="C328" s="29" t="s">
        <v>145</v>
      </c>
      <c r="D328" s="29" t="s">
        <v>552</v>
      </c>
      <c r="E328" s="30">
        <v>45590</v>
      </c>
    </row>
    <row r="329" spans="1:5">
      <c r="A329" s="133" t="s">
        <v>553</v>
      </c>
      <c r="B329" s="134"/>
      <c r="C329" s="29" t="s">
        <v>145</v>
      </c>
      <c r="D329" s="29" t="s">
        <v>553</v>
      </c>
      <c r="E329" s="30">
        <v>45590</v>
      </c>
    </row>
    <row r="330" spans="1:5">
      <c r="A330" s="133" t="s">
        <v>554</v>
      </c>
      <c r="B330" s="134"/>
      <c r="C330" s="29" t="s">
        <v>145</v>
      </c>
      <c r="D330" s="29" t="s">
        <v>554</v>
      </c>
      <c r="E330" s="30">
        <v>45590</v>
      </c>
    </row>
    <row r="331" spans="1:5">
      <c r="A331" s="133" t="s">
        <v>555</v>
      </c>
      <c r="B331" s="134"/>
      <c r="C331" s="29" t="s">
        <v>145</v>
      </c>
      <c r="D331" s="29" t="s">
        <v>555</v>
      </c>
      <c r="E331" s="30">
        <v>45590</v>
      </c>
    </row>
    <row r="332" spans="1:5">
      <c r="A332" s="133" t="s">
        <v>556</v>
      </c>
      <c r="B332" s="134"/>
      <c r="C332" s="29" t="s">
        <v>145</v>
      </c>
      <c r="D332" s="29" t="s">
        <v>556</v>
      </c>
      <c r="E332" s="30">
        <v>45590</v>
      </c>
    </row>
    <row r="333" spans="1:5">
      <c r="A333" s="133" t="s">
        <v>557</v>
      </c>
      <c r="B333" s="134"/>
      <c r="C333" s="29" t="s">
        <v>145</v>
      </c>
      <c r="D333" s="29" t="s">
        <v>558</v>
      </c>
      <c r="E333" s="30">
        <v>45590</v>
      </c>
    </row>
    <row r="334" spans="1:5">
      <c r="A334" s="133" t="s">
        <v>559</v>
      </c>
      <c r="B334" s="134"/>
      <c r="C334" s="29" t="s">
        <v>145</v>
      </c>
      <c r="D334" s="29" t="s">
        <v>559</v>
      </c>
      <c r="E334" s="30">
        <v>45590</v>
      </c>
    </row>
    <row r="335" spans="1:5">
      <c r="A335" s="133" t="s">
        <v>560</v>
      </c>
      <c r="B335" s="134"/>
      <c r="C335" s="29" t="s">
        <v>145</v>
      </c>
      <c r="D335" s="29" t="s">
        <v>560</v>
      </c>
      <c r="E335" s="30">
        <v>45590</v>
      </c>
    </row>
    <row r="336" spans="1:5">
      <c r="A336" s="133" t="s">
        <v>561</v>
      </c>
      <c r="B336" s="134"/>
      <c r="C336" s="29" t="s">
        <v>145</v>
      </c>
      <c r="D336" s="29" t="s">
        <v>561</v>
      </c>
      <c r="E336" s="30">
        <v>45590</v>
      </c>
    </row>
    <row r="337" spans="1:5">
      <c r="A337" s="133" t="s">
        <v>562</v>
      </c>
      <c r="B337" s="134"/>
      <c r="C337" s="29" t="s">
        <v>145</v>
      </c>
      <c r="D337" s="29" t="s">
        <v>562</v>
      </c>
      <c r="E337" s="30">
        <v>45590</v>
      </c>
    </row>
    <row r="338" spans="1:5">
      <c r="A338" s="133" t="s">
        <v>563</v>
      </c>
      <c r="B338" s="134"/>
      <c r="C338" s="29" t="s">
        <v>145</v>
      </c>
      <c r="D338" s="29" t="s">
        <v>564</v>
      </c>
      <c r="E338" s="30">
        <v>45590</v>
      </c>
    </row>
    <row r="339" spans="1:5">
      <c r="A339" s="133" t="s">
        <v>565</v>
      </c>
      <c r="B339" s="134"/>
      <c r="C339" s="29" t="s">
        <v>145</v>
      </c>
      <c r="D339" s="29" t="s">
        <v>565</v>
      </c>
      <c r="E339" s="30">
        <v>45590</v>
      </c>
    </row>
    <row r="340" spans="1:5">
      <c r="A340" s="133" t="s">
        <v>566</v>
      </c>
      <c r="B340" s="134"/>
      <c r="C340" s="29" t="s">
        <v>145</v>
      </c>
      <c r="D340" s="29" t="s">
        <v>567</v>
      </c>
      <c r="E340" s="30">
        <v>45590</v>
      </c>
    </row>
    <row r="341" spans="1:5">
      <c r="A341" s="133" t="s">
        <v>568</v>
      </c>
      <c r="B341" s="134"/>
      <c r="C341" s="29" t="s">
        <v>145</v>
      </c>
      <c r="D341" s="29" t="s">
        <v>569</v>
      </c>
      <c r="E341" s="30">
        <v>45590</v>
      </c>
    </row>
    <row r="342" spans="1:5">
      <c r="A342" s="133" t="s">
        <v>570</v>
      </c>
      <c r="B342" s="134"/>
      <c r="C342" s="29" t="s">
        <v>145</v>
      </c>
      <c r="D342" s="29" t="s">
        <v>570</v>
      </c>
      <c r="E342" s="30">
        <v>45590</v>
      </c>
    </row>
    <row r="343" spans="1:5">
      <c r="A343" s="133" t="s">
        <v>571</v>
      </c>
      <c r="B343" s="134"/>
      <c r="C343" s="29" t="s">
        <v>145</v>
      </c>
      <c r="D343" s="29" t="s">
        <v>571</v>
      </c>
      <c r="E343" s="30">
        <v>45590</v>
      </c>
    </row>
    <row r="344" spans="1:5">
      <c r="A344" s="133" t="s">
        <v>572</v>
      </c>
      <c r="B344" s="134"/>
      <c r="C344" s="29" t="s">
        <v>145</v>
      </c>
      <c r="D344" s="29" t="s">
        <v>573</v>
      </c>
      <c r="E344" s="30">
        <v>45590</v>
      </c>
    </row>
    <row r="345" spans="1:5">
      <c r="A345" s="133" t="s">
        <v>574</v>
      </c>
      <c r="B345" s="134"/>
      <c r="C345" s="29" t="s">
        <v>145</v>
      </c>
      <c r="D345" s="29" t="s">
        <v>575</v>
      </c>
      <c r="E345" s="30">
        <v>45590</v>
      </c>
    </row>
    <row r="346" spans="1:5">
      <c r="A346" s="133" t="s">
        <v>576</v>
      </c>
      <c r="B346" s="134"/>
      <c r="C346" s="29" t="s">
        <v>145</v>
      </c>
      <c r="D346" s="29" t="s">
        <v>577</v>
      </c>
      <c r="E346" s="30">
        <v>45590</v>
      </c>
    </row>
    <row r="347" spans="1:5">
      <c r="A347" s="133" t="s">
        <v>578</v>
      </c>
      <c r="B347" s="134"/>
      <c r="C347" s="29" t="s">
        <v>145</v>
      </c>
      <c r="D347" s="29" t="s">
        <v>578</v>
      </c>
      <c r="E347" s="30">
        <v>45590</v>
      </c>
    </row>
    <row r="348" spans="1:5">
      <c r="A348" s="133" t="s">
        <v>579</v>
      </c>
      <c r="B348" s="134"/>
      <c r="C348" s="29" t="s">
        <v>145</v>
      </c>
      <c r="D348" s="29" t="s">
        <v>579</v>
      </c>
      <c r="E348" s="30">
        <v>45590</v>
      </c>
    </row>
    <row r="349" spans="1:5">
      <c r="A349" s="133" t="s">
        <v>580</v>
      </c>
      <c r="B349" s="134"/>
      <c r="C349" s="29" t="s">
        <v>145</v>
      </c>
      <c r="D349" s="29" t="s">
        <v>580</v>
      </c>
      <c r="E349" s="30">
        <v>45590</v>
      </c>
    </row>
    <row r="350" spans="1:5">
      <c r="A350" s="133" t="s">
        <v>581</v>
      </c>
      <c r="B350" s="134"/>
      <c r="C350" s="29" t="s">
        <v>145</v>
      </c>
      <c r="D350" s="29" t="s">
        <v>581</v>
      </c>
      <c r="E350" s="30">
        <v>45590</v>
      </c>
    </row>
    <row r="351" spans="1:5">
      <c r="A351" s="133" t="s">
        <v>582</v>
      </c>
      <c r="B351" s="134"/>
      <c r="C351" s="29" t="s">
        <v>145</v>
      </c>
      <c r="D351" s="29" t="s">
        <v>582</v>
      </c>
      <c r="E351" s="30">
        <v>45590</v>
      </c>
    </row>
    <row r="352" spans="1:5">
      <c r="A352" s="133" t="s">
        <v>583</v>
      </c>
      <c r="B352" s="134"/>
      <c r="C352" s="29" t="s">
        <v>145</v>
      </c>
      <c r="D352" s="29" t="s">
        <v>583</v>
      </c>
      <c r="E352" s="30">
        <v>45590</v>
      </c>
    </row>
    <row r="353" spans="1:5">
      <c r="A353" s="133" t="s">
        <v>584</v>
      </c>
      <c r="B353" s="134"/>
      <c r="C353" s="29" t="s">
        <v>145</v>
      </c>
      <c r="D353" s="29" t="s">
        <v>585</v>
      </c>
      <c r="E353" s="30">
        <v>45590</v>
      </c>
    </row>
    <row r="354" spans="1:5">
      <c r="A354" s="133" t="s">
        <v>586</v>
      </c>
      <c r="B354" s="134"/>
      <c r="C354" s="29" t="s">
        <v>145</v>
      </c>
      <c r="D354" s="29" t="s">
        <v>587</v>
      </c>
      <c r="E354" s="30">
        <v>45590</v>
      </c>
    </row>
    <row r="355" spans="1:5">
      <c r="A355" s="133" t="s">
        <v>588</v>
      </c>
      <c r="B355" s="134"/>
      <c r="C355" s="29" t="s">
        <v>145</v>
      </c>
      <c r="D355" s="29" t="s">
        <v>588</v>
      </c>
      <c r="E355" s="30">
        <v>45590</v>
      </c>
    </row>
    <row r="356" spans="1:5">
      <c r="A356" s="133" t="s">
        <v>589</v>
      </c>
      <c r="B356" s="134"/>
      <c r="C356" s="29" t="s">
        <v>145</v>
      </c>
      <c r="D356" s="29" t="s">
        <v>590</v>
      </c>
      <c r="E356" s="30">
        <v>45590</v>
      </c>
    </row>
    <row r="357" spans="1:5">
      <c r="A357" s="133" t="s">
        <v>591</v>
      </c>
      <c r="B357" s="134"/>
      <c r="C357" s="29" t="s">
        <v>145</v>
      </c>
      <c r="D357" s="29" t="s">
        <v>591</v>
      </c>
      <c r="E357" s="30">
        <v>45590</v>
      </c>
    </row>
    <row r="358" spans="1:5">
      <c r="A358" s="133" t="s">
        <v>592</v>
      </c>
      <c r="B358" s="134"/>
      <c r="C358" s="29" t="s">
        <v>145</v>
      </c>
      <c r="D358" s="29" t="s">
        <v>593</v>
      </c>
      <c r="E358" s="30">
        <v>45590</v>
      </c>
    </row>
    <row r="359" spans="1:5">
      <c r="A359" s="133" t="s">
        <v>594</v>
      </c>
      <c r="B359" s="134"/>
      <c r="C359" s="29" t="s">
        <v>145</v>
      </c>
      <c r="D359" s="29" t="s">
        <v>595</v>
      </c>
      <c r="E359" s="30">
        <v>45590</v>
      </c>
    </row>
    <row r="360" spans="1:5">
      <c r="A360" s="133" t="s">
        <v>596</v>
      </c>
      <c r="B360" s="134"/>
      <c r="C360" s="29" t="s">
        <v>145</v>
      </c>
      <c r="D360" s="29" t="s">
        <v>596</v>
      </c>
      <c r="E360" s="30">
        <v>45590</v>
      </c>
    </row>
    <row r="361" spans="1:5">
      <c r="A361" s="133" t="s">
        <v>597</v>
      </c>
      <c r="B361" s="134"/>
      <c r="C361" s="29" t="s">
        <v>145</v>
      </c>
      <c r="D361" s="29" t="s">
        <v>597</v>
      </c>
      <c r="E361" s="30">
        <v>45590</v>
      </c>
    </row>
    <row r="362" spans="1:5">
      <c r="A362" s="133" t="s">
        <v>598</v>
      </c>
      <c r="B362" s="134"/>
      <c r="C362" s="29" t="s">
        <v>145</v>
      </c>
      <c r="D362" s="29" t="s">
        <v>598</v>
      </c>
      <c r="E362" s="30">
        <v>45590</v>
      </c>
    </row>
    <row r="363" spans="1:5">
      <c r="A363" s="133" t="s">
        <v>599</v>
      </c>
      <c r="B363" s="134"/>
      <c r="C363" s="29" t="s">
        <v>145</v>
      </c>
      <c r="D363" s="29" t="s">
        <v>599</v>
      </c>
      <c r="E363" s="30">
        <v>45590</v>
      </c>
    </row>
    <row r="364" spans="1:5">
      <c r="A364" s="133" t="s">
        <v>600</v>
      </c>
      <c r="B364" s="134"/>
      <c r="C364" s="29" t="s">
        <v>145</v>
      </c>
      <c r="D364" s="29" t="s">
        <v>601</v>
      </c>
      <c r="E364" s="30">
        <v>45590</v>
      </c>
    </row>
    <row r="365" spans="1:5">
      <c r="A365" s="133" t="s">
        <v>602</v>
      </c>
      <c r="B365" s="134"/>
      <c r="C365" s="29" t="s">
        <v>145</v>
      </c>
      <c r="D365" s="29" t="s">
        <v>602</v>
      </c>
      <c r="E365" s="30">
        <v>45590</v>
      </c>
    </row>
    <row r="366" spans="1:5">
      <c r="A366" s="133" t="s">
        <v>603</v>
      </c>
      <c r="B366" s="134"/>
      <c r="C366" s="29" t="s">
        <v>145</v>
      </c>
      <c r="D366" s="29" t="s">
        <v>603</v>
      </c>
      <c r="E366" s="30">
        <v>45590</v>
      </c>
    </row>
    <row r="367" spans="1:5">
      <c r="A367" s="133" t="s">
        <v>604</v>
      </c>
      <c r="B367" s="134"/>
      <c r="C367" s="29" t="s">
        <v>145</v>
      </c>
      <c r="D367" s="29" t="s">
        <v>604</v>
      </c>
      <c r="E367" s="30">
        <v>45590</v>
      </c>
    </row>
    <row r="368" spans="1:5">
      <c r="A368" s="133" t="s">
        <v>605</v>
      </c>
      <c r="B368" s="134"/>
      <c r="C368" s="29" t="s">
        <v>145</v>
      </c>
      <c r="D368" s="29" t="s">
        <v>605</v>
      </c>
      <c r="E368" s="30">
        <v>45590</v>
      </c>
    </row>
    <row r="369" spans="1:5">
      <c r="A369" s="133" t="s">
        <v>606</v>
      </c>
      <c r="B369" s="134"/>
      <c r="C369" s="29" t="s">
        <v>145</v>
      </c>
      <c r="D369" s="29" t="s">
        <v>606</v>
      </c>
      <c r="E369" s="30">
        <v>45590</v>
      </c>
    </row>
    <row r="370" spans="1:5">
      <c r="A370" s="133" t="s">
        <v>607</v>
      </c>
      <c r="B370" s="134"/>
      <c r="C370" s="29" t="s">
        <v>145</v>
      </c>
      <c r="D370" s="29" t="s">
        <v>607</v>
      </c>
      <c r="E370" s="30">
        <v>45590</v>
      </c>
    </row>
    <row r="371" spans="1:5">
      <c r="A371" s="133" t="s">
        <v>608</v>
      </c>
      <c r="B371" s="134"/>
      <c r="C371" s="29" t="s">
        <v>145</v>
      </c>
      <c r="D371" s="29" t="s">
        <v>609</v>
      </c>
      <c r="E371" s="30">
        <v>45590</v>
      </c>
    </row>
    <row r="372" spans="1:5">
      <c r="A372" s="133" t="s">
        <v>610</v>
      </c>
      <c r="B372" s="134"/>
      <c r="C372" s="29" t="s">
        <v>145</v>
      </c>
      <c r="D372" s="29" t="s">
        <v>610</v>
      </c>
      <c r="E372" s="30">
        <v>45590</v>
      </c>
    </row>
    <row r="373" spans="1:5">
      <c r="A373" s="133" t="s">
        <v>611</v>
      </c>
      <c r="B373" s="134"/>
      <c r="C373" s="29" t="s">
        <v>145</v>
      </c>
      <c r="D373" s="29" t="s">
        <v>612</v>
      </c>
      <c r="E373" s="30">
        <v>45590</v>
      </c>
    </row>
    <row r="374" spans="1:5">
      <c r="A374" s="133" t="s">
        <v>613</v>
      </c>
      <c r="B374" s="134"/>
      <c r="C374" s="29" t="s">
        <v>145</v>
      </c>
      <c r="D374" s="29" t="s">
        <v>614</v>
      </c>
      <c r="E374" s="30">
        <v>45590</v>
      </c>
    </row>
    <row r="375" spans="1:5">
      <c r="A375" s="133" t="s">
        <v>615</v>
      </c>
      <c r="B375" s="134"/>
      <c r="C375" s="29" t="s">
        <v>145</v>
      </c>
      <c r="D375" s="29" t="s">
        <v>615</v>
      </c>
      <c r="E375" s="30">
        <v>45590</v>
      </c>
    </row>
    <row r="376" spans="1:5">
      <c r="A376" s="133" t="s">
        <v>616</v>
      </c>
      <c r="B376" s="134"/>
      <c r="C376" s="29" t="s">
        <v>145</v>
      </c>
      <c r="D376" s="29" t="s">
        <v>616</v>
      </c>
      <c r="E376" s="30">
        <v>45590</v>
      </c>
    </row>
    <row r="377" spans="1:5">
      <c r="A377" s="133" t="s">
        <v>617</v>
      </c>
      <c r="B377" s="134"/>
      <c r="C377" s="29" t="s">
        <v>23</v>
      </c>
      <c r="D377" s="29" t="s">
        <v>618</v>
      </c>
      <c r="E377" s="30">
        <v>45590</v>
      </c>
    </row>
    <row r="378" spans="1:5">
      <c r="A378" s="133" t="s">
        <v>619</v>
      </c>
      <c r="B378" s="134"/>
      <c r="C378" s="29" t="s">
        <v>23</v>
      </c>
      <c r="D378" s="29" t="s">
        <v>620</v>
      </c>
      <c r="E378" s="30">
        <v>45590</v>
      </c>
    </row>
    <row r="379" spans="1:5">
      <c r="A379" s="133" t="s">
        <v>621</v>
      </c>
      <c r="B379" s="134"/>
      <c r="C379" s="29" t="s">
        <v>145</v>
      </c>
      <c r="D379" s="29" t="s">
        <v>622</v>
      </c>
      <c r="E379" s="30">
        <v>45590</v>
      </c>
    </row>
    <row r="380" spans="1:5">
      <c r="A380" s="133" t="s">
        <v>623</v>
      </c>
      <c r="B380" s="134"/>
      <c r="C380" s="29" t="s">
        <v>23</v>
      </c>
      <c r="D380" s="29" t="s">
        <v>624</v>
      </c>
      <c r="E380" s="30">
        <v>45590</v>
      </c>
    </row>
    <row r="381" spans="1:5">
      <c r="A381" s="133" t="s">
        <v>625</v>
      </c>
      <c r="B381" s="134"/>
      <c r="C381" s="29" t="s">
        <v>23</v>
      </c>
      <c r="D381" s="29" t="s">
        <v>624</v>
      </c>
      <c r="E381" s="30">
        <v>45590</v>
      </c>
    </row>
    <row r="382" spans="1:5">
      <c r="A382" s="133" t="s">
        <v>626</v>
      </c>
      <c r="B382" s="134"/>
      <c r="C382" s="29" t="s">
        <v>23</v>
      </c>
      <c r="D382" s="29" t="s">
        <v>627</v>
      </c>
      <c r="E382" s="30">
        <v>45590</v>
      </c>
    </row>
    <row r="383" spans="1:5">
      <c r="A383" s="133" t="s">
        <v>626</v>
      </c>
      <c r="B383" s="134"/>
      <c r="C383" s="29" t="s">
        <v>23</v>
      </c>
      <c r="D383" s="29" t="s">
        <v>628</v>
      </c>
      <c r="E383" s="30">
        <v>45590</v>
      </c>
    </row>
    <row r="384" spans="1:5">
      <c r="A384" s="133" t="s">
        <v>626</v>
      </c>
      <c r="B384" s="134"/>
      <c r="C384" s="29" t="s">
        <v>23</v>
      </c>
      <c r="D384" s="29" t="s">
        <v>629</v>
      </c>
      <c r="E384" s="30">
        <v>45590</v>
      </c>
    </row>
    <row r="385" spans="1:5">
      <c r="A385" s="133" t="s">
        <v>630</v>
      </c>
      <c r="B385" s="134"/>
      <c r="C385" s="29" t="s">
        <v>145</v>
      </c>
      <c r="D385" s="29" t="s">
        <v>631</v>
      </c>
      <c r="E385" s="30">
        <v>45590</v>
      </c>
    </row>
    <row r="386" spans="1:5">
      <c r="A386" s="133" t="s">
        <v>632</v>
      </c>
      <c r="B386" s="134"/>
      <c r="C386" s="29" t="s">
        <v>145</v>
      </c>
      <c r="D386" s="29" t="s">
        <v>633</v>
      </c>
      <c r="E386" s="30">
        <v>45590</v>
      </c>
    </row>
    <row r="387" spans="1:5">
      <c r="A387" s="133" t="s">
        <v>634</v>
      </c>
      <c r="B387" s="134"/>
      <c r="C387" s="29" t="s">
        <v>145</v>
      </c>
      <c r="D387" s="29" t="s">
        <v>635</v>
      </c>
      <c r="E387" s="30">
        <v>45590</v>
      </c>
    </row>
    <row r="388" spans="1:5">
      <c r="A388" s="133" t="s">
        <v>636</v>
      </c>
      <c r="B388" s="134"/>
      <c r="C388" s="29" t="s">
        <v>145</v>
      </c>
      <c r="D388" s="29" t="s">
        <v>636</v>
      </c>
      <c r="E388" s="30">
        <v>45590</v>
      </c>
    </row>
    <row r="389" spans="1:5">
      <c r="A389" s="133" t="s">
        <v>637</v>
      </c>
      <c r="B389" s="134"/>
      <c r="C389" s="29" t="s">
        <v>145</v>
      </c>
      <c r="D389" s="29" t="s">
        <v>638</v>
      </c>
      <c r="E389" s="30">
        <v>45590</v>
      </c>
    </row>
    <row r="390" spans="1:5">
      <c r="A390" s="133" t="s">
        <v>639</v>
      </c>
      <c r="B390" s="134"/>
      <c r="C390" s="29" t="s">
        <v>145</v>
      </c>
      <c r="D390" s="29" t="s">
        <v>640</v>
      </c>
      <c r="E390" s="30">
        <v>45590</v>
      </c>
    </row>
    <row r="391" spans="1:5">
      <c r="A391" s="133" t="s">
        <v>641</v>
      </c>
      <c r="B391" s="134"/>
      <c r="C391" s="29" t="s">
        <v>145</v>
      </c>
      <c r="D391" s="29" t="s">
        <v>642</v>
      </c>
      <c r="E391" s="30">
        <v>45590</v>
      </c>
    </row>
    <row r="392" spans="1:5">
      <c r="A392" s="133" t="s">
        <v>643</v>
      </c>
      <c r="B392" s="134"/>
      <c r="C392" s="29" t="s">
        <v>145</v>
      </c>
      <c r="D392" s="29" t="s">
        <v>644</v>
      </c>
      <c r="E392" s="30">
        <v>45590</v>
      </c>
    </row>
    <row r="393" spans="1:5">
      <c r="A393" s="133" t="s">
        <v>645</v>
      </c>
      <c r="B393" s="134"/>
      <c r="C393" s="29" t="s">
        <v>145</v>
      </c>
      <c r="D393" s="29" t="s">
        <v>646</v>
      </c>
      <c r="E393" s="30">
        <v>45590</v>
      </c>
    </row>
    <row r="394" spans="1:5">
      <c r="A394" s="133" t="s">
        <v>647</v>
      </c>
      <c r="B394" s="134"/>
      <c r="C394" s="29" t="s">
        <v>145</v>
      </c>
      <c r="D394" s="29" t="s">
        <v>648</v>
      </c>
      <c r="E394" s="30">
        <v>45590</v>
      </c>
    </row>
    <row r="395" spans="1:5">
      <c r="A395" s="133" t="s">
        <v>649</v>
      </c>
      <c r="B395" s="134"/>
      <c r="C395" s="29" t="s">
        <v>145</v>
      </c>
      <c r="D395" s="29" t="s">
        <v>649</v>
      </c>
      <c r="E395" s="30">
        <v>45590</v>
      </c>
    </row>
    <row r="396" spans="1:5">
      <c r="A396" s="133" t="s">
        <v>650</v>
      </c>
      <c r="B396" s="134"/>
      <c r="C396" s="29" t="s">
        <v>145</v>
      </c>
      <c r="D396" s="29" t="s">
        <v>650</v>
      </c>
      <c r="E396" s="30">
        <v>45590</v>
      </c>
    </row>
    <row r="397" spans="1:5">
      <c r="A397" s="133" t="s">
        <v>651</v>
      </c>
      <c r="B397" s="134"/>
      <c r="C397" s="29" t="s">
        <v>145</v>
      </c>
      <c r="D397" s="29" t="s">
        <v>652</v>
      </c>
      <c r="E397" s="30">
        <v>45590</v>
      </c>
    </row>
    <row r="398" spans="1:5">
      <c r="A398" s="133" t="s">
        <v>653</v>
      </c>
      <c r="B398" s="134"/>
      <c r="C398" s="29" t="s">
        <v>145</v>
      </c>
      <c r="D398" s="29" t="s">
        <v>654</v>
      </c>
      <c r="E398" s="30">
        <v>45590</v>
      </c>
    </row>
    <row r="399" spans="1:5">
      <c r="A399" s="133" t="s">
        <v>655</v>
      </c>
      <c r="B399" s="134"/>
      <c r="C399" s="29" t="s">
        <v>145</v>
      </c>
      <c r="D399" s="29" t="s">
        <v>656</v>
      </c>
      <c r="E399" s="30">
        <v>45590</v>
      </c>
    </row>
    <row r="400" spans="1:5">
      <c r="A400" s="133" t="s">
        <v>657</v>
      </c>
      <c r="B400" s="134"/>
      <c r="C400" s="29" t="s">
        <v>145</v>
      </c>
      <c r="D400" s="29" t="s">
        <v>658</v>
      </c>
      <c r="E400" s="30">
        <v>45590</v>
      </c>
    </row>
    <row r="401" spans="1:5">
      <c r="A401" s="133" t="s">
        <v>659</v>
      </c>
      <c r="B401" s="134"/>
      <c r="C401" s="29" t="s">
        <v>145</v>
      </c>
      <c r="D401" s="29" t="s">
        <v>660</v>
      </c>
      <c r="E401" s="30">
        <v>45590</v>
      </c>
    </row>
    <row r="402" spans="1:5">
      <c r="A402" s="133" t="s">
        <v>661</v>
      </c>
      <c r="B402" s="134"/>
      <c r="C402" s="29" t="s">
        <v>145</v>
      </c>
      <c r="D402" s="29" t="s">
        <v>662</v>
      </c>
      <c r="E402" s="30">
        <v>45590</v>
      </c>
    </row>
    <row r="403" spans="1:5">
      <c r="A403" s="133" t="s">
        <v>663</v>
      </c>
      <c r="B403" s="134"/>
      <c r="C403" s="29" t="s">
        <v>145</v>
      </c>
      <c r="D403" s="29" t="s">
        <v>663</v>
      </c>
      <c r="E403" s="30">
        <v>45590</v>
      </c>
    </row>
    <row r="404" spans="1:5">
      <c r="A404" s="133" t="s">
        <v>664</v>
      </c>
      <c r="B404" s="134"/>
      <c r="C404" s="29" t="s">
        <v>145</v>
      </c>
      <c r="D404" s="29" t="s">
        <v>665</v>
      </c>
      <c r="E404" s="30">
        <v>45590</v>
      </c>
    </row>
    <row r="405" spans="1:5">
      <c r="A405" s="133" t="s">
        <v>666</v>
      </c>
      <c r="B405" s="134"/>
      <c r="C405" s="29" t="s">
        <v>145</v>
      </c>
      <c r="D405" s="29" t="s">
        <v>667</v>
      </c>
      <c r="E405" s="30">
        <v>45590</v>
      </c>
    </row>
    <row r="406" spans="1:5">
      <c r="A406" s="133" t="s">
        <v>668</v>
      </c>
      <c r="B406" s="134"/>
      <c r="C406" s="29" t="s">
        <v>145</v>
      </c>
      <c r="D406" s="29" t="s">
        <v>669</v>
      </c>
      <c r="E406" s="30">
        <v>45590</v>
      </c>
    </row>
    <row r="407" spans="1:5">
      <c r="A407" s="133" t="s">
        <v>670</v>
      </c>
      <c r="B407" s="134"/>
      <c r="C407" s="29" t="s">
        <v>145</v>
      </c>
      <c r="D407" s="29" t="s">
        <v>670</v>
      </c>
      <c r="E407" s="30">
        <v>45590</v>
      </c>
    </row>
    <row r="408" spans="1:5">
      <c r="A408" s="133" t="s">
        <v>671</v>
      </c>
      <c r="B408" s="134"/>
      <c r="C408" s="29" t="s">
        <v>145</v>
      </c>
      <c r="D408" s="29" t="s">
        <v>672</v>
      </c>
      <c r="E408" s="30">
        <v>45590</v>
      </c>
    </row>
    <row r="409" spans="1:5">
      <c r="A409" s="133" t="s">
        <v>673</v>
      </c>
      <c r="B409" s="134"/>
      <c r="C409" s="29" t="s">
        <v>145</v>
      </c>
      <c r="D409" s="29" t="s">
        <v>673</v>
      </c>
      <c r="E409" s="30">
        <v>45590</v>
      </c>
    </row>
    <row r="410" spans="1:5">
      <c r="A410" s="133" t="s">
        <v>674</v>
      </c>
      <c r="B410" s="134"/>
      <c r="C410" s="29" t="s">
        <v>145</v>
      </c>
      <c r="D410" s="29" t="s">
        <v>674</v>
      </c>
      <c r="E410" s="30">
        <v>45590</v>
      </c>
    </row>
    <row r="411" spans="1:5">
      <c r="A411" s="133" t="s">
        <v>675</v>
      </c>
      <c r="B411" s="134"/>
      <c r="C411" s="29" t="s">
        <v>145</v>
      </c>
      <c r="D411" s="29" t="s">
        <v>675</v>
      </c>
      <c r="E411" s="30">
        <v>45590</v>
      </c>
    </row>
    <row r="412" spans="1:5">
      <c r="A412" s="133" t="s">
        <v>676</v>
      </c>
      <c r="B412" s="134"/>
      <c r="C412" s="29" t="s">
        <v>145</v>
      </c>
      <c r="D412" s="29" t="s">
        <v>676</v>
      </c>
      <c r="E412" s="30">
        <v>45590</v>
      </c>
    </row>
    <row r="413" spans="1:5">
      <c r="A413" s="133" t="s">
        <v>677</v>
      </c>
      <c r="B413" s="134"/>
      <c r="C413" s="29" t="s">
        <v>145</v>
      </c>
      <c r="D413" s="29" t="s">
        <v>678</v>
      </c>
      <c r="E413" s="30">
        <v>45590</v>
      </c>
    </row>
    <row r="414" spans="1:5">
      <c r="A414" s="133" t="s">
        <v>679</v>
      </c>
      <c r="B414" s="134"/>
      <c r="C414" s="29" t="s">
        <v>145</v>
      </c>
      <c r="D414" s="29" t="s">
        <v>679</v>
      </c>
      <c r="E414" s="30">
        <v>45590</v>
      </c>
    </row>
    <row r="415" spans="1:5">
      <c r="A415" s="133" t="s">
        <v>680</v>
      </c>
      <c r="B415" s="134"/>
      <c r="C415" s="29" t="s">
        <v>145</v>
      </c>
      <c r="D415" s="29" t="s">
        <v>681</v>
      </c>
      <c r="E415" s="30">
        <v>45590</v>
      </c>
    </row>
    <row r="416" spans="1:5">
      <c r="A416" s="133" t="s">
        <v>682</v>
      </c>
      <c r="B416" s="134"/>
      <c r="C416" s="29" t="s">
        <v>145</v>
      </c>
      <c r="D416" s="29" t="s">
        <v>682</v>
      </c>
      <c r="E416" s="30">
        <v>45590</v>
      </c>
    </row>
    <row r="417" spans="1:5">
      <c r="A417" s="133" t="s">
        <v>683</v>
      </c>
      <c r="B417" s="134"/>
      <c r="C417" s="29" t="s">
        <v>145</v>
      </c>
      <c r="D417" s="29" t="s">
        <v>684</v>
      </c>
      <c r="E417" s="30">
        <v>45590</v>
      </c>
    </row>
    <row r="418" spans="1:5">
      <c r="A418" s="133" t="s">
        <v>685</v>
      </c>
      <c r="B418" s="134"/>
      <c r="C418" s="29" t="s">
        <v>145</v>
      </c>
      <c r="D418" s="29" t="s">
        <v>686</v>
      </c>
      <c r="E418" s="30">
        <v>45590</v>
      </c>
    </row>
    <row r="419" spans="1:5">
      <c r="A419" s="133" t="s">
        <v>687</v>
      </c>
      <c r="B419" s="134"/>
      <c r="C419" s="29" t="s">
        <v>145</v>
      </c>
      <c r="D419" s="29" t="s">
        <v>687</v>
      </c>
      <c r="E419" s="30">
        <v>45590</v>
      </c>
    </row>
    <row r="420" spans="1:5">
      <c r="A420" s="133" t="s">
        <v>688</v>
      </c>
      <c r="B420" s="134"/>
      <c r="C420" s="29" t="s">
        <v>145</v>
      </c>
      <c r="D420" s="29" t="s">
        <v>688</v>
      </c>
      <c r="E420" s="30">
        <v>45590</v>
      </c>
    </row>
    <row r="421" spans="1:5">
      <c r="A421" s="133" t="s">
        <v>689</v>
      </c>
      <c r="B421" s="134"/>
      <c r="C421" s="29" t="s">
        <v>40</v>
      </c>
      <c r="D421" s="29" t="s">
        <v>690</v>
      </c>
      <c r="E421" s="30">
        <v>45593</v>
      </c>
    </row>
    <row r="422" spans="1:5">
      <c r="A422" s="133" t="s">
        <v>691</v>
      </c>
      <c r="B422" s="134"/>
      <c r="C422" s="29" t="s">
        <v>50</v>
      </c>
      <c r="D422" s="29" t="s">
        <v>692</v>
      </c>
      <c r="E422" s="30">
        <v>45593</v>
      </c>
    </row>
    <row r="423" spans="1:5">
      <c r="A423" s="133" t="s">
        <v>693</v>
      </c>
      <c r="B423" s="134"/>
      <c r="C423" s="29" t="s">
        <v>40</v>
      </c>
      <c r="D423" s="29" t="s">
        <v>694</v>
      </c>
      <c r="E423" s="30">
        <v>45593</v>
      </c>
    </row>
    <row r="424" spans="1:5">
      <c r="A424" s="133" t="s">
        <v>695</v>
      </c>
      <c r="B424" s="134"/>
      <c r="C424" s="29" t="s">
        <v>40</v>
      </c>
      <c r="D424" s="29" t="s">
        <v>696</v>
      </c>
      <c r="E424" s="30">
        <v>45593</v>
      </c>
    </row>
    <row r="425" spans="1:5">
      <c r="A425" s="133" t="s">
        <v>697</v>
      </c>
      <c r="B425" s="134"/>
      <c r="C425" s="29" t="s">
        <v>50</v>
      </c>
      <c r="D425" s="29" t="s">
        <v>698</v>
      </c>
      <c r="E425" s="30">
        <v>45593</v>
      </c>
    </row>
    <row r="426" spans="1:5">
      <c r="A426" s="133" t="s">
        <v>699</v>
      </c>
      <c r="B426" s="134"/>
      <c r="C426" s="29" t="s">
        <v>40</v>
      </c>
      <c r="D426" s="29" t="s">
        <v>700</v>
      </c>
      <c r="E426" s="30">
        <v>45593</v>
      </c>
    </row>
    <row r="427" spans="1:5">
      <c r="A427" s="133" t="s">
        <v>701</v>
      </c>
      <c r="B427" s="134"/>
      <c r="C427" s="29" t="s">
        <v>40</v>
      </c>
      <c r="D427" s="29" t="s">
        <v>702</v>
      </c>
      <c r="E427" s="30">
        <v>45593</v>
      </c>
    </row>
    <row r="428" spans="1:5">
      <c r="A428" s="133" t="s">
        <v>703</v>
      </c>
      <c r="B428" s="134"/>
      <c r="C428" s="29" t="s">
        <v>50</v>
      </c>
      <c r="D428" s="29" t="s">
        <v>704</v>
      </c>
      <c r="E428" s="30">
        <v>45593</v>
      </c>
    </row>
    <row r="429" spans="1:5">
      <c r="A429" s="133" t="s">
        <v>705</v>
      </c>
      <c r="B429" s="134"/>
      <c r="C429" s="29" t="s">
        <v>40</v>
      </c>
      <c r="D429" s="29" t="s">
        <v>706</v>
      </c>
      <c r="E429" s="30">
        <v>45593</v>
      </c>
    </row>
    <row r="430" spans="1:5">
      <c r="A430" s="133" t="s">
        <v>707</v>
      </c>
      <c r="B430" s="134"/>
      <c r="C430" s="29" t="s">
        <v>40</v>
      </c>
      <c r="D430" s="29" t="s">
        <v>700</v>
      </c>
      <c r="E430" s="30">
        <v>45593</v>
      </c>
    </row>
    <row r="431" spans="1:5">
      <c r="A431" s="133" t="s">
        <v>708</v>
      </c>
      <c r="B431" s="134"/>
      <c r="C431" s="29" t="s">
        <v>40</v>
      </c>
      <c r="D431" s="29" t="s">
        <v>709</v>
      </c>
      <c r="E431" s="30">
        <v>45593</v>
      </c>
    </row>
    <row r="432" spans="1:5">
      <c r="A432" s="133" t="s">
        <v>710</v>
      </c>
      <c r="B432" s="134"/>
      <c r="C432" s="29" t="s">
        <v>40</v>
      </c>
      <c r="D432" s="29" t="s">
        <v>711</v>
      </c>
      <c r="E432" s="30">
        <v>45593</v>
      </c>
    </row>
    <row r="433" spans="1:5">
      <c r="A433" s="133" t="s">
        <v>712</v>
      </c>
      <c r="B433" s="134"/>
      <c r="C433" s="29" t="s">
        <v>40</v>
      </c>
      <c r="D433" s="29" t="s">
        <v>713</v>
      </c>
      <c r="E433" s="30">
        <v>45593</v>
      </c>
    </row>
    <row r="434" spans="1:5">
      <c r="A434" s="133" t="s">
        <v>714</v>
      </c>
      <c r="B434" s="134"/>
      <c r="C434" s="29" t="s">
        <v>40</v>
      </c>
      <c r="D434" s="29" t="s">
        <v>715</v>
      </c>
      <c r="E434" s="30">
        <v>45593</v>
      </c>
    </row>
    <row r="435" spans="1:5">
      <c r="A435" s="133" t="s">
        <v>716</v>
      </c>
      <c r="B435" s="134"/>
      <c r="C435" s="29" t="s">
        <v>50</v>
      </c>
      <c r="D435" s="29" t="s">
        <v>716</v>
      </c>
      <c r="E435" s="30">
        <v>45593</v>
      </c>
    </row>
    <row r="436" spans="1:5">
      <c r="A436" s="133" t="s">
        <v>717</v>
      </c>
      <c r="B436" s="134"/>
      <c r="C436" s="29" t="s">
        <v>40</v>
      </c>
      <c r="D436" s="29" t="s">
        <v>718</v>
      </c>
      <c r="E436" s="30">
        <v>45593</v>
      </c>
    </row>
    <row r="437" spans="1:5">
      <c r="A437" s="133" t="s">
        <v>719</v>
      </c>
      <c r="B437" s="134"/>
      <c r="C437" s="29" t="s">
        <v>40</v>
      </c>
      <c r="D437" s="29" t="s">
        <v>720</v>
      </c>
      <c r="E437" s="30">
        <v>45593</v>
      </c>
    </row>
    <row r="438" spans="1:5">
      <c r="A438" s="133" t="s">
        <v>721</v>
      </c>
      <c r="B438" s="134"/>
      <c r="C438" s="29" t="s">
        <v>40</v>
      </c>
      <c r="D438" s="29" t="s">
        <v>700</v>
      </c>
      <c r="E438" s="30">
        <v>45593</v>
      </c>
    </row>
    <row r="439" spans="1:5">
      <c r="A439" s="133" t="s">
        <v>717</v>
      </c>
      <c r="B439" s="134"/>
      <c r="C439" s="29" t="s">
        <v>40</v>
      </c>
      <c r="D439" s="29" t="s">
        <v>718</v>
      </c>
      <c r="E439" s="30">
        <v>45593</v>
      </c>
    </row>
    <row r="440" spans="1:5">
      <c r="A440" s="133" t="s">
        <v>722</v>
      </c>
      <c r="B440" s="134"/>
      <c r="C440" s="29" t="s">
        <v>40</v>
      </c>
      <c r="D440" s="29" t="s">
        <v>723</v>
      </c>
      <c r="E440" s="30">
        <v>45593</v>
      </c>
    </row>
    <row r="441" spans="1:5">
      <c r="A441" s="133" t="s">
        <v>724</v>
      </c>
      <c r="B441" s="134"/>
      <c r="C441" s="29" t="s">
        <v>40</v>
      </c>
      <c r="D441" s="29" t="s">
        <v>725</v>
      </c>
      <c r="E441" s="30">
        <v>45593</v>
      </c>
    </row>
    <row r="442" spans="1:5">
      <c r="A442" s="133" t="s">
        <v>726</v>
      </c>
      <c r="B442" s="134"/>
      <c r="C442" s="29" t="s">
        <v>40</v>
      </c>
      <c r="D442" s="29" t="s">
        <v>727</v>
      </c>
      <c r="E442" s="30">
        <v>45593</v>
      </c>
    </row>
    <row r="443" spans="1:5">
      <c r="A443" s="133" t="s">
        <v>728</v>
      </c>
      <c r="B443" s="134"/>
      <c r="C443" s="29" t="s">
        <v>40</v>
      </c>
      <c r="D443" s="29" t="s">
        <v>700</v>
      </c>
      <c r="E443" s="30">
        <v>45593</v>
      </c>
    </row>
    <row r="444" spans="1:5">
      <c r="A444" s="133" t="s">
        <v>729</v>
      </c>
      <c r="B444" s="134"/>
      <c r="C444" s="29" t="s">
        <v>40</v>
      </c>
      <c r="D444" s="29" t="s">
        <v>730</v>
      </c>
      <c r="E444" s="30">
        <v>45593</v>
      </c>
    </row>
    <row r="445" spans="1:5">
      <c r="A445" s="133" t="s">
        <v>731</v>
      </c>
      <c r="B445" s="134"/>
      <c r="C445" s="29" t="s">
        <v>50</v>
      </c>
      <c r="D445" s="29" t="s">
        <v>732</v>
      </c>
      <c r="E445" s="30">
        <v>45593</v>
      </c>
    </row>
    <row r="446" spans="1:5">
      <c r="A446" s="133" t="s">
        <v>733</v>
      </c>
      <c r="B446" s="134"/>
      <c r="C446" s="29" t="s">
        <v>40</v>
      </c>
      <c r="D446" s="29" t="s">
        <v>734</v>
      </c>
      <c r="E446" s="30">
        <v>45593</v>
      </c>
    </row>
    <row r="447" spans="1:5">
      <c r="A447" s="133" t="s">
        <v>735</v>
      </c>
      <c r="B447" s="134"/>
      <c r="C447" s="29" t="s">
        <v>40</v>
      </c>
      <c r="D447" s="29" t="s">
        <v>736</v>
      </c>
      <c r="E447" s="30">
        <v>45593</v>
      </c>
    </row>
    <row r="448" spans="1:5">
      <c r="A448" s="133" t="s">
        <v>737</v>
      </c>
      <c r="B448" s="134"/>
      <c r="C448" s="29" t="s">
        <v>40</v>
      </c>
      <c r="D448" s="29" t="s">
        <v>738</v>
      </c>
      <c r="E448" s="30">
        <v>45593</v>
      </c>
    </row>
    <row r="449" spans="1:5">
      <c r="A449" s="133" t="s">
        <v>739</v>
      </c>
      <c r="B449" s="134"/>
      <c r="C449" s="29" t="s">
        <v>50</v>
      </c>
      <c r="D449" s="29" t="s">
        <v>740</v>
      </c>
      <c r="E449" s="30">
        <v>45593</v>
      </c>
    </row>
    <row r="450" spans="1:5">
      <c r="A450" s="133" t="s">
        <v>741</v>
      </c>
      <c r="B450" s="134"/>
      <c r="C450" s="29" t="s">
        <v>40</v>
      </c>
      <c r="D450" s="29" t="s">
        <v>742</v>
      </c>
      <c r="E450" s="30">
        <v>45593</v>
      </c>
    </row>
    <row r="451" spans="1:5">
      <c r="A451" s="133" t="s">
        <v>743</v>
      </c>
      <c r="B451" s="134"/>
      <c r="C451" s="29" t="s">
        <v>40</v>
      </c>
      <c r="D451" s="29" t="s">
        <v>744</v>
      </c>
      <c r="E451" s="30">
        <v>45593</v>
      </c>
    </row>
    <row r="452" spans="1:5">
      <c r="A452" s="133" t="s">
        <v>745</v>
      </c>
      <c r="B452" s="134"/>
      <c r="C452" s="29" t="s">
        <v>40</v>
      </c>
      <c r="D452" s="29" t="s">
        <v>746</v>
      </c>
      <c r="E452" s="30">
        <v>45593</v>
      </c>
    </row>
    <row r="453" spans="1:5">
      <c r="A453" s="133" t="s">
        <v>747</v>
      </c>
      <c r="B453" s="134"/>
      <c r="C453" s="29" t="s">
        <v>40</v>
      </c>
      <c r="D453" s="29" t="s">
        <v>725</v>
      </c>
      <c r="E453" s="30">
        <v>45593</v>
      </c>
    </row>
    <row r="454" spans="1:5">
      <c r="A454" s="133" t="s">
        <v>748</v>
      </c>
      <c r="B454" s="134"/>
      <c r="C454" s="29" t="s">
        <v>50</v>
      </c>
      <c r="D454" s="29" t="s">
        <v>749</v>
      </c>
      <c r="E454" s="30">
        <v>45593</v>
      </c>
    </row>
    <row r="455" spans="1:5">
      <c r="A455" s="133" t="s">
        <v>750</v>
      </c>
      <c r="B455" s="134"/>
      <c r="C455" s="29" t="s">
        <v>40</v>
      </c>
      <c r="D455" s="29" t="s">
        <v>45</v>
      </c>
      <c r="E455" s="30">
        <v>45593</v>
      </c>
    </row>
    <row r="456" spans="1:5">
      <c r="A456" s="133" t="s">
        <v>751</v>
      </c>
      <c r="B456" s="134"/>
      <c r="C456" s="29" t="s">
        <v>40</v>
      </c>
      <c r="D456" s="29" t="s">
        <v>752</v>
      </c>
      <c r="E456" s="30">
        <v>45593</v>
      </c>
    </row>
    <row r="457" spans="1:5">
      <c r="A457" s="133" t="s">
        <v>753</v>
      </c>
      <c r="B457" s="134"/>
      <c r="C457" s="29" t="s">
        <v>40</v>
      </c>
      <c r="D457" s="29" t="s">
        <v>754</v>
      </c>
      <c r="E457" s="30">
        <v>45593</v>
      </c>
    </row>
    <row r="458" spans="1:5">
      <c r="A458" s="133" t="s">
        <v>755</v>
      </c>
      <c r="B458" s="134"/>
      <c r="C458" s="29" t="s">
        <v>40</v>
      </c>
      <c r="D458" s="29" t="s">
        <v>756</v>
      </c>
      <c r="E458" s="30">
        <v>45593</v>
      </c>
    </row>
    <row r="459" spans="1:5">
      <c r="A459" s="133" t="s">
        <v>757</v>
      </c>
      <c r="B459" s="134"/>
      <c r="C459" s="29" t="s">
        <v>40</v>
      </c>
      <c r="D459" s="29" t="s">
        <v>758</v>
      </c>
      <c r="E459" s="30">
        <v>45593</v>
      </c>
    </row>
    <row r="460" spans="1:5">
      <c r="A460" s="133" t="s">
        <v>759</v>
      </c>
      <c r="B460" s="134"/>
      <c r="C460" s="29" t="s">
        <v>40</v>
      </c>
      <c r="D460" s="29" t="s">
        <v>193</v>
      </c>
      <c r="E460" s="30">
        <v>45593</v>
      </c>
    </row>
    <row r="461" spans="1:5">
      <c r="A461" s="133" t="s">
        <v>760</v>
      </c>
      <c r="B461" s="134"/>
      <c r="C461" s="29" t="s">
        <v>40</v>
      </c>
      <c r="D461" s="29" t="s">
        <v>761</v>
      </c>
      <c r="E461" s="30">
        <v>45593</v>
      </c>
    </row>
    <row r="462" spans="1:5">
      <c r="A462" s="133" t="s">
        <v>762</v>
      </c>
      <c r="B462" s="134"/>
      <c r="C462" s="29" t="s">
        <v>40</v>
      </c>
      <c r="D462" s="29" t="s">
        <v>763</v>
      </c>
      <c r="E462" s="30">
        <v>45593</v>
      </c>
    </row>
    <row r="463" spans="1:5">
      <c r="A463" s="133" t="s">
        <v>764</v>
      </c>
      <c r="B463" s="134"/>
      <c r="C463" s="29" t="s">
        <v>50</v>
      </c>
      <c r="D463" s="29" t="s">
        <v>765</v>
      </c>
      <c r="E463" s="30">
        <v>45593</v>
      </c>
    </row>
    <row r="464" spans="1:5">
      <c r="A464" s="133" t="s">
        <v>766</v>
      </c>
      <c r="B464" s="134"/>
      <c r="C464" s="29" t="s">
        <v>50</v>
      </c>
      <c r="D464" s="29" t="s">
        <v>767</v>
      </c>
      <c r="E464" s="30">
        <v>45593</v>
      </c>
    </row>
    <row r="465" spans="1:5">
      <c r="A465" s="133" t="s">
        <v>768</v>
      </c>
      <c r="B465" s="134"/>
      <c r="C465" s="29" t="s">
        <v>50</v>
      </c>
      <c r="D465" s="29" t="s">
        <v>769</v>
      </c>
      <c r="E465" s="30">
        <v>45593</v>
      </c>
    </row>
    <row r="466" spans="1:5">
      <c r="A466" s="133" t="s">
        <v>770</v>
      </c>
      <c r="B466" s="134"/>
      <c r="C466" s="29" t="s">
        <v>50</v>
      </c>
      <c r="D466" s="29" t="s">
        <v>771</v>
      </c>
      <c r="E466" s="30">
        <v>45593</v>
      </c>
    </row>
    <row r="467" spans="1:5">
      <c r="A467" s="133" t="s">
        <v>772</v>
      </c>
      <c r="B467" s="134"/>
      <c r="C467" s="29" t="s">
        <v>40</v>
      </c>
      <c r="D467" s="29" t="s">
        <v>718</v>
      </c>
      <c r="E467" s="30">
        <v>45593</v>
      </c>
    </row>
    <row r="468" spans="1:5">
      <c r="A468" s="133" t="s">
        <v>773</v>
      </c>
      <c r="B468" s="134"/>
      <c r="C468" s="29" t="s">
        <v>50</v>
      </c>
      <c r="D468" s="29" t="s">
        <v>774</v>
      </c>
      <c r="E468" s="30">
        <v>45593</v>
      </c>
    </row>
    <row r="469" spans="1:5">
      <c r="A469" s="133" t="s">
        <v>775</v>
      </c>
      <c r="B469" s="134"/>
      <c r="C469" s="29" t="s">
        <v>40</v>
      </c>
      <c r="D469" s="29" t="s">
        <v>776</v>
      </c>
      <c r="E469" s="30">
        <v>45593</v>
      </c>
    </row>
    <row r="470" spans="1:5">
      <c r="A470" s="133" t="s">
        <v>777</v>
      </c>
      <c r="B470" s="134"/>
      <c r="C470" s="29" t="s">
        <v>40</v>
      </c>
      <c r="D470" s="29" t="s">
        <v>778</v>
      </c>
      <c r="E470" s="30">
        <v>45593</v>
      </c>
    </row>
    <row r="471" spans="1:5">
      <c r="A471" s="133" t="s">
        <v>779</v>
      </c>
      <c r="B471" s="134"/>
      <c r="C471" s="29" t="s">
        <v>40</v>
      </c>
      <c r="D471" s="29" t="s">
        <v>47</v>
      </c>
      <c r="E471" s="30">
        <v>45593</v>
      </c>
    </row>
    <row r="472" spans="1:5">
      <c r="A472" s="133" t="s">
        <v>780</v>
      </c>
      <c r="B472" s="134"/>
      <c r="C472" s="29" t="s">
        <v>40</v>
      </c>
      <c r="D472" s="29" t="s">
        <v>730</v>
      </c>
      <c r="E472" s="30">
        <v>45593</v>
      </c>
    </row>
    <row r="473" spans="1:5">
      <c r="A473" s="133" t="s">
        <v>716</v>
      </c>
      <c r="B473" s="134"/>
      <c r="C473" s="29" t="s">
        <v>40</v>
      </c>
      <c r="D473" s="29" t="s">
        <v>716</v>
      </c>
      <c r="E473" s="30">
        <v>45593</v>
      </c>
    </row>
    <row r="474" spans="1:5">
      <c r="A474" s="133" t="s">
        <v>724</v>
      </c>
      <c r="B474" s="134"/>
      <c r="C474" s="29" t="s">
        <v>40</v>
      </c>
      <c r="D474" s="29" t="s">
        <v>725</v>
      </c>
      <c r="E474" s="30">
        <v>45593</v>
      </c>
    </row>
    <row r="475" spans="1:5">
      <c r="A475" s="133" t="s">
        <v>781</v>
      </c>
      <c r="B475" s="134"/>
      <c r="C475" s="29" t="s">
        <v>40</v>
      </c>
      <c r="D475" s="29" t="s">
        <v>782</v>
      </c>
      <c r="E475" s="30">
        <v>45593</v>
      </c>
    </row>
    <row r="476" spans="1:5">
      <c r="A476" s="133" t="s">
        <v>783</v>
      </c>
      <c r="B476" s="134"/>
      <c r="C476" s="29" t="s">
        <v>40</v>
      </c>
      <c r="D476" s="29" t="s">
        <v>47</v>
      </c>
      <c r="E476" s="30">
        <v>45593</v>
      </c>
    </row>
    <row r="477" spans="1:5">
      <c r="A477" s="133" t="s">
        <v>784</v>
      </c>
      <c r="B477" s="134"/>
      <c r="C477" s="29" t="s">
        <v>40</v>
      </c>
      <c r="D477" s="29" t="s">
        <v>47</v>
      </c>
      <c r="E477" s="30">
        <v>45593</v>
      </c>
    </row>
    <row r="478" spans="1:5">
      <c r="A478" s="133" t="s">
        <v>785</v>
      </c>
      <c r="B478" s="134"/>
      <c r="C478" s="29" t="s">
        <v>40</v>
      </c>
      <c r="D478" s="29" t="s">
        <v>706</v>
      </c>
      <c r="E478" s="30">
        <v>45593</v>
      </c>
    </row>
    <row r="479" spans="1:5">
      <c r="A479" s="133" t="s">
        <v>786</v>
      </c>
      <c r="B479" s="134"/>
      <c r="C479" s="29" t="s">
        <v>50</v>
      </c>
      <c r="D479" s="29" t="s">
        <v>765</v>
      </c>
      <c r="E479" s="30">
        <v>45593</v>
      </c>
    </row>
    <row r="480" spans="1:5">
      <c r="A480" s="133" t="s">
        <v>787</v>
      </c>
      <c r="B480" s="134"/>
      <c r="C480" s="29" t="s">
        <v>50</v>
      </c>
      <c r="D480" s="29" t="s">
        <v>704</v>
      </c>
      <c r="E480" s="30">
        <v>45593</v>
      </c>
    </row>
    <row r="481" spans="1:5">
      <c r="A481" s="133" t="s">
        <v>788</v>
      </c>
      <c r="B481" s="134"/>
      <c r="C481" s="29" t="s">
        <v>50</v>
      </c>
      <c r="D481" s="29" t="s">
        <v>54</v>
      </c>
      <c r="E481" s="30">
        <v>45593</v>
      </c>
    </row>
    <row r="482" spans="1:5">
      <c r="A482" s="133" t="s">
        <v>789</v>
      </c>
      <c r="B482" s="134"/>
      <c r="C482" s="29" t="s">
        <v>40</v>
      </c>
      <c r="D482" s="29" t="s">
        <v>203</v>
      </c>
      <c r="E482" s="30">
        <v>45593</v>
      </c>
    </row>
    <row r="483" spans="1:5">
      <c r="A483" s="133" t="s">
        <v>790</v>
      </c>
      <c r="B483" s="134"/>
      <c r="C483" s="29" t="s">
        <v>50</v>
      </c>
      <c r="D483" s="29" t="s">
        <v>698</v>
      </c>
      <c r="E483" s="30">
        <v>45593</v>
      </c>
    </row>
    <row r="484" spans="1:5">
      <c r="A484" s="133" t="s">
        <v>791</v>
      </c>
      <c r="B484" s="134"/>
      <c r="C484" s="29" t="s">
        <v>40</v>
      </c>
      <c r="D484" s="29" t="s">
        <v>792</v>
      </c>
      <c r="E484" s="30">
        <v>45593</v>
      </c>
    </row>
    <row r="485" spans="1:5">
      <c r="A485" s="133" t="s">
        <v>793</v>
      </c>
      <c r="B485" s="134"/>
      <c r="C485" s="29" t="s">
        <v>40</v>
      </c>
      <c r="D485" s="29" t="s">
        <v>720</v>
      </c>
      <c r="E485" s="30">
        <v>45593</v>
      </c>
    </row>
    <row r="486" spans="1:5">
      <c r="A486" s="133" t="s">
        <v>794</v>
      </c>
      <c r="B486" s="134"/>
      <c r="C486" s="29" t="s">
        <v>40</v>
      </c>
      <c r="D486" s="29" t="s">
        <v>41</v>
      </c>
      <c r="E486" s="30">
        <v>45593</v>
      </c>
    </row>
    <row r="487" spans="1:5">
      <c r="A487" s="133" t="s">
        <v>794</v>
      </c>
      <c r="B487" s="134"/>
      <c r="C487" s="29" t="s">
        <v>40</v>
      </c>
      <c r="D487" s="29" t="s">
        <v>41</v>
      </c>
      <c r="E487" s="30">
        <v>45593</v>
      </c>
    </row>
    <row r="488" spans="1:5">
      <c r="A488" s="133" t="s">
        <v>795</v>
      </c>
      <c r="B488" s="134"/>
      <c r="C488" s="29" t="s">
        <v>50</v>
      </c>
      <c r="D488" s="29" t="s">
        <v>796</v>
      </c>
      <c r="E488" s="30">
        <v>45593</v>
      </c>
    </row>
    <row r="489" spans="1:5">
      <c r="A489" s="133" t="s">
        <v>797</v>
      </c>
      <c r="B489" s="134"/>
      <c r="C489" s="29" t="s">
        <v>40</v>
      </c>
      <c r="D489" s="29" t="s">
        <v>41</v>
      </c>
      <c r="E489" s="30">
        <v>45593</v>
      </c>
    </row>
    <row r="490" spans="1:5">
      <c r="A490" s="133" t="s">
        <v>798</v>
      </c>
      <c r="B490" s="134"/>
      <c r="C490" s="29" t="s">
        <v>50</v>
      </c>
      <c r="D490" s="29" t="s">
        <v>799</v>
      </c>
      <c r="E490" s="30">
        <v>45593</v>
      </c>
    </row>
    <row r="491" spans="1:5">
      <c r="A491" s="133" t="s">
        <v>800</v>
      </c>
      <c r="B491" s="134"/>
      <c r="C491" s="29" t="s">
        <v>40</v>
      </c>
      <c r="D491" s="29" t="s">
        <v>801</v>
      </c>
      <c r="E491" s="30">
        <v>45593</v>
      </c>
    </row>
    <row r="492" spans="1:5">
      <c r="A492" s="133" t="s">
        <v>802</v>
      </c>
      <c r="B492" s="134"/>
      <c r="C492" s="29" t="s">
        <v>50</v>
      </c>
      <c r="D492" s="29" t="s">
        <v>803</v>
      </c>
      <c r="E492" s="30">
        <v>45593</v>
      </c>
    </row>
    <row r="493" spans="1:5">
      <c r="A493" s="133" t="s">
        <v>804</v>
      </c>
      <c r="B493" s="134"/>
      <c r="C493" s="29" t="s">
        <v>40</v>
      </c>
      <c r="D493" s="29" t="s">
        <v>805</v>
      </c>
      <c r="E493" s="30">
        <v>45593</v>
      </c>
    </row>
    <row r="494" spans="1:5">
      <c r="A494" s="133" t="s">
        <v>806</v>
      </c>
      <c r="B494" s="134"/>
      <c r="C494" s="29" t="s">
        <v>40</v>
      </c>
      <c r="D494" s="29" t="s">
        <v>807</v>
      </c>
      <c r="E494" s="30">
        <v>45593</v>
      </c>
    </row>
    <row r="495" spans="1:5">
      <c r="A495" s="133" t="s">
        <v>808</v>
      </c>
      <c r="B495" s="134"/>
      <c r="C495" s="29" t="s">
        <v>40</v>
      </c>
      <c r="D495" s="29" t="s">
        <v>809</v>
      </c>
      <c r="E495" s="30">
        <v>45593</v>
      </c>
    </row>
    <row r="496" spans="1:5">
      <c r="A496" s="133" t="s">
        <v>810</v>
      </c>
      <c r="B496" s="134"/>
      <c r="C496" s="29" t="s">
        <v>40</v>
      </c>
      <c r="D496" s="29" t="s">
        <v>811</v>
      </c>
      <c r="E496" s="30">
        <v>45593</v>
      </c>
    </row>
    <row r="497" spans="1:5">
      <c r="A497" s="133" t="s">
        <v>812</v>
      </c>
      <c r="B497" s="134"/>
      <c r="C497" s="29" t="s">
        <v>40</v>
      </c>
      <c r="D497" s="29" t="s">
        <v>700</v>
      </c>
      <c r="E497" s="30">
        <v>45593</v>
      </c>
    </row>
    <row r="498" spans="1:5">
      <c r="A498" s="133" t="s">
        <v>813</v>
      </c>
      <c r="B498" s="134"/>
      <c r="C498" s="29" t="s">
        <v>50</v>
      </c>
      <c r="D498" s="29" t="s">
        <v>51</v>
      </c>
      <c r="E498" s="30">
        <v>45593</v>
      </c>
    </row>
    <row r="499" spans="1:5">
      <c r="A499" s="133" t="s">
        <v>814</v>
      </c>
      <c r="B499" s="134"/>
      <c r="C499" s="29" t="s">
        <v>40</v>
      </c>
      <c r="D499" s="29" t="s">
        <v>202</v>
      </c>
      <c r="E499" s="30">
        <v>45593</v>
      </c>
    </row>
    <row r="500" spans="1:5">
      <c r="A500" s="133" t="s">
        <v>815</v>
      </c>
      <c r="B500" s="134"/>
      <c r="C500" s="29" t="s">
        <v>40</v>
      </c>
      <c r="D500" s="29" t="s">
        <v>816</v>
      </c>
      <c r="E500" s="30">
        <v>45593</v>
      </c>
    </row>
    <row r="501" spans="1:5">
      <c r="A501" s="133" t="s">
        <v>817</v>
      </c>
      <c r="B501" s="134"/>
      <c r="C501" s="29" t="s">
        <v>40</v>
      </c>
      <c r="D501" s="29" t="s">
        <v>116</v>
      </c>
      <c r="E501" s="30">
        <v>45593</v>
      </c>
    </row>
    <row r="502" spans="1:5">
      <c r="A502" s="133" t="s">
        <v>818</v>
      </c>
      <c r="B502" s="134"/>
      <c r="C502" s="29" t="s">
        <v>50</v>
      </c>
      <c r="D502" s="29" t="s">
        <v>819</v>
      </c>
      <c r="E502" s="30">
        <v>45593</v>
      </c>
    </row>
    <row r="503" spans="1:5">
      <c r="A503" s="133" t="s">
        <v>820</v>
      </c>
      <c r="B503" s="134"/>
      <c r="C503" s="29" t="s">
        <v>40</v>
      </c>
      <c r="D503" s="29" t="s">
        <v>820</v>
      </c>
      <c r="E503" s="30">
        <v>45593</v>
      </c>
    </row>
    <row r="504" spans="1:5">
      <c r="A504" s="133" t="s">
        <v>821</v>
      </c>
      <c r="B504" s="134"/>
      <c r="C504" s="29" t="s">
        <v>40</v>
      </c>
      <c r="D504" s="29" t="s">
        <v>821</v>
      </c>
      <c r="E504" s="30">
        <v>45593</v>
      </c>
    </row>
    <row r="505" spans="1:5">
      <c r="A505" s="133" t="s">
        <v>822</v>
      </c>
      <c r="B505" s="134"/>
      <c r="C505" s="29" t="s">
        <v>40</v>
      </c>
      <c r="D505" s="29" t="s">
        <v>823</v>
      </c>
      <c r="E505" s="30">
        <v>45593</v>
      </c>
    </row>
    <row r="506" spans="1:5">
      <c r="A506" s="133" t="s">
        <v>824</v>
      </c>
      <c r="B506" s="134"/>
      <c r="C506" s="29" t="s">
        <v>40</v>
      </c>
      <c r="D506" s="29" t="s">
        <v>203</v>
      </c>
      <c r="E506" s="30">
        <v>45593</v>
      </c>
    </row>
    <row r="507" spans="1:5">
      <c r="A507" s="133" t="s">
        <v>825</v>
      </c>
      <c r="B507" s="134"/>
      <c r="C507" s="29" t="s">
        <v>40</v>
      </c>
      <c r="D507" s="29" t="s">
        <v>116</v>
      </c>
      <c r="E507" s="30">
        <v>45593</v>
      </c>
    </row>
    <row r="508" spans="1:5">
      <c r="A508" s="133" t="s">
        <v>826</v>
      </c>
      <c r="B508" s="134"/>
      <c r="C508" s="29" t="s">
        <v>40</v>
      </c>
      <c r="D508" s="29" t="s">
        <v>43</v>
      </c>
      <c r="E508" s="30">
        <v>45593</v>
      </c>
    </row>
    <row r="509" spans="1:5">
      <c r="A509" s="133" t="s">
        <v>827</v>
      </c>
      <c r="B509" s="134"/>
      <c r="C509" s="29" t="s">
        <v>40</v>
      </c>
      <c r="D509" s="29" t="s">
        <v>828</v>
      </c>
      <c r="E509" s="30">
        <v>45593</v>
      </c>
    </row>
    <row r="510" spans="1:5">
      <c r="A510" s="133" t="s">
        <v>829</v>
      </c>
      <c r="B510" s="134"/>
      <c r="C510" s="29" t="s">
        <v>40</v>
      </c>
      <c r="D510" s="29" t="s">
        <v>723</v>
      </c>
      <c r="E510" s="30">
        <v>45593</v>
      </c>
    </row>
    <row r="511" spans="1:5">
      <c r="A511" s="133" t="s">
        <v>830</v>
      </c>
      <c r="B511" s="134"/>
      <c r="C511" s="29" t="s">
        <v>40</v>
      </c>
      <c r="D511" s="29" t="s">
        <v>116</v>
      </c>
      <c r="E511" s="30">
        <v>45593</v>
      </c>
    </row>
    <row r="512" spans="1:5">
      <c r="A512" s="133" t="s">
        <v>831</v>
      </c>
      <c r="B512" s="134"/>
      <c r="C512" s="29" t="s">
        <v>50</v>
      </c>
      <c r="D512" s="29" t="s">
        <v>832</v>
      </c>
      <c r="E512" s="30">
        <v>45593</v>
      </c>
    </row>
    <row r="513" spans="1:5">
      <c r="A513" s="133" t="s">
        <v>833</v>
      </c>
      <c r="B513" s="134"/>
      <c r="C513" s="29" t="s">
        <v>40</v>
      </c>
      <c r="D513" s="29" t="s">
        <v>834</v>
      </c>
      <c r="E513" s="30">
        <v>45593</v>
      </c>
    </row>
    <row r="514" spans="1:5">
      <c r="A514" s="133" t="s">
        <v>835</v>
      </c>
      <c r="B514" s="134"/>
      <c r="C514" s="29" t="s">
        <v>40</v>
      </c>
      <c r="D514" s="29" t="s">
        <v>738</v>
      </c>
      <c r="E514" s="30">
        <v>45593</v>
      </c>
    </row>
    <row r="515" spans="1:5">
      <c r="A515" s="133" t="s">
        <v>836</v>
      </c>
      <c r="B515" s="134"/>
      <c r="C515" s="29" t="s">
        <v>40</v>
      </c>
      <c r="D515" s="29" t="s">
        <v>116</v>
      </c>
      <c r="E515" s="30">
        <v>45593</v>
      </c>
    </row>
    <row r="516" spans="1:5">
      <c r="A516" s="133" t="s">
        <v>837</v>
      </c>
      <c r="B516" s="134"/>
      <c r="C516" s="29" t="s">
        <v>40</v>
      </c>
      <c r="D516" s="29" t="s">
        <v>204</v>
      </c>
      <c r="E516" s="30">
        <v>45593</v>
      </c>
    </row>
    <row r="517" spans="1:5">
      <c r="A517" s="133" t="s">
        <v>838</v>
      </c>
      <c r="B517" s="134"/>
      <c r="C517" s="29" t="s">
        <v>40</v>
      </c>
      <c r="D517" s="29" t="s">
        <v>839</v>
      </c>
      <c r="E517" s="30">
        <v>45593</v>
      </c>
    </row>
    <row r="518" spans="1:5">
      <c r="A518" s="133" t="s">
        <v>840</v>
      </c>
      <c r="B518" s="134"/>
      <c r="C518" s="29" t="s">
        <v>50</v>
      </c>
      <c r="D518" s="29" t="s">
        <v>841</v>
      </c>
      <c r="E518" s="30">
        <v>45593</v>
      </c>
    </row>
    <row r="519" spans="1:5">
      <c r="A519" s="133" t="s">
        <v>842</v>
      </c>
      <c r="B519" s="134"/>
      <c r="C519" s="29" t="s">
        <v>40</v>
      </c>
      <c r="D519" s="29" t="s">
        <v>843</v>
      </c>
      <c r="E519" s="30">
        <v>45593</v>
      </c>
    </row>
    <row r="520" spans="1:5">
      <c r="A520" s="133" t="s">
        <v>844</v>
      </c>
      <c r="B520" s="134"/>
      <c r="C520" s="29" t="s">
        <v>50</v>
      </c>
      <c r="D520" s="29" t="s">
        <v>845</v>
      </c>
      <c r="E520" s="30">
        <v>45593</v>
      </c>
    </row>
    <row r="521" spans="1:5">
      <c r="A521" s="133" t="s">
        <v>846</v>
      </c>
      <c r="B521" s="134"/>
      <c r="C521" s="29" t="s">
        <v>40</v>
      </c>
      <c r="D521" s="29" t="s">
        <v>847</v>
      </c>
      <c r="E521" s="30">
        <v>45593</v>
      </c>
    </row>
    <row r="522" spans="1:5">
      <c r="A522" s="133" t="s">
        <v>848</v>
      </c>
      <c r="B522" s="134"/>
      <c r="C522" s="29" t="s">
        <v>40</v>
      </c>
      <c r="D522" s="29" t="s">
        <v>849</v>
      </c>
      <c r="E522" s="30">
        <v>45593</v>
      </c>
    </row>
    <row r="523" spans="1:5">
      <c r="A523" s="133" t="s">
        <v>850</v>
      </c>
      <c r="B523" s="134"/>
      <c r="C523" s="29" t="s">
        <v>40</v>
      </c>
      <c r="D523" s="29" t="s">
        <v>851</v>
      </c>
      <c r="E523" s="30">
        <v>45593</v>
      </c>
    </row>
    <row r="524" spans="1:5">
      <c r="A524" s="133" t="s">
        <v>852</v>
      </c>
      <c r="B524" s="134"/>
      <c r="C524" s="29" t="s">
        <v>40</v>
      </c>
      <c r="D524" s="29" t="s">
        <v>853</v>
      </c>
      <c r="E524" s="30">
        <v>45593</v>
      </c>
    </row>
    <row r="525" spans="1:5">
      <c r="A525" s="133" t="s">
        <v>854</v>
      </c>
      <c r="B525" s="134"/>
      <c r="C525" s="29" t="s">
        <v>5</v>
      </c>
      <c r="D525" s="29" t="s">
        <v>120</v>
      </c>
      <c r="E525" s="30">
        <v>45595</v>
      </c>
    </row>
    <row r="526" spans="1:5">
      <c r="A526" s="133" t="s">
        <v>855</v>
      </c>
      <c r="B526" s="134"/>
      <c r="C526" s="29" t="s">
        <v>5</v>
      </c>
      <c r="D526" s="29" t="s">
        <v>856</v>
      </c>
      <c r="E526" s="30">
        <v>45597</v>
      </c>
    </row>
    <row r="527" spans="1:5">
      <c r="A527" s="133" t="s">
        <v>857</v>
      </c>
      <c r="B527" s="134"/>
      <c r="C527" s="29" t="s">
        <v>5</v>
      </c>
      <c r="D527" s="29" t="s">
        <v>30</v>
      </c>
      <c r="E527" s="30">
        <v>45598</v>
      </c>
    </row>
    <row r="528" spans="1:5">
      <c r="A528" s="133" t="s">
        <v>858</v>
      </c>
      <c r="B528" s="134"/>
      <c r="C528" s="29" t="s">
        <v>16</v>
      </c>
      <c r="D528" s="29" t="s">
        <v>859</v>
      </c>
      <c r="E528" s="30">
        <v>45600</v>
      </c>
    </row>
    <row r="529" spans="1:5">
      <c r="A529" s="133" t="s">
        <v>860</v>
      </c>
      <c r="B529" s="134"/>
      <c r="C529" s="29" t="s">
        <v>195</v>
      </c>
      <c r="D529" s="29" t="s">
        <v>861</v>
      </c>
      <c r="E529" s="30">
        <v>45601</v>
      </c>
    </row>
    <row r="530" spans="1:5">
      <c r="A530" s="133" t="s">
        <v>862</v>
      </c>
      <c r="B530" s="134"/>
      <c r="C530" s="29" t="s">
        <v>195</v>
      </c>
      <c r="D530" s="29" t="s">
        <v>809</v>
      </c>
      <c r="E530" s="30">
        <v>45601</v>
      </c>
    </row>
    <row r="531" spans="1:5">
      <c r="A531" s="133" t="s">
        <v>863</v>
      </c>
      <c r="B531" s="134"/>
      <c r="C531" s="29" t="s">
        <v>864</v>
      </c>
      <c r="D531" s="29" t="s">
        <v>865</v>
      </c>
      <c r="E531" s="30">
        <v>45604</v>
      </c>
    </row>
    <row r="532" spans="1:5">
      <c r="A532" s="133" t="s">
        <v>866</v>
      </c>
      <c r="B532" s="134"/>
      <c r="C532" s="29" t="s">
        <v>5</v>
      </c>
      <c r="D532" s="29" t="s">
        <v>867</v>
      </c>
      <c r="E532" s="30">
        <v>45604</v>
      </c>
    </row>
    <row r="533" spans="1:5">
      <c r="A533" s="133" t="s">
        <v>868</v>
      </c>
      <c r="B533" s="134"/>
      <c r="C533" s="29" t="s">
        <v>5</v>
      </c>
      <c r="D533" s="29" t="s">
        <v>869</v>
      </c>
      <c r="E533" s="30">
        <v>45604</v>
      </c>
    </row>
    <row r="534" spans="1:5">
      <c r="A534" s="133" t="s">
        <v>870</v>
      </c>
      <c r="B534" s="134"/>
      <c r="C534" s="29" t="s">
        <v>5</v>
      </c>
      <c r="D534" s="29" t="s">
        <v>10</v>
      </c>
      <c r="E534" s="30">
        <v>45606</v>
      </c>
    </row>
    <row r="535" spans="1:5">
      <c r="A535" s="133" t="s">
        <v>871</v>
      </c>
      <c r="B535" s="134"/>
      <c r="C535" s="29" t="s">
        <v>5</v>
      </c>
      <c r="D535" s="29" t="s">
        <v>872</v>
      </c>
      <c r="E535" s="30">
        <v>45607</v>
      </c>
    </row>
    <row r="536" spans="1:5">
      <c r="A536" s="133" t="s">
        <v>873</v>
      </c>
      <c r="B536" s="134"/>
      <c r="C536" s="29" t="s">
        <v>5</v>
      </c>
      <c r="D536" s="29" t="s">
        <v>874</v>
      </c>
      <c r="E536" s="30">
        <v>45607</v>
      </c>
    </row>
    <row r="537" spans="1:5">
      <c r="A537" s="133" t="s">
        <v>875</v>
      </c>
      <c r="B537" s="134"/>
      <c r="C537" s="29" t="s">
        <v>5</v>
      </c>
      <c r="D537" s="29" t="s">
        <v>30</v>
      </c>
      <c r="E537" s="30">
        <v>45607</v>
      </c>
    </row>
    <row r="538" spans="1:5">
      <c r="A538" s="133" t="s">
        <v>876</v>
      </c>
      <c r="B538" s="134"/>
      <c r="C538" s="29" t="s">
        <v>5</v>
      </c>
      <c r="D538" s="29" t="s">
        <v>171</v>
      </c>
      <c r="E538" s="30">
        <v>45607</v>
      </c>
    </row>
    <row r="539" spans="1:5">
      <c r="A539" s="133" t="s">
        <v>877</v>
      </c>
      <c r="B539" s="134"/>
      <c r="C539" s="29" t="s">
        <v>5</v>
      </c>
      <c r="D539" s="29" t="s">
        <v>878</v>
      </c>
      <c r="E539" s="30">
        <v>45607</v>
      </c>
    </row>
    <row r="540" spans="1:5">
      <c r="A540" s="133" t="s">
        <v>879</v>
      </c>
      <c r="B540" s="134"/>
      <c r="C540" s="29" t="s">
        <v>16</v>
      </c>
      <c r="D540" s="29" t="s">
        <v>880</v>
      </c>
      <c r="E540" s="30">
        <v>45607</v>
      </c>
    </row>
    <row r="541" spans="1:5">
      <c r="A541" s="133" t="s">
        <v>881</v>
      </c>
      <c r="B541" s="134"/>
      <c r="C541" s="29" t="s">
        <v>5</v>
      </c>
      <c r="D541" s="29" t="s">
        <v>207</v>
      </c>
      <c r="E541" s="30">
        <v>45608</v>
      </c>
    </row>
    <row r="542" spans="1:5">
      <c r="A542" s="133" t="s">
        <v>882</v>
      </c>
      <c r="B542" s="134"/>
      <c r="C542" s="29" t="s">
        <v>5</v>
      </c>
      <c r="D542" s="29" t="s">
        <v>883</v>
      </c>
      <c r="E542" s="30">
        <v>45611</v>
      </c>
    </row>
    <row r="543" spans="1:5">
      <c r="A543" s="133" t="s">
        <v>884</v>
      </c>
      <c r="B543" s="134"/>
      <c r="C543" s="29" t="s">
        <v>5</v>
      </c>
      <c r="D543" s="29" t="s">
        <v>288</v>
      </c>
      <c r="E543" s="30">
        <v>45612</v>
      </c>
    </row>
    <row r="544" spans="1:5">
      <c r="A544" s="133" t="s">
        <v>885</v>
      </c>
      <c r="B544" s="134"/>
      <c r="C544" s="29" t="s">
        <v>5</v>
      </c>
      <c r="D544" s="29" t="s">
        <v>886</v>
      </c>
      <c r="E544" s="30">
        <v>45614</v>
      </c>
    </row>
    <row r="545" spans="1:5">
      <c r="A545" s="133" t="s">
        <v>887</v>
      </c>
      <c r="B545" s="134"/>
      <c r="C545" s="29" t="s">
        <v>16</v>
      </c>
      <c r="D545" s="29" t="s">
        <v>324</v>
      </c>
      <c r="E545" s="30">
        <v>45615</v>
      </c>
    </row>
    <row r="546" spans="1:5">
      <c r="A546" s="133" t="s">
        <v>888</v>
      </c>
      <c r="B546" s="134"/>
      <c r="C546" s="29" t="s">
        <v>5</v>
      </c>
      <c r="D546" s="29" t="s">
        <v>179</v>
      </c>
      <c r="E546" s="30">
        <v>45615</v>
      </c>
    </row>
    <row r="547" spans="1:5">
      <c r="A547" s="133" t="s">
        <v>889</v>
      </c>
      <c r="B547" s="134"/>
      <c r="C547" s="29" t="s">
        <v>5</v>
      </c>
      <c r="D547" s="29" t="s">
        <v>62</v>
      </c>
      <c r="E547" s="30">
        <v>45620</v>
      </c>
    </row>
    <row r="548" spans="1:5">
      <c r="A548" s="133" t="s">
        <v>890</v>
      </c>
      <c r="B548" s="134"/>
      <c r="C548" s="29" t="s">
        <v>5</v>
      </c>
      <c r="D548" s="29" t="s">
        <v>131</v>
      </c>
      <c r="E548" s="30">
        <v>45620</v>
      </c>
    </row>
    <row r="549" spans="1:5">
      <c r="A549" s="133" t="s">
        <v>891</v>
      </c>
      <c r="B549" s="134"/>
      <c r="C549" s="29" t="s">
        <v>5</v>
      </c>
      <c r="D549" s="29" t="s">
        <v>892</v>
      </c>
      <c r="E549" s="30">
        <v>45621</v>
      </c>
    </row>
    <row r="550" spans="1:5">
      <c r="A550" s="133" t="s">
        <v>893</v>
      </c>
      <c r="B550" s="134"/>
      <c r="C550" s="29" t="s">
        <v>5</v>
      </c>
      <c r="D550" s="29" t="s">
        <v>6</v>
      </c>
      <c r="E550" s="30">
        <v>45621</v>
      </c>
    </row>
    <row r="551" spans="1:5">
      <c r="A551" s="133" t="s">
        <v>894</v>
      </c>
      <c r="B551" s="134"/>
      <c r="C551" s="29" t="s">
        <v>16</v>
      </c>
      <c r="D551" s="29" t="s">
        <v>895</v>
      </c>
      <c r="E551" s="30">
        <v>45622</v>
      </c>
    </row>
    <row r="552" spans="1:5">
      <c r="A552" s="133" t="s">
        <v>896</v>
      </c>
      <c r="B552" s="134"/>
      <c r="C552" s="29" t="s">
        <v>5</v>
      </c>
      <c r="D552" s="29" t="s">
        <v>32</v>
      </c>
      <c r="E552" s="30">
        <v>45622</v>
      </c>
    </row>
    <row r="553" spans="1:5">
      <c r="A553" s="133" t="s">
        <v>897</v>
      </c>
      <c r="B553" s="134"/>
      <c r="C553" s="29" t="s">
        <v>5</v>
      </c>
      <c r="D553" s="29" t="s">
        <v>335</v>
      </c>
      <c r="E553" s="30">
        <v>45623</v>
      </c>
    </row>
    <row r="554" spans="1:5">
      <c r="A554" s="133" t="s">
        <v>898</v>
      </c>
      <c r="B554" s="134"/>
      <c r="C554" s="29" t="s">
        <v>5</v>
      </c>
      <c r="D554" s="29" t="s">
        <v>899</v>
      </c>
      <c r="E554" s="30">
        <v>45623</v>
      </c>
    </row>
    <row r="555" spans="1:5">
      <c r="A555" s="133" t="s">
        <v>900</v>
      </c>
      <c r="B555" s="134"/>
      <c r="C555" s="29" t="s">
        <v>16</v>
      </c>
      <c r="D555" s="29" t="s">
        <v>901</v>
      </c>
      <c r="E555" s="30">
        <v>45623</v>
      </c>
    </row>
    <row r="556" spans="1:5">
      <c r="A556" s="133" t="s">
        <v>902</v>
      </c>
      <c r="B556" s="134"/>
      <c r="C556" s="29" t="s">
        <v>16</v>
      </c>
      <c r="D556" s="29" t="s">
        <v>903</v>
      </c>
      <c r="E556" s="30">
        <v>45623</v>
      </c>
    </row>
    <row r="557" spans="1:5">
      <c r="A557" s="133" t="s">
        <v>904</v>
      </c>
      <c r="B557" s="134"/>
      <c r="C557" s="29" t="s">
        <v>16</v>
      </c>
      <c r="D557" s="29" t="s">
        <v>66</v>
      </c>
      <c r="E557" s="30">
        <v>45624</v>
      </c>
    </row>
    <row r="558" spans="1:5">
      <c r="A558" s="133" t="s">
        <v>769</v>
      </c>
      <c r="B558" s="134"/>
      <c r="C558" s="29" t="s">
        <v>50</v>
      </c>
      <c r="D558" s="29" t="s">
        <v>769</v>
      </c>
      <c r="E558" s="30">
        <v>45624</v>
      </c>
    </row>
    <row r="559" spans="1:5">
      <c r="A559" s="133" t="s">
        <v>803</v>
      </c>
      <c r="B559" s="134"/>
      <c r="C559" s="29" t="s">
        <v>50</v>
      </c>
      <c r="D559" s="29" t="s">
        <v>803</v>
      </c>
      <c r="E559" s="30">
        <v>45624</v>
      </c>
    </row>
    <row r="560" spans="1:5">
      <c r="A560" s="133" t="s">
        <v>905</v>
      </c>
      <c r="B560" s="134"/>
      <c r="C560" s="29" t="s">
        <v>5</v>
      </c>
      <c r="D560" s="29" t="s">
        <v>217</v>
      </c>
      <c r="E560" s="30">
        <v>45624</v>
      </c>
    </row>
    <row r="561" spans="1:5">
      <c r="A561" s="133" t="s">
        <v>906</v>
      </c>
      <c r="B561" s="134"/>
      <c r="C561" s="29" t="s">
        <v>5</v>
      </c>
      <c r="D561" s="29" t="s">
        <v>217</v>
      </c>
      <c r="E561" s="30">
        <v>45624</v>
      </c>
    </row>
    <row r="562" spans="1:5">
      <c r="A562" s="133" t="s">
        <v>907</v>
      </c>
      <c r="B562" s="134"/>
      <c r="C562" s="29" t="s">
        <v>40</v>
      </c>
      <c r="D562" s="29" t="s">
        <v>908</v>
      </c>
      <c r="E562" s="30">
        <v>45625</v>
      </c>
    </row>
    <row r="563" spans="1:5">
      <c r="A563" s="133" t="s">
        <v>846</v>
      </c>
      <c r="B563" s="134"/>
      <c r="C563" s="29" t="s">
        <v>40</v>
      </c>
      <c r="D563" s="29" t="s">
        <v>909</v>
      </c>
      <c r="E563" s="30">
        <v>45625</v>
      </c>
    </row>
    <row r="564" spans="1:5">
      <c r="A564" s="133" t="s">
        <v>846</v>
      </c>
      <c r="B564" s="134"/>
      <c r="C564" s="29" t="s">
        <v>40</v>
      </c>
      <c r="D564" s="29" t="s">
        <v>910</v>
      </c>
      <c r="E564" s="30">
        <v>45625</v>
      </c>
    </row>
    <row r="565" spans="1:5">
      <c r="A565" s="133" t="s">
        <v>911</v>
      </c>
      <c r="B565" s="134"/>
      <c r="C565" s="29" t="s">
        <v>50</v>
      </c>
      <c r="D565" s="29" t="s">
        <v>911</v>
      </c>
      <c r="E565" s="30">
        <v>45625</v>
      </c>
    </row>
    <row r="566" spans="1:5">
      <c r="A566" s="133" t="s">
        <v>912</v>
      </c>
      <c r="B566" s="134"/>
      <c r="C566" s="29" t="s">
        <v>5</v>
      </c>
      <c r="D566" s="29" t="s">
        <v>126</v>
      </c>
      <c r="E566" s="30">
        <v>45625</v>
      </c>
    </row>
    <row r="567" spans="1:5">
      <c r="A567" s="133" t="s">
        <v>913</v>
      </c>
      <c r="B567" s="134"/>
      <c r="C567" s="29" t="s">
        <v>5</v>
      </c>
      <c r="D567" s="29" t="s">
        <v>914</v>
      </c>
      <c r="E567" s="30">
        <v>45626</v>
      </c>
    </row>
    <row r="568" spans="1:5">
      <c r="A568" s="133" t="s">
        <v>915</v>
      </c>
      <c r="B568" s="134"/>
      <c r="C568" s="29" t="s">
        <v>5</v>
      </c>
      <c r="D568" s="29" t="s">
        <v>916</v>
      </c>
      <c r="E568" s="30">
        <v>45627</v>
      </c>
    </row>
    <row r="569" spans="1:5">
      <c r="A569" s="133" t="s">
        <v>917</v>
      </c>
      <c r="B569" s="134"/>
      <c r="C569" s="29" t="s">
        <v>5</v>
      </c>
      <c r="D569" s="29" t="s">
        <v>30</v>
      </c>
      <c r="E569" s="30">
        <v>45628</v>
      </c>
    </row>
    <row r="570" spans="1:5">
      <c r="A570" s="133" t="s">
        <v>918</v>
      </c>
      <c r="B570" s="134"/>
      <c r="C570" s="29" t="s">
        <v>5</v>
      </c>
      <c r="D570" s="29" t="s">
        <v>919</v>
      </c>
      <c r="E570" s="30">
        <v>45629</v>
      </c>
    </row>
    <row r="571" spans="1:5">
      <c r="A571" s="133" t="s">
        <v>920</v>
      </c>
      <c r="B571" s="134"/>
      <c r="C571" s="29" t="s">
        <v>5</v>
      </c>
      <c r="D571" s="29" t="s">
        <v>921</v>
      </c>
      <c r="E571" s="30">
        <v>45630</v>
      </c>
    </row>
    <row r="572" spans="1:5">
      <c r="A572" s="133" t="s">
        <v>922</v>
      </c>
      <c r="B572" s="134"/>
      <c r="C572" s="29" t="s">
        <v>5</v>
      </c>
      <c r="D572" s="29" t="s">
        <v>179</v>
      </c>
      <c r="E572" s="30">
        <v>45630</v>
      </c>
    </row>
    <row r="573" spans="1:5">
      <c r="A573" s="133" t="s">
        <v>923</v>
      </c>
      <c r="B573" s="134"/>
      <c r="C573" s="29" t="s">
        <v>5</v>
      </c>
      <c r="D573" s="29" t="s">
        <v>179</v>
      </c>
      <c r="E573" s="30">
        <v>45630</v>
      </c>
    </row>
    <row r="574" spans="1:5">
      <c r="A574" s="133" t="s">
        <v>924</v>
      </c>
      <c r="B574" s="134"/>
      <c r="C574" s="29" t="s">
        <v>5</v>
      </c>
      <c r="D574" s="29" t="s">
        <v>925</v>
      </c>
      <c r="E574" s="30">
        <v>45631</v>
      </c>
    </row>
    <row r="575" spans="1:5">
      <c r="A575" s="133" t="s">
        <v>926</v>
      </c>
      <c r="B575" s="134"/>
      <c r="C575" s="29" t="s">
        <v>5</v>
      </c>
      <c r="D575" s="29" t="s">
        <v>927</v>
      </c>
      <c r="E575" s="30">
        <v>45632</v>
      </c>
    </row>
    <row r="576" spans="1:5">
      <c r="A576" s="133" t="s">
        <v>928</v>
      </c>
      <c r="B576" s="134"/>
      <c r="C576" s="29" t="s">
        <v>5</v>
      </c>
      <c r="D576" s="29" t="s">
        <v>929</v>
      </c>
      <c r="E576" s="30">
        <v>45632</v>
      </c>
    </row>
    <row r="577" spans="1:5">
      <c r="A577" s="133" t="s">
        <v>930</v>
      </c>
      <c r="B577" s="134"/>
      <c r="C577" s="29" t="s">
        <v>16</v>
      </c>
      <c r="D577" s="29" t="s">
        <v>931</v>
      </c>
      <c r="E577" s="30">
        <v>45632</v>
      </c>
    </row>
    <row r="578" spans="1:5">
      <c r="A578" s="133" t="s">
        <v>932</v>
      </c>
      <c r="B578" s="134"/>
      <c r="C578" s="29" t="s">
        <v>5</v>
      </c>
      <c r="D578" s="29" t="s">
        <v>6</v>
      </c>
      <c r="E578" s="30">
        <v>45632</v>
      </c>
    </row>
    <row r="579" spans="1:5">
      <c r="A579" s="133" t="s">
        <v>933</v>
      </c>
      <c r="B579" s="134"/>
      <c r="C579" s="29" t="s">
        <v>5</v>
      </c>
      <c r="D579" s="29" t="s">
        <v>934</v>
      </c>
      <c r="E579" s="30">
        <v>45632</v>
      </c>
    </row>
    <row r="580" spans="1:5">
      <c r="A580" s="133" t="s">
        <v>935</v>
      </c>
      <c r="B580" s="134"/>
      <c r="C580" s="29" t="s">
        <v>5</v>
      </c>
      <c r="D580" s="29" t="s">
        <v>179</v>
      </c>
      <c r="E580" s="30">
        <v>45636</v>
      </c>
    </row>
    <row r="581" spans="1:5">
      <c r="A581" s="133" t="s">
        <v>936</v>
      </c>
      <c r="B581" s="134"/>
      <c r="C581" s="29" t="s">
        <v>5</v>
      </c>
      <c r="D581" s="29" t="s">
        <v>74</v>
      </c>
      <c r="E581" s="30">
        <v>45636</v>
      </c>
    </row>
    <row r="582" spans="1:5">
      <c r="A582" s="133" t="s">
        <v>937</v>
      </c>
      <c r="B582" s="134"/>
      <c r="C582" s="29" t="s">
        <v>5</v>
      </c>
      <c r="D582" s="29" t="s">
        <v>938</v>
      </c>
      <c r="E582" s="30">
        <v>45637</v>
      </c>
    </row>
    <row r="583" spans="1:5">
      <c r="A583" s="133" t="s">
        <v>939</v>
      </c>
      <c r="B583" s="134"/>
      <c r="C583" s="29" t="s">
        <v>5</v>
      </c>
      <c r="D583" s="29" t="s">
        <v>280</v>
      </c>
      <c r="E583" s="30">
        <v>45637</v>
      </c>
    </row>
    <row r="584" spans="1:5">
      <c r="A584" s="133" t="s">
        <v>940</v>
      </c>
      <c r="B584" s="134"/>
      <c r="C584" s="29" t="s">
        <v>16</v>
      </c>
      <c r="D584" s="29" t="s">
        <v>941</v>
      </c>
      <c r="E584" s="30">
        <v>45638</v>
      </c>
    </row>
    <row r="585" spans="1:5">
      <c r="A585" s="133" t="s">
        <v>942</v>
      </c>
      <c r="B585" s="134"/>
      <c r="C585" s="29" t="s">
        <v>145</v>
      </c>
      <c r="D585" s="29" t="s">
        <v>943</v>
      </c>
      <c r="E585" s="30">
        <v>45638</v>
      </c>
    </row>
    <row r="586" spans="1:5">
      <c r="A586" s="133" t="s">
        <v>944</v>
      </c>
      <c r="B586" s="134"/>
      <c r="C586" s="29" t="s">
        <v>145</v>
      </c>
      <c r="D586" s="29" t="s">
        <v>944</v>
      </c>
      <c r="E586" s="30">
        <v>45638</v>
      </c>
    </row>
    <row r="587" spans="1:5">
      <c r="A587" s="133" t="s">
        <v>945</v>
      </c>
      <c r="B587" s="134"/>
      <c r="C587" s="29" t="s">
        <v>5</v>
      </c>
      <c r="D587" s="29" t="s">
        <v>30</v>
      </c>
      <c r="E587" s="30">
        <v>45642</v>
      </c>
    </row>
    <row r="588" spans="1:5">
      <c r="A588" s="133" t="s">
        <v>946</v>
      </c>
      <c r="B588" s="134"/>
      <c r="C588" s="29" t="s">
        <v>5</v>
      </c>
      <c r="D588" s="29" t="s">
        <v>282</v>
      </c>
      <c r="E588" s="30">
        <v>45642</v>
      </c>
    </row>
    <row r="589" spans="1:5">
      <c r="A589" s="133" t="s">
        <v>947</v>
      </c>
      <c r="B589" s="134"/>
      <c r="C589" s="29" t="s">
        <v>16</v>
      </c>
      <c r="D589" s="29" t="s">
        <v>948</v>
      </c>
      <c r="E589" s="30">
        <v>45643</v>
      </c>
    </row>
    <row r="590" spans="1:5">
      <c r="A590" s="133" t="s">
        <v>949</v>
      </c>
      <c r="B590" s="134"/>
      <c r="C590" s="29" t="s">
        <v>16</v>
      </c>
      <c r="D590" s="29" t="s">
        <v>950</v>
      </c>
      <c r="E590" s="30">
        <v>45643</v>
      </c>
    </row>
    <row r="591" spans="1:5">
      <c r="A591" s="133" t="s">
        <v>951</v>
      </c>
      <c r="B591" s="134"/>
      <c r="C591" s="29" t="s">
        <v>5</v>
      </c>
      <c r="D591" s="29" t="s">
        <v>952</v>
      </c>
      <c r="E591" s="30">
        <v>45644</v>
      </c>
    </row>
    <row r="592" spans="1:5">
      <c r="A592" s="133" t="s">
        <v>953</v>
      </c>
      <c r="B592" s="134"/>
      <c r="C592" s="29" t="s">
        <v>5</v>
      </c>
      <c r="D592" s="29" t="s">
        <v>126</v>
      </c>
      <c r="E592" s="30">
        <v>45645</v>
      </c>
    </row>
    <row r="593" spans="1:5">
      <c r="A593" s="133" t="s">
        <v>954</v>
      </c>
      <c r="B593" s="134"/>
      <c r="C593" s="29" t="s">
        <v>5</v>
      </c>
      <c r="D593" s="29" t="s">
        <v>955</v>
      </c>
      <c r="E593" s="30">
        <v>45652</v>
      </c>
    </row>
    <row r="594" spans="1:5">
      <c r="A594" s="133" t="s">
        <v>956</v>
      </c>
      <c r="B594" s="134"/>
      <c r="C594" s="29" t="s">
        <v>5</v>
      </c>
      <c r="D594" s="29" t="s">
        <v>90</v>
      </c>
      <c r="E594" s="30">
        <v>45653</v>
      </c>
    </row>
    <row r="595" spans="1:5">
      <c r="A595" s="133" t="s">
        <v>957</v>
      </c>
      <c r="B595" s="134"/>
      <c r="C595" s="29" t="s">
        <v>5</v>
      </c>
      <c r="D595" s="29" t="s">
        <v>161</v>
      </c>
      <c r="E595" s="30">
        <v>45653</v>
      </c>
    </row>
    <row r="596" spans="1:5">
      <c r="A596" s="133" t="s">
        <v>958</v>
      </c>
      <c r="B596" s="134"/>
      <c r="C596" s="29" t="s">
        <v>5</v>
      </c>
      <c r="D596" s="29" t="s">
        <v>6</v>
      </c>
      <c r="E596" s="30">
        <v>45653</v>
      </c>
    </row>
    <row r="597" spans="1:5">
      <c r="A597" s="133" t="s">
        <v>959</v>
      </c>
      <c r="B597" s="134"/>
      <c r="C597" s="29" t="s">
        <v>5</v>
      </c>
      <c r="D597" s="29" t="s">
        <v>12</v>
      </c>
      <c r="E597" s="30">
        <v>45653</v>
      </c>
    </row>
    <row r="598" spans="1:5">
      <c r="A598" s="133" t="s">
        <v>960</v>
      </c>
      <c r="B598" s="134"/>
      <c r="C598" s="29" t="s">
        <v>16</v>
      </c>
      <c r="D598" s="29" t="s">
        <v>275</v>
      </c>
      <c r="E598" s="30">
        <v>45653</v>
      </c>
    </row>
    <row r="599" spans="1:5">
      <c r="A599" s="133" t="s">
        <v>961</v>
      </c>
      <c r="B599" s="134"/>
      <c r="C599" s="29" t="s">
        <v>5</v>
      </c>
      <c r="D599" s="29" t="s">
        <v>90</v>
      </c>
      <c r="E599" s="30">
        <v>45665</v>
      </c>
    </row>
    <row r="600" spans="1:5">
      <c r="A600" s="133" t="s">
        <v>962</v>
      </c>
      <c r="B600" s="134"/>
      <c r="C600" s="29" t="s">
        <v>5</v>
      </c>
      <c r="D600" s="29" t="s">
        <v>414</v>
      </c>
      <c r="E600" s="30">
        <v>45666</v>
      </c>
    </row>
    <row r="601" spans="1:5">
      <c r="A601" s="133" t="s">
        <v>963</v>
      </c>
      <c r="B601" s="134"/>
      <c r="C601" s="29" t="s">
        <v>5</v>
      </c>
      <c r="D601" s="29" t="s">
        <v>32</v>
      </c>
      <c r="E601" s="30">
        <v>45666</v>
      </c>
    </row>
    <row r="602" spans="1:5">
      <c r="A602" s="133" t="s">
        <v>964</v>
      </c>
      <c r="B602" s="134"/>
      <c r="C602" s="29" t="s">
        <v>5</v>
      </c>
      <c r="D602" s="29" t="s">
        <v>965</v>
      </c>
      <c r="E602" s="30">
        <v>45666</v>
      </c>
    </row>
    <row r="603" spans="1:5">
      <c r="A603" s="133" t="s">
        <v>966</v>
      </c>
      <c r="B603" s="134"/>
      <c r="C603" s="29" t="s">
        <v>16</v>
      </c>
      <c r="D603" s="29" t="s">
        <v>90</v>
      </c>
      <c r="E603" s="30">
        <v>45667</v>
      </c>
    </row>
    <row r="604" spans="1:5">
      <c r="A604" s="133" t="s">
        <v>913</v>
      </c>
      <c r="B604" s="134"/>
      <c r="C604" s="29" t="s">
        <v>5</v>
      </c>
      <c r="D604" s="29" t="s">
        <v>967</v>
      </c>
      <c r="E604" s="30">
        <v>45667</v>
      </c>
    </row>
    <row r="605" spans="1:5">
      <c r="A605" s="133" t="s">
        <v>968</v>
      </c>
      <c r="B605" s="134"/>
      <c r="C605" s="29" t="s">
        <v>5</v>
      </c>
      <c r="D605" s="29" t="s">
        <v>199</v>
      </c>
      <c r="E605" s="30">
        <v>45668</v>
      </c>
    </row>
    <row r="606" spans="1:5">
      <c r="A606" s="133" t="s">
        <v>969</v>
      </c>
      <c r="B606" s="134"/>
      <c r="C606" s="29" t="s">
        <v>16</v>
      </c>
      <c r="D606" s="29" t="s">
        <v>970</v>
      </c>
      <c r="E606" s="30">
        <v>45673</v>
      </c>
    </row>
    <row r="607" spans="1:5">
      <c r="A607" s="133" t="s">
        <v>971</v>
      </c>
      <c r="B607" s="134"/>
      <c r="C607" s="29" t="s">
        <v>5</v>
      </c>
      <c r="D607" s="29" t="s">
        <v>219</v>
      </c>
      <c r="E607" s="30">
        <v>45674</v>
      </c>
    </row>
    <row r="608" spans="1:5">
      <c r="A608" s="133" t="s">
        <v>972</v>
      </c>
      <c r="B608" s="134"/>
      <c r="C608" s="29" t="s">
        <v>16</v>
      </c>
      <c r="D608" s="29" t="s">
        <v>973</v>
      </c>
      <c r="E608" s="30">
        <v>45677</v>
      </c>
    </row>
    <row r="609" spans="1:5">
      <c r="A609" s="133" t="s">
        <v>974</v>
      </c>
      <c r="B609" s="134"/>
      <c r="C609" s="29" t="s">
        <v>5</v>
      </c>
      <c r="D609" s="29" t="s">
        <v>179</v>
      </c>
      <c r="E609" s="30">
        <v>45677</v>
      </c>
    </row>
    <row r="610" spans="1:5">
      <c r="A610" s="133" t="s">
        <v>975</v>
      </c>
      <c r="B610" s="134"/>
      <c r="C610" s="29" t="s">
        <v>16</v>
      </c>
      <c r="D610" s="29" t="s">
        <v>976</v>
      </c>
      <c r="E610" s="30">
        <v>45677</v>
      </c>
    </row>
    <row r="611" spans="1:5">
      <c r="A611" s="133" t="s">
        <v>977</v>
      </c>
      <c r="B611" s="134"/>
      <c r="C611" s="29" t="s">
        <v>5</v>
      </c>
      <c r="D611" s="29" t="s">
        <v>30</v>
      </c>
      <c r="E611" s="30">
        <v>45679</v>
      </c>
    </row>
    <row r="612" spans="1:5">
      <c r="A612" s="133" t="s">
        <v>978</v>
      </c>
      <c r="B612" s="134"/>
      <c r="C612" s="29" t="s">
        <v>5</v>
      </c>
      <c r="D612" s="29" t="s">
        <v>10</v>
      </c>
      <c r="E612" s="30">
        <v>45681</v>
      </c>
    </row>
    <row r="613" spans="1:5">
      <c r="A613" s="133" t="s">
        <v>979</v>
      </c>
      <c r="B613" s="134"/>
      <c r="C613" s="29" t="s">
        <v>5</v>
      </c>
      <c r="D613" s="29" t="s">
        <v>60</v>
      </c>
      <c r="E613" s="30">
        <v>45682</v>
      </c>
    </row>
    <row r="614" spans="1:5">
      <c r="A614" s="133" t="s">
        <v>313</v>
      </c>
      <c r="B614" s="134"/>
      <c r="C614" s="29" t="s">
        <v>5</v>
      </c>
      <c r="D614" s="29" t="s">
        <v>980</v>
      </c>
      <c r="E614" s="30">
        <v>45682</v>
      </c>
    </row>
    <row r="615" spans="1:5">
      <c r="A615" s="133" t="s">
        <v>981</v>
      </c>
      <c r="B615" s="134"/>
      <c r="C615" s="29" t="s">
        <v>5</v>
      </c>
      <c r="D615" s="29" t="s">
        <v>982</v>
      </c>
      <c r="E615" s="30">
        <v>45684</v>
      </c>
    </row>
    <row r="616" spans="1:5">
      <c r="A616" s="133" t="s">
        <v>983</v>
      </c>
      <c r="B616" s="134"/>
      <c r="C616" s="29" t="s">
        <v>5</v>
      </c>
      <c r="D616" s="29" t="s">
        <v>984</v>
      </c>
      <c r="E616" s="30">
        <v>45686</v>
      </c>
    </row>
    <row r="617" spans="1:5">
      <c r="A617" s="133" t="s">
        <v>985</v>
      </c>
      <c r="B617" s="134"/>
      <c r="C617" s="29" t="s">
        <v>5</v>
      </c>
      <c r="D617" s="29" t="s">
        <v>311</v>
      </c>
      <c r="E617" s="30">
        <v>45688</v>
      </c>
    </row>
    <row r="618" spans="1:5">
      <c r="A618" s="133" t="s">
        <v>986</v>
      </c>
      <c r="B618" s="134"/>
      <c r="C618" s="29" t="s">
        <v>16</v>
      </c>
      <c r="D618" s="29" t="s">
        <v>444</v>
      </c>
      <c r="E618" s="30">
        <v>45688</v>
      </c>
    </row>
    <row r="619" spans="1:5">
      <c r="A619" s="133" t="s">
        <v>987</v>
      </c>
      <c r="B619" s="134"/>
      <c r="C619" s="29" t="s">
        <v>16</v>
      </c>
      <c r="D619" s="29" t="s">
        <v>988</v>
      </c>
      <c r="E619" s="30">
        <v>45688</v>
      </c>
    </row>
    <row r="620" spans="1:5">
      <c r="A620" s="133" t="s">
        <v>989</v>
      </c>
      <c r="B620" s="134"/>
      <c r="C620" s="29" t="s">
        <v>5</v>
      </c>
      <c r="D620" s="29" t="s">
        <v>990</v>
      </c>
      <c r="E620" s="30">
        <v>45691</v>
      </c>
    </row>
    <row r="621" spans="1:5">
      <c r="A621" s="133" t="s">
        <v>991</v>
      </c>
      <c r="B621" s="134"/>
      <c r="C621" s="29" t="s">
        <v>5</v>
      </c>
      <c r="D621" s="29" t="s">
        <v>126</v>
      </c>
      <c r="E621" s="30">
        <v>45691</v>
      </c>
    </row>
    <row r="622" spans="1:5">
      <c r="A622" s="133" t="s">
        <v>992</v>
      </c>
      <c r="B622" s="134"/>
      <c r="C622" s="29" t="s">
        <v>145</v>
      </c>
      <c r="D622" s="29" t="s">
        <v>993</v>
      </c>
      <c r="E622" s="30">
        <v>45692</v>
      </c>
    </row>
    <row r="623" spans="1:5">
      <c r="A623" s="133" t="s">
        <v>994</v>
      </c>
      <c r="B623" s="134"/>
      <c r="C623" s="29" t="s">
        <v>5</v>
      </c>
      <c r="D623" s="29" t="s">
        <v>199</v>
      </c>
      <c r="E623" s="30">
        <v>45694</v>
      </c>
    </row>
    <row r="624" spans="1:5">
      <c r="A624" s="133" t="s">
        <v>995</v>
      </c>
      <c r="B624" s="134"/>
      <c r="C624" s="29" t="s">
        <v>5</v>
      </c>
      <c r="D624" s="29" t="s">
        <v>179</v>
      </c>
      <c r="E624" s="30">
        <v>45695</v>
      </c>
    </row>
    <row r="625" spans="1:5">
      <c r="A625" s="133" t="s">
        <v>996</v>
      </c>
      <c r="B625" s="134"/>
      <c r="C625" s="29" t="s">
        <v>50</v>
      </c>
      <c r="D625" s="29" t="s">
        <v>60</v>
      </c>
      <c r="E625" s="30">
        <v>45695</v>
      </c>
    </row>
    <row r="626" spans="1:5">
      <c r="A626" s="133" t="s">
        <v>997</v>
      </c>
      <c r="B626" s="134"/>
      <c r="C626" s="29" t="s">
        <v>5</v>
      </c>
      <c r="D626" s="29" t="s">
        <v>275</v>
      </c>
      <c r="E626" s="30">
        <v>45701</v>
      </c>
    </row>
    <row r="627" spans="1:5">
      <c r="A627" s="133" t="s">
        <v>998</v>
      </c>
      <c r="B627" s="134"/>
      <c r="C627" s="29" t="s">
        <v>5</v>
      </c>
      <c r="D627" s="29" t="s">
        <v>999</v>
      </c>
      <c r="E627" s="30">
        <v>45702</v>
      </c>
    </row>
    <row r="628" spans="1:5">
      <c r="A628" s="133" t="s">
        <v>1000</v>
      </c>
      <c r="B628" s="134"/>
      <c r="C628" s="29" t="s">
        <v>5</v>
      </c>
      <c r="D628" s="29" t="s">
        <v>136</v>
      </c>
      <c r="E628" s="30">
        <v>45702</v>
      </c>
    </row>
    <row r="629" spans="1:5">
      <c r="A629" s="133" t="s">
        <v>1001</v>
      </c>
      <c r="B629" s="134"/>
      <c r="C629" s="29" t="s">
        <v>5</v>
      </c>
      <c r="D629" s="29" t="s">
        <v>30</v>
      </c>
      <c r="E629" s="30">
        <v>45702</v>
      </c>
    </row>
    <row r="630" spans="1:5">
      <c r="A630" s="133" t="s">
        <v>913</v>
      </c>
      <c r="B630" s="134"/>
      <c r="C630" s="29" t="s">
        <v>5</v>
      </c>
      <c r="D630" s="29" t="s">
        <v>263</v>
      </c>
      <c r="E630" s="30">
        <v>45703</v>
      </c>
    </row>
    <row r="631" spans="1:5">
      <c r="A631" s="133" t="s">
        <v>1002</v>
      </c>
      <c r="B631" s="134"/>
      <c r="C631" s="29" t="s">
        <v>5</v>
      </c>
      <c r="D631" s="29" t="s">
        <v>990</v>
      </c>
      <c r="E631" s="30">
        <v>45705</v>
      </c>
    </row>
    <row r="632" spans="1:5">
      <c r="A632" s="133" t="s">
        <v>1003</v>
      </c>
      <c r="B632" s="134"/>
      <c r="C632" s="29" t="s">
        <v>5</v>
      </c>
      <c r="D632" s="29" t="s">
        <v>1004</v>
      </c>
      <c r="E632" s="30">
        <v>45706</v>
      </c>
    </row>
    <row r="633" spans="1:5">
      <c r="A633" s="133" t="s">
        <v>1005</v>
      </c>
      <c r="B633" s="134"/>
      <c r="C633" s="29" t="s">
        <v>5</v>
      </c>
      <c r="D633" s="29" t="s">
        <v>1006</v>
      </c>
      <c r="E633" s="30">
        <v>45708</v>
      </c>
    </row>
    <row r="634" spans="1:5">
      <c r="A634" s="133" t="s">
        <v>1007</v>
      </c>
      <c r="B634" s="134"/>
      <c r="C634" s="29" t="s">
        <v>5</v>
      </c>
      <c r="D634" s="29" t="s">
        <v>1008</v>
      </c>
      <c r="E634" s="30">
        <v>45712</v>
      </c>
    </row>
    <row r="635" spans="1:5">
      <c r="A635" s="133" t="s">
        <v>1009</v>
      </c>
      <c r="B635" s="134"/>
      <c r="C635" s="29" t="s">
        <v>5</v>
      </c>
      <c r="D635" s="29" t="s">
        <v>62</v>
      </c>
      <c r="E635" s="30">
        <v>45712</v>
      </c>
    </row>
    <row r="636" spans="1:5">
      <c r="A636" s="133" t="s">
        <v>1010</v>
      </c>
      <c r="B636" s="134"/>
      <c r="C636" s="29" t="s">
        <v>5</v>
      </c>
      <c r="D636" s="29" t="s">
        <v>30</v>
      </c>
      <c r="E636" s="30">
        <v>45712</v>
      </c>
    </row>
    <row r="637" spans="1:5">
      <c r="A637" s="133" t="s">
        <v>1011</v>
      </c>
      <c r="B637" s="134"/>
      <c r="C637" s="29" t="s">
        <v>5</v>
      </c>
      <c r="D637" s="29" t="s">
        <v>1012</v>
      </c>
      <c r="E637" s="30">
        <v>45713</v>
      </c>
    </row>
    <row r="638" spans="1:5">
      <c r="A638" s="133" t="s">
        <v>1013</v>
      </c>
      <c r="B638" s="134"/>
      <c r="C638" s="29" t="s">
        <v>5</v>
      </c>
      <c r="D638" s="29" t="s">
        <v>1014</v>
      </c>
      <c r="E638" s="30">
        <v>45715</v>
      </c>
    </row>
    <row r="639" spans="1:5">
      <c r="A639" s="133" t="s">
        <v>1015</v>
      </c>
      <c r="B639" s="134"/>
      <c r="C639" s="29" t="s">
        <v>5</v>
      </c>
      <c r="D639" s="29" t="s">
        <v>1016</v>
      </c>
      <c r="E639" s="30">
        <v>45715</v>
      </c>
    </row>
    <row r="640" spans="1:5">
      <c r="A640" s="133" t="s">
        <v>1017</v>
      </c>
      <c r="B640" s="134"/>
      <c r="C640" s="29" t="s">
        <v>5</v>
      </c>
      <c r="D640" s="29" t="s">
        <v>1018</v>
      </c>
      <c r="E640" s="30">
        <v>45715</v>
      </c>
    </row>
    <row r="641" spans="1:5">
      <c r="A641" s="133" t="s">
        <v>1019</v>
      </c>
      <c r="B641" s="134"/>
      <c r="C641" s="29" t="s">
        <v>5</v>
      </c>
      <c r="D641" s="29" t="s">
        <v>90</v>
      </c>
      <c r="E641" s="30">
        <v>45716</v>
      </c>
    </row>
    <row r="642" spans="1:5">
      <c r="A642" s="133" t="s">
        <v>1020</v>
      </c>
      <c r="B642" s="134"/>
      <c r="C642" s="29" t="s">
        <v>5</v>
      </c>
      <c r="D642" s="29" t="s">
        <v>282</v>
      </c>
      <c r="E642" s="30">
        <v>45722</v>
      </c>
    </row>
    <row r="643" spans="1:5">
      <c r="A643" s="133" t="s">
        <v>1021</v>
      </c>
      <c r="B643" s="134"/>
      <c r="C643" s="29" t="s">
        <v>16</v>
      </c>
      <c r="D643" s="29" t="s">
        <v>379</v>
      </c>
      <c r="E643" s="30">
        <v>45723</v>
      </c>
    </row>
    <row r="644" spans="1:5">
      <c r="A644" s="133" t="s">
        <v>1022</v>
      </c>
      <c r="B644" s="134"/>
      <c r="C644" s="29" t="s">
        <v>5</v>
      </c>
      <c r="D644" s="29" t="s">
        <v>1023</v>
      </c>
      <c r="E644" s="30">
        <v>45723</v>
      </c>
    </row>
    <row r="645" spans="1:5">
      <c r="A645" s="133" t="s">
        <v>1024</v>
      </c>
      <c r="B645" s="134"/>
      <c r="C645" s="29" t="s">
        <v>5</v>
      </c>
      <c r="D645" s="29" t="s">
        <v>1025</v>
      </c>
      <c r="E645" s="30">
        <v>45724</v>
      </c>
    </row>
    <row r="646" spans="1:5">
      <c r="A646" s="133" t="s">
        <v>1026</v>
      </c>
      <c r="B646" s="134"/>
      <c r="C646" s="29" t="s">
        <v>5</v>
      </c>
      <c r="D646" s="29" t="s">
        <v>396</v>
      </c>
      <c r="E646" s="30">
        <v>45726</v>
      </c>
    </row>
    <row r="647" spans="1:5">
      <c r="A647" s="133" t="s">
        <v>1027</v>
      </c>
      <c r="B647" s="134"/>
      <c r="C647" s="29" t="s">
        <v>5</v>
      </c>
      <c r="D647" s="29" t="s">
        <v>62</v>
      </c>
      <c r="E647" s="30">
        <v>45727</v>
      </c>
    </row>
    <row r="648" spans="1:5">
      <c r="A648" s="133" t="s">
        <v>1028</v>
      </c>
      <c r="B648" s="134"/>
      <c r="C648" s="29" t="s">
        <v>5</v>
      </c>
      <c r="D648" s="29" t="s">
        <v>1029</v>
      </c>
      <c r="E648" s="30">
        <v>45727</v>
      </c>
    </row>
    <row r="649" spans="1:5">
      <c r="A649" s="133" t="s">
        <v>1030</v>
      </c>
      <c r="B649" s="134"/>
      <c r="C649" s="29" t="s">
        <v>5</v>
      </c>
      <c r="D649" s="29" t="s">
        <v>1029</v>
      </c>
      <c r="E649" s="30">
        <v>45727</v>
      </c>
    </row>
    <row r="650" spans="1:5">
      <c r="A650" s="133" t="s">
        <v>1031</v>
      </c>
      <c r="B650" s="134"/>
      <c r="C650" s="29" t="s">
        <v>864</v>
      </c>
      <c r="D650" s="29" t="s">
        <v>1032</v>
      </c>
      <c r="E650" s="30">
        <v>45728</v>
      </c>
    </row>
    <row r="651" spans="1:5">
      <c r="A651" s="133" t="s">
        <v>1033</v>
      </c>
      <c r="B651" s="134"/>
      <c r="C651" s="29" t="s">
        <v>5</v>
      </c>
      <c r="D651" s="29" t="s">
        <v>925</v>
      </c>
      <c r="E651" s="30">
        <v>45730</v>
      </c>
    </row>
    <row r="652" spans="1:5">
      <c r="A652" s="133" t="s">
        <v>1034</v>
      </c>
      <c r="B652" s="134"/>
      <c r="C652" s="29" t="s">
        <v>5</v>
      </c>
      <c r="D652" s="29" t="s">
        <v>1035</v>
      </c>
      <c r="E652" s="30">
        <v>45730</v>
      </c>
    </row>
    <row r="653" spans="1:5">
      <c r="A653" s="133" t="s">
        <v>1036</v>
      </c>
      <c r="B653" s="134"/>
      <c r="C653" s="29" t="s">
        <v>5</v>
      </c>
      <c r="D653" s="29" t="s">
        <v>1037</v>
      </c>
      <c r="E653" s="30">
        <v>45733</v>
      </c>
    </row>
    <row r="654" spans="1:5">
      <c r="A654" s="133" t="s">
        <v>1038</v>
      </c>
      <c r="B654" s="134"/>
      <c r="C654" s="29" t="s">
        <v>145</v>
      </c>
      <c r="D654" s="29" t="s">
        <v>1039</v>
      </c>
      <c r="E654" s="30">
        <v>45734</v>
      </c>
    </row>
    <row r="655" spans="1:5">
      <c r="A655" s="133" t="s">
        <v>1040</v>
      </c>
      <c r="B655" s="134"/>
      <c r="C655" s="29" t="s">
        <v>145</v>
      </c>
      <c r="D655" s="29" t="s">
        <v>1041</v>
      </c>
      <c r="E655" s="30">
        <v>45734</v>
      </c>
    </row>
    <row r="656" spans="1:5">
      <c r="A656" s="133" t="s">
        <v>1042</v>
      </c>
      <c r="B656" s="134"/>
      <c r="C656" s="29" t="s">
        <v>145</v>
      </c>
      <c r="D656" s="29" t="s">
        <v>1043</v>
      </c>
      <c r="E656" s="30">
        <v>45734</v>
      </c>
    </row>
    <row r="657" spans="1:5">
      <c r="A657" s="133" t="s">
        <v>1044</v>
      </c>
      <c r="B657" s="134"/>
      <c r="C657" s="29" t="s">
        <v>145</v>
      </c>
      <c r="D657" s="29" t="s">
        <v>1045</v>
      </c>
      <c r="E657" s="30">
        <v>45734</v>
      </c>
    </row>
    <row r="658" spans="1:5">
      <c r="A658" s="133" t="s">
        <v>1046</v>
      </c>
      <c r="B658" s="134"/>
      <c r="C658" s="29" t="s">
        <v>5</v>
      </c>
      <c r="D658" s="29" t="s">
        <v>90</v>
      </c>
      <c r="E658" s="30">
        <v>45737</v>
      </c>
    </row>
    <row r="659" spans="1:5">
      <c r="A659" s="133" t="s">
        <v>1047</v>
      </c>
      <c r="B659" s="134"/>
      <c r="C659" s="29" t="s">
        <v>16</v>
      </c>
      <c r="D659" s="29" t="s">
        <v>1048</v>
      </c>
      <c r="E659" s="30">
        <v>45737</v>
      </c>
    </row>
    <row r="660" spans="1:5">
      <c r="A660" s="133" t="s">
        <v>1049</v>
      </c>
      <c r="B660" s="134"/>
      <c r="C660" s="29" t="s">
        <v>5</v>
      </c>
      <c r="D660" s="29" t="s">
        <v>30</v>
      </c>
      <c r="E660" s="30">
        <v>45737</v>
      </c>
    </row>
    <row r="661" spans="1:5">
      <c r="A661" s="133" t="s">
        <v>1050</v>
      </c>
      <c r="B661" s="134"/>
      <c r="C661" s="29" t="s">
        <v>5</v>
      </c>
      <c r="D661" s="29" t="s">
        <v>30</v>
      </c>
      <c r="E661" s="30">
        <v>45740</v>
      </c>
    </row>
    <row r="662" spans="1:5">
      <c r="A662" s="133" t="s">
        <v>1051</v>
      </c>
      <c r="B662" s="134"/>
      <c r="C662" s="29" t="s">
        <v>5</v>
      </c>
      <c r="D662" s="29" t="s">
        <v>179</v>
      </c>
      <c r="E662" s="30">
        <v>45741</v>
      </c>
    </row>
    <row r="663" spans="1:5">
      <c r="A663" s="133" t="s">
        <v>1052</v>
      </c>
      <c r="B663" s="134"/>
      <c r="C663" s="29" t="s">
        <v>5</v>
      </c>
      <c r="D663" s="29" t="s">
        <v>199</v>
      </c>
      <c r="E663" s="30">
        <v>45742</v>
      </c>
    </row>
    <row r="664" spans="1:5">
      <c r="A664" s="133" t="s">
        <v>1053</v>
      </c>
      <c r="B664" s="134"/>
      <c r="C664" s="29" t="s">
        <v>5</v>
      </c>
      <c r="D664" s="29" t="s">
        <v>6</v>
      </c>
      <c r="E664" s="30">
        <v>45743</v>
      </c>
    </row>
    <row r="665" spans="1:5">
      <c r="A665" s="133" t="s">
        <v>1054</v>
      </c>
      <c r="B665" s="134"/>
      <c r="C665" s="29" t="s">
        <v>5</v>
      </c>
      <c r="D665" s="29" t="s">
        <v>856</v>
      </c>
      <c r="E665" s="30">
        <v>45744</v>
      </c>
    </row>
    <row r="666" spans="1:5">
      <c r="A666" s="133" t="s">
        <v>1055</v>
      </c>
      <c r="B666" s="134"/>
      <c r="C666" s="29" t="s">
        <v>5</v>
      </c>
      <c r="D666" s="29" t="s">
        <v>311</v>
      </c>
      <c r="E666" s="30">
        <v>45744</v>
      </c>
    </row>
    <row r="667" spans="1:5">
      <c r="A667" s="133" t="s">
        <v>1056</v>
      </c>
      <c r="B667" s="134"/>
      <c r="C667" s="29" t="s">
        <v>5</v>
      </c>
      <c r="D667" s="29" t="s">
        <v>1057</v>
      </c>
      <c r="E667" s="30">
        <v>45751</v>
      </c>
    </row>
    <row r="668" spans="1:5">
      <c r="A668" s="133" t="s">
        <v>1058</v>
      </c>
      <c r="B668" s="134"/>
      <c r="C668" s="29" t="s">
        <v>5</v>
      </c>
      <c r="D668" s="29" t="s">
        <v>1057</v>
      </c>
      <c r="E668" s="30">
        <v>45751</v>
      </c>
    </row>
    <row r="669" spans="1:5">
      <c r="A669" s="133" t="s">
        <v>1059</v>
      </c>
      <c r="B669" s="134"/>
      <c r="C669" s="29" t="s">
        <v>5</v>
      </c>
      <c r="D669" s="29" t="s">
        <v>199</v>
      </c>
      <c r="E669" s="30">
        <v>45753</v>
      </c>
    </row>
    <row r="670" spans="1:5">
      <c r="A670" s="133" t="s">
        <v>1060</v>
      </c>
      <c r="B670" s="134"/>
      <c r="C670" s="29" t="s">
        <v>16</v>
      </c>
      <c r="D670" s="29" t="s">
        <v>30</v>
      </c>
      <c r="E670" s="30">
        <v>45755</v>
      </c>
    </row>
    <row r="671" spans="1:5">
      <c r="A671" s="133" t="s">
        <v>1061</v>
      </c>
      <c r="B671" s="134"/>
      <c r="C671" s="29" t="s">
        <v>5</v>
      </c>
      <c r="D671" s="29" t="s">
        <v>1062</v>
      </c>
      <c r="E671" s="30">
        <v>45756</v>
      </c>
    </row>
    <row r="672" spans="1:5">
      <c r="A672" s="133" t="s">
        <v>1063</v>
      </c>
      <c r="B672" s="134"/>
      <c r="C672" s="29" t="s">
        <v>5</v>
      </c>
      <c r="D672" s="29" t="s">
        <v>1064</v>
      </c>
      <c r="E672" s="30">
        <v>45756</v>
      </c>
    </row>
    <row r="673" spans="1:5">
      <c r="A673" s="133" t="s">
        <v>1065</v>
      </c>
      <c r="B673" s="134"/>
      <c r="C673" s="29" t="s">
        <v>5</v>
      </c>
      <c r="D673" s="29" t="s">
        <v>1066</v>
      </c>
      <c r="E673" s="30">
        <v>45758</v>
      </c>
    </row>
    <row r="674" spans="1:5">
      <c r="A674" s="133" t="s">
        <v>1067</v>
      </c>
      <c r="B674" s="134"/>
      <c r="C674" s="29" t="s">
        <v>16</v>
      </c>
      <c r="D674" s="29" t="s">
        <v>1068</v>
      </c>
      <c r="E674" s="30">
        <v>45762</v>
      </c>
    </row>
    <row r="675" spans="1:5">
      <c r="A675" s="133" t="s">
        <v>1069</v>
      </c>
      <c r="B675" s="134"/>
      <c r="C675" s="29" t="s">
        <v>5</v>
      </c>
      <c r="D675" s="29" t="s">
        <v>1070</v>
      </c>
      <c r="E675" s="30">
        <v>45765</v>
      </c>
    </row>
    <row r="676" spans="1:5">
      <c r="A676" s="133" t="s">
        <v>1071</v>
      </c>
      <c r="B676" s="134"/>
      <c r="C676" s="29" t="s">
        <v>5</v>
      </c>
      <c r="D676" s="29" t="s">
        <v>1072</v>
      </c>
      <c r="E676" s="30">
        <v>45765</v>
      </c>
    </row>
    <row r="677" spans="1:5">
      <c r="A677" s="133" t="s">
        <v>1073</v>
      </c>
      <c r="B677" s="134"/>
      <c r="C677" s="29" t="s">
        <v>5</v>
      </c>
      <c r="D677" s="29" t="s">
        <v>304</v>
      </c>
      <c r="E677" s="30">
        <v>45770</v>
      </c>
    </row>
    <row r="678" spans="1:5">
      <c r="A678" s="133" t="s">
        <v>1074</v>
      </c>
      <c r="B678" s="134"/>
      <c r="C678" s="29" t="s">
        <v>16</v>
      </c>
      <c r="D678" s="29" t="s">
        <v>1075</v>
      </c>
      <c r="E678" s="30">
        <v>45771</v>
      </c>
    </row>
    <row r="679" spans="1:5">
      <c r="A679" s="133" t="s">
        <v>1067</v>
      </c>
      <c r="B679" s="134"/>
      <c r="C679" s="29" t="s">
        <v>16</v>
      </c>
      <c r="D679" s="29" t="s">
        <v>1076</v>
      </c>
      <c r="E679" s="30">
        <v>45771</v>
      </c>
    </row>
    <row r="680" spans="1:5">
      <c r="A680" s="133" t="s">
        <v>1077</v>
      </c>
      <c r="B680" s="134"/>
      <c r="C680" s="29" t="s">
        <v>5</v>
      </c>
      <c r="D680" s="29" t="s">
        <v>1078</v>
      </c>
      <c r="E680" s="30">
        <v>45772</v>
      </c>
    </row>
    <row r="681" spans="1:5">
      <c r="A681" s="133" t="s">
        <v>1079</v>
      </c>
      <c r="B681" s="134"/>
      <c r="C681" s="29" t="s">
        <v>5</v>
      </c>
      <c r="D681" s="29" t="s">
        <v>1078</v>
      </c>
      <c r="E681" s="30">
        <v>45772</v>
      </c>
    </row>
    <row r="682" spans="1:5">
      <c r="A682" s="133" t="s">
        <v>1080</v>
      </c>
      <c r="B682" s="134"/>
      <c r="C682" s="29" t="s">
        <v>5</v>
      </c>
      <c r="D682" s="29" t="s">
        <v>1081</v>
      </c>
      <c r="E682" s="30">
        <v>45772</v>
      </c>
    </row>
    <row r="683" spans="1:5">
      <c r="A683" s="133" t="s">
        <v>1082</v>
      </c>
      <c r="B683" s="134"/>
      <c r="C683" s="29" t="s">
        <v>5</v>
      </c>
      <c r="D683" s="29" t="s">
        <v>62</v>
      </c>
      <c r="E683" s="30">
        <v>45773</v>
      </c>
    </row>
    <row r="684" spans="1:5">
      <c r="A684" s="133" t="s">
        <v>1083</v>
      </c>
      <c r="B684" s="134"/>
      <c r="C684" s="29" t="s">
        <v>5</v>
      </c>
      <c r="D684" s="29" t="s">
        <v>280</v>
      </c>
      <c r="E684" s="30">
        <v>45773</v>
      </c>
    </row>
    <row r="685" spans="1:5">
      <c r="A685" s="133" t="s">
        <v>1084</v>
      </c>
      <c r="B685" s="134"/>
      <c r="C685" s="29" t="s">
        <v>5</v>
      </c>
      <c r="D685" s="29" t="s">
        <v>1085</v>
      </c>
      <c r="E685" s="30">
        <v>45777</v>
      </c>
    </row>
    <row r="686" spans="1:5">
      <c r="A686" s="133" t="s">
        <v>1086</v>
      </c>
      <c r="B686" s="134"/>
      <c r="C686" s="29" t="s">
        <v>5</v>
      </c>
      <c r="D686" s="29" t="s">
        <v>952</v>
      </c>
      <c r="E686" s="30">
        <v>45778</v>
      </c>
    </row>
    <row r="687" spans="1:5">
      <c r="A687" s="133" t="s">
        <v>1087</v>
      </c>
      <c r="B687" s="134"/>
      <c r="C687" s="29" t="s">
        <v>5</v>
      </c>
      <c r="D687" s="29" t="s">
        <v>149</v>
      </c>
      <c r="E687" s="30">
        <v>45778</v>
      </c>
    </row>
    <row r="688" spans="1:5">
      <c r="A688" s="133" t="s">
        <v>1088</v>
      </c>
      <c r="B688" s="134"/>
      <c r="C688" s="29" t="s">
        <v>5</v>
      </c>
      <c r="D688" s="29" t="s">
        <v>1072</v>
      </c>
      <c r="E688" s="30">
        <v>45778</v>
      </c>
    </row>
    <row r="689" spans="1:5">
      <c r="A689" s="133" t="s">
        <v>1089</v>
      </c>
      <c r="B689" s="134"/>
      <c r="C689" s="29" t="s">
        <v>5</v>
      </c>
      <c r="D689" s="29" t="s">
        <v>330</v>
      </c>
      <c r="E689" s="30">
        <v>45778</v>
      </c>
    </row>
    <row r="690" spans="1:5">
      <c r="A690" s="133" t="s">
        <v>1090</v>
      </c>
      <c r="B690" s="134"/>
      <c r="C690" s="29" t="s">
        <v>5</v>
      </c>
      <c r="D690" s="29" t="s">
        <v>1091</v>
      </c>
      <c r="E690" s="30">
        <v>45778</v>
      </c>
    </row>
    <row r="691" spans="1:5">
      <c r="A691" s="133" t="s">
        <v>1092</v>
      </c>
      <c r="B691" s="134"/>
      <c r="C691" s="29" t="s">
        <v>5</v>
      </c>
      <c r="D691" s="29" t="s">
        <v>1085</v>
      </c>
      <c r="E691" s="30">
        <v>45778</v>
      </c>
    </row>
    <row r="692" spans="1:5">
      <c r="A692" s="133" t="s">
        <v>1093</v>
      </c>
      <c r="B692" s="134"/>
      <c r="C692" s="29" t="s">
        <v>5</v>
      </c>
      <c r="D692" s="29" t="s">
        <v>30</v>
      </c>
      <c r="E692" s="30">
        <v>45783</v>
      </c>
    </row>
    <row r="693" spans="1:5">
      <c r="A693" s="133" t="s">
        <v>1094</v>
      </c>
      <c r="B693" s="134"/>
      <c r="C693" s="29" t="s">
        <v>5</v>
      </c>
      <c r="D693" s="29" t="s">
        <v>30</v>
      </c>
      <c r="E693" s="30">
        <v>45783</v>
      </c>
    </row>
    <row r="694" spans="1:5">
      <c r="A694" s="133" t="s">
        <v>1095</v>
      </c>
      <c r="B694" s="134"/>
      <c r="C694" s="29" t="s">
        <v>5</v>
      </c>
      <c r="D694" s="29" t="s">
        <v>30</v>
      </c>
      <c r="E694" s="30">
        <v>45783</v>
      </c>
    </row>
    <row r="695" spans="1:5">
      <c r="A695" s="133" t="s">
        <v>1096</v>
      </c>
      <c r="B695" s="134"/>
      <c r="C695" s="29" t="s">
        <v>16</v>
      </c>
      <c r="D695" s="29" t="s">
        <v>1097</v>
      </c>
      <c r="E695" s="30">
        <v>45784</v>
      </c>
    </row>
    <row r="696" spans="1:5">
      <c r="A696" s="133" t="s">
        <v>1098</v>
      </c>
      <c r="B696" s="134"/>
      <c r="C696" s="29" t="s">
        <v>5</v>
      </c>
      <c r="D696" s="29" t="s">
        <v>414</v>
      </c>
      <c r="E696" s="30">
        <v>45784</v>
      </c>
    </row>
    <row r="697" spans="1:5">
      <c r="A697" s="133" t="s">
        <v>1099</v>
      </c>
      <c r="B697" s="134"/>
      <c r="C697" s="29" t="s">
        <v>5</v>
      </c>
      <c r="D697" s="29" t="s">
        <v>38</v>
      </c>
      <c r="E697" s="30">
        <v>45786</v>
      </c>
    </row>
    <row r="698" spans="1:5">
      <c r="A698" s="133" t="s">
        <v>1100</v>
      </c>
      <c r="B698" s="134"/>
      <c r="C698" s="29" t="s">
        <v>5</v>
      </c>
      <c r="D698" s="29" t="s">
        <v>1066</v>
      </c>
      <c r="E698" s="30">
        <v>45786</v>
      </c>
    </row>
    <row r="699" spans="1:5">
      <c r="A699" s="133" t="s">
        <v>1101</v>
      </c>
      <c r="B699" s="134"/>
      <c r="C699" s="29" t="s">
        <v>5</v>
      </c>
      <c r="D699" s="29" t="s">
        <v>332</v>
      </c>
      <c r="E699" s="30">
        <v>45789</v>
      </c>
    </row>
    <row r="700" spans="1:5">
      <c r="A700" s="133" t="s">
        <v>1102</v>
      </c>
      <c r="B700" s="134"/>
      <c r="C700" s="29" t="s">
        <v>5</v>
      </c>
      <c r="D700" s="29" t="s">
        <v>391</v>
      </c>
      <c r="E700" s="30">
        <v>45789</v>
      </c>
    </row>
    <row r="701" spans="1:5">
      <c r="A701" s="133" t="s">
        <v>1103</v>
      </c>
      <c r="B701" s="134"/>
      <c r="C701" s="29" t="s">
        <v>5</v>
      </c>
      <c r="D701" s="29" t="s">
        <v>1104</v>
      </c>
      <c r="E701" s="30">
        <v>45790</v>
      </c>
    </row>
    <row r="702" spans="1:5">
      <c r="A702" s="133" t="s">
        <v>1105</v>
      </c>
      <c r="B702" s="134"/>
      <c r="C702" s="29" t="s">
        <v>142</v>
      </c>
      <c r="D702" s="29" t="s">
        <v>1106</v>
      </c>
      <c r="E702" s="30">
        <v>45791</v>
      </c>
    </row>
    <row r="703" spans="1:5">
      <c r="A703" s="133" t="s">
        <v>1107</v>
      </c>
      <c r="B703" s="134"/>
      <c r="C703" s="29" t="s">
        <v>5</v>
      </c>
      <c r="D703" s="29" t="s">
        <v>304</v>
      </c>
      <c r="E703" s="30">
        <v>45792</v>
      </c>
    </row>
    <row r="704" spans="1:5">
      <c r="A704" s="133" t="s">
        <v>1108</v>
      </c>
      <c r="B704" s="134"/>
      <c r="C704" s="29" t="s">
        <v>5</v>
      </c>
      <c r="D704" s="29" t="s">
        <v>304</v>
      </c>
      <c r="E704" s="30">
        <v>45792</v>
      </c>
    </row>
    <row r="705" spans="1:5">
      <c r="A705" s="133" t="s">
        <v>1109</v>
      </c>
      <c r="B705" s="134"/>
      <c r="C705" s="29" t="s">
        <v>5</v>
      </c>
      <c r="D705" s="29" t="s">
        <v>1110</v>
      </c>
      <c r="E705" s="30">
        <v>45792</v>
      </c>
    </row>
    <row r="706" spans="1:5">
      <c r="A706" s="133" t="s">
        <v>1111</v>
      </c>
      <c r="B706" s="134"/>
      <c r="C706" s="29" t="s">
        <v>5</v>
      </c>
      <c r="D706" s="29" t="s">
        <v>97</v>
      </c>
      <c r="E706" s="30">
        <v>45793</v>
      </c>
    </row>
    <row r="707" spans="1:5">
      <c r="A707" s="133" t="s">
        <v>1112</v>
      </c>
      <c r="B707" s="134"/>
      <c r="C707" s="29" t="s">
        <v>1113</v>
      </c>
      <c r="D707" s="29" t="s">
        <v>1114</v>
      </c>
      <c r="E707" s="30">
        <v>45796</v>
      </c>
    </row>
    <row r="708" spans="1:5">
      <c r="A708" s="133" t="s">
        <v>1115</v>
      </c>
      <c r="B708" s="134"/>
      <c r="C708" s="29" t="s">
        <v>16</v>
      </c>
      <c r="D708" s="29" t="s">
        <v>502</v>
      </c>
      <c r="E708" s="30">
        <v>45796</v>
      </c>
    </row>
    <row r="709" spans="1:5">
      <c r="A709" s="133" t="s">
        <v>1116</v>
      </c>
      <c r="B709" s="134"/>
      <c r="C709" s="29" t="s">
        <v>1113</v>
      </c>
      <c r="D709" s="29" t="s">
        <v>1117</v>
      </c>
      <c r="E709" s="30">
        <v>45796</v>
      </c>
    </row>
    <row r="710" spans="1:5">
      <c r="A710" s="133" t="s">
        <v>1118</v>
      </c>
      <c r="B710" s="134"/>
      <c r="C710" s="29" t="s">
        <v>1113</v>
      </c>
      <c r="D710" s="29" t="s">
        <v>1119</v>
      </c>
      <c r="E710" s="30">
        <v>45796</v>
      </c>
    </row>
    <row r="711" spans="1:5">
      <c r="A711" s="133" t="s">
        <v>1120</v>
      </c>
      <c r="B711" s="134"/>
      <c r="C711" s="29" t="s">
        <v>1113</v>
      </c>
      <c r="D711" s="29" t="s">
        <v>1119</v>
      </c>
      <c r="E711" s="30">
        <v>45796</v>
      </c>
    </row>
    <row r="712" spans="1:5">
      <c r="A712" s="133" t="s">
        <v>1121</v>
      </c>
      <c r="B712" s="134"/>
      <c r="C712" s="29" t="s">
        <v>1113</v>
      </c>
      <c r="D712" s="29" t="s">
        <v>1117</v>
      </c>
      <c r="E712" s="30">
        <v>45796</v>
      </c>
    </row>
    <row r="713" spans="1:5">
      <c r="A713" s="133" t="s">
        <v>1122</v>
      </c>
      <c r="B713" s="134"/>
      <c r="C713" s="29" t="s">
        <v>5</v>
      </c>
      <c r="D713" s="29" t="s">
        <v>161</v>
      </c>
      <c r="E713" s="30">
        <v>45797</v>
      </c>
    </row>
    <row r="714" spans="1:5">
      <c r="A714" s="133" t="s">
        <v>1123</v>
      </c>
      <c r="B714" s="134"/>
      <c r="C714" s="29" t="s">
        <v>5</v>
      </c>
      <c r="D714" s="29" t="s">
        <v>1124</v>
      </c>
      <c r="E714" s="30">
        <v>45797</v>
      </c>
    </row>
    <row r="715" spans="1:5">
      <c r="A715" s="133" t="s">
        <v>1125</v>
      </c>
      <c r="B715" s="134"/>
      <c r="C715" s="29" t="s">
        <v>5</v>
      </c>
      <c r="D715" s="29" t="s">
        <v>1126</v>
      </c>
      <c r="E715" s="30">
        <v>45798</v>
      </c>
    </row>
    <row r="716" spans="1:5">
      <c r="A716" s="133" t="s">
        <v>1127</v>
      </c>
      <c r="B716" s="134"/>
      <c r="C716" s="29" t="s">
        <v>5</v>
      </c>
      <c r="D716" s="29" t="s">
        <v>62</v>
      </c>
      <c r="E716" s="30">
        <v>45800</v>
      </c>
    </row>
    <row r="717" spans="1:5">
      <c r="A717" s="133" t="s">
        <v>1128</v>
      </c>
      <c r="B717" s="134"/>
      <c r="C717" s="29" t="s">
        <v>5</v>
      </c>
      <c r="D717" s="29" t="s">
        <v>1014</v>
      </c>
      <c r="E717" s="30">
        <v>45804</v>
      </c>
    </row>
    <row r="718" spans="1:5">
      <c r="A718" s="133" t="s">
        <v>1129</v>
      </c>
      <c r="B718" s="134"/>
      <c r="C718" s="29" t="s">
        <v>1113</v>
      </c>
      <c r="D718" s="29" t="s">
        <v>1119</v>
      </c>
      <c r="E718" s="30">
        <v>45805</v>
      </c>
    </row>
    <row r="719" spans="1:5">
      <c r="A719" s="133" t="s">
        <v>1130</v>
      </c>
      <c r="B719" s="134"/>
      <c r="C719" s="29" t="s">
        <v>1113</v>
      </c>
      <c r="D719" s="29" t="s">
        <v>1131</v>
      </c>
      <c r="E719" s="30">
        <v>45805</v>
      </c>
    </row>
    <row r="720" spans="1:5">
      <c r="A720" s="133" t="s">
        <v>1132</v>
      </c>
      <c r="B720" s="134"/>
      <c r="C720" s="29" t="s">
        <v>1113</v>
      </c>
      <c r="D720" s="29" t="s">
        <v>1117</v>
      </c>
      <c r="E720" s="30">
        <v>45805</v>
      </c>
    </row>
    <row r="721" spans="1:5">
      <c r="A721" s="133" t="s">
        <v>1133</v>
      </c>
      <c r="B721" s="134"/>
      <c r="C721" s="29" t="s">
        <v>5</v>
      </c>
      <c r="D721" s="29" t="s">
        <v>6</v>
      </c>
      <c r="E721" s="30">
        <v>45806</v>
      </c>
    </row>
    <row r="722" spans="1:5">
      <c r="A722" s="133" t="s">
        <v>1134</v>
      </c>
      <c r="B722" s="134"/>
      <c r="C722" s="29" t="s">
        <v>16</v>
      </c>
      <c r="D722" s="29" t="s">
        <v>1135</v>
      </c>
      <c r="E722" s="30">
        <v>45806</v>
      </c>
    </row>
    <row r="723" spans="1:5">
      <c r="A723" s="133" t="s">
        <v>1136</v>
      </c>
      <c r="B723" s="134"/>
      <c r="C723" s="29" t="s">
        <v>5</v>
      </c>
      <c r="D723" s="29" t="s">
        <v>179</v>
      </c>
      <c r="E723" s="30">
        <v>45806</v>
      </c>
    </row>
    <row r="724" spans="1:5">
      <c r="A724" s="133" t="s">
        <v>1137</v>
      </c>
      <c r="B724" s="134"/>
      <c r="C724" s="29" t="s">
        <v>5</v>
      </c>
      <c r="D724" s="29" t="s">
        <v>1138</v>
      </c>
      <c r="E724" s="30">
        <v>45807</v>
      </c>
    </row>
    <row r="725" spans="1:5">
      <c r="A725" s="133" t="s">
        <v>1139</v>
      </c>
      <c r="B725" s="134"/>
      <c r="C725" s="29" t="s">
        <v>5</v>
      </c>
      <c r="D725" s="29" t="s">
        <v>1140</v>
      </c>
      <c r="E725" s="30">
        <v>45807</v>
      </c>
    </row>
    <row r="726" spans="1:5">
      <c r="A726" s="133" t="s">
        <v>1141</v>
      </c>
      <c r="B726" s="134"/>
      <c r="C726" s="29" t="s">
        <v>5</v>
      </c>
      <c r="D726" s="29" t="s">
        <v>1008</v>
      </c>
      <c r="E726" s="30">
        <v>45807</v>
      </c>
    </row>
    <row r="727" spans="1:5">
      <c r="A727" s="133" t="s">
        <v>1142</v>
      </c>
      <c r="B727" s="134"/>
      <c r="C727" s="29" t="s">
        <v>5</v>
      </c>
      <c r="D727" s="29" t="s">
        <v>30</v>
      </c>
      <c r="E727" s="30">
        <v>45809</v>
      </c>
    </row>
    <row r="728" spans="1:5">
      <c r="A728" s="133" t="s">
        <v>1143</v>
      </c>
      <c r="B728" s="134"/>
      <c r="C728" s="29" t="s">
        <v>5</v>
      </c>
      <c r="D728" s="29" t="s">
        <v>32</v>
      </c>
      <c r="E728" s="30">
        <v>45809</v>
      </c>
    </row>
    <row r="729" spans="1:5">
      <c r="A729" s="133" t="s">
        <v>1144</v>
      </c>
      <c r="B729" s="134"/>
      <c r="C729" s="29" t="s">
        <v>5</v>
      </c>
      <c r="D729" s="29" t="s">
        <v>1145</v>
      </c>
      <c r="E729" s="30">
        <v>45810</v>
      </c>
    </row>
    <row r="730" spans="1:5">
      <c r="A730" s="133" t="s">
        <v>1146</v>
      </c>
      <c r="B730" s="134"/>
      <c r="C730" s="29" t="s">
        <v>1113</v>
      </c>
      <c r="D730" s="29" t="s">
        <v>1147</v>
      </c>
      <c r="E730" s="30">
        <v>45810</v>
      </c>
    </row>
    <row r="731" spans="1:5">
      <c r="A731" s="133" t="s">
        <v>1148</v>
      </c>
      <c r="B731" s="134"/>
      <c r="C731" s="29" t="s">
        <v>5</v>
      </c>
      <c r="D731" s="29" t="s">
        <v>1149</v>
      </c>
      <c r="E731" s="30">
        <v>45810</v>
      </c>
    </row>
    <row r="732" spans="1:5">
      <c r="A732" s="133" t="s">
        <v>1150</v>
      </c>
      <c r="B732" s="134"/>
      <c r="C732" s="29" t="s">
        <v>5</v>
      </c>
      <c r="D732" s="29" t="s">
        <v>118</v>
      </c>
      <c r="E732" s="30">
        <v>45810</v>
      </c>
    </row>
    <row r="733" spans="1:5">
      <c r="A733" s="133" t="s">
        <v>1151</v>
      </c>
      <c r="B733" s="134"/>
      <c r="C733" s="29" t="s">
        <v>5</v>
      </c>
      <c r="D733" s="29" t="s">
        <v>337</v>
      </c>
      <c r="E733" s="30">
        <v>45810</v>
      </c>
    </row>
    <row r="734" spans="1:5">
      <c r="A734" s="133" t="s">
        <v>1152</v>
      </c>
      <c r="B734" s="134"/>
      <c r="C734" s="29" t="s">
        <v>5</v>
      </c>
      <c r="D734" s="29" t="s">
        <v>1004</v>
      </c>
      <c r="E734" s="30">
        <v>45810</v>
      </c>
    </row>
    <row r="735" spans="1:5">
      <c r="A735" s="133" t="s">
        <v>1153</v>
      </c>
      <c r="B735" s="134"/>
      <c r="C735" s="29" t="s">
        <v>16</v>
      </c>
      <c r="D735" s="29" t="s">
        <v>311</v>
      </c>
      <c r="E735" s="30">
        <v>45811</v>
      </c>
    </row>
    <row r="736" spans="1:5">
      <c r="A736" s="133" t="s">
        <v>1154</v>
      </c>
      <c r="B736" s="134"/>
      <c r="C736" s="29" t="s">
        <v>1113</v>
      </c>
      <c r="D736" s="29" t="s">
        <v>1117</v>
      </c>
      <c r="E736" s="30">
        <v>45812</v>
      </c>
    </row>
    <row r="737" spans="1:5">
      <c r="A737" s="133" t="s">
        <v>1155</v>
      </c>
      <c r="B737" s="134"/>
      <c r="C737" s="29" t="s">
        <v>1113</v>
      </c>
      <c r="D737" s="29" t="s">
        <v>1156</v>
      </c>
      <c r="E737" s="30">
        <v>45812</v>
      </c>
    </row>
    <row r="738" spans="1:5">
      <c r="A738" s="133" t="s">
        <v>1157</v>
      </c>
      <c r="B738" s="134"/>
      <c r="C738" s="29" t="s">
        <v>1113</v>
      </c>
      <c r="D738" s="29" t="s">
        <v>1156</v>
      </c>
      <c r="E738" s="30">
        <v>45812</v>
      </c>
    </row>
    <row r="739" spans="1:5">
      <c r="A739" s="133" t="s">
        <v>1158</v>
      </c>
      <c r="B739" s="134"/>
      <c r="C739" s="29" t="s">
        <v>1113</v>
      </c>
      <c r="D739" s="29" t="s">
        <v>1117</v>
      </c>
      <c r="E739" s="30">
        <v>45812</v>
      </c>
    </row>
    <row r="740" spans="1:5">
      <c r="A740" s="133" t="s">
        <v>1159</v>
      </c>
      <c r="B740" s="134"/>
      <c r="C740" s="29" t="s">
        <v>1113</v>
      </c>
      <c r="D740" s="29" t="s">
        <v>1117</v>
      </c>
      <c r="E740" s="30">
        <v>45812</v>
      </c>
    </row>
    <row r="741" spans="1:5">
      <c r="A741" s="133" t="s">
        <v>1160</v>
      </c>
      <c r="B741" s="134"/>
      <c r="C741" s="29" t="s">
        <v>1113</v>
      </c>
      <c r="D741" s="29" t="s">
        <v>1117</v>
      </c>
      <c r="E741" s="30">
        <v>45812</v>
      </c>
    </row>
    <row r="742" spans="1:5">
      <c r="A742" s="133" t="s">
        <v>1161</v>
      </c>
      <c r="B742" s="134"/>
      <c r="C742" s="29" t="s">
        <v>1113</v>
      </c>
      <c r="D742" s="29" t="s">
        <v>1162</v>
      </c>
      <c r="E742" s="30">
        <v>45812</v>
      </c>
    </row>
    <row r="743" spans="1:5">
      <c r="A743" s="133" t="s">
        <v>1163</v>
      </c>
      <c r="B743" s="134"/>
      <c r="C743" s="29" t="s">
        <v>1113</v>
      </c>
      <c r="D743" s="29" t="s">
        <v>1117</v>
      </c>
      <c r="E743" s="30">
        <v>45813</v>
      </c>
    </row>
    <row r="744" spans="1:5">
      <c r="A744" s="133" t="s">
        <v>1164</v>
      </c>
      <c r="B744" s="134"/>
      <c r="C744" s="29" t="s">
        <v>1113</v>
      </c>
      <c r="D744" s="29" t="s">
        <v>1117</v>
      </c>
      <c r="E744" s="30">
        <v>45813</v>
      </c>
    </row>
    <row r="745" spans="1:5">
      <c r="A745" s="133" t="s">
        <v>1165</v>
      </c>
      <c r="B745" s="134"/>
      <c r="C745" s="29" t="s">
        <v>1113</v>
      </c>
      <c r="D745" s="29" t="s">
        <v>1166</v>
      </c>
      <c r="E745" s="30">
        <v>45813</v>
      </c>
    </row>
    <row r="746" spans="1:5">
      <c r="A746" s="133" t="s">
        <v>1167</v>
      </c>
      <c r="B746" s="134"/>
      <c r="C746" s="29" t="s">
        <v>1113</v>
      </c>
      <c r="D746" s="29" t="s">
        <v>1166</v>
      </c>
      <c r="E746" s="30">
        <v>45813</v>
      </c>
    </row>
    <row r="747" spans="1:5">
      <c r="A747" s="133" t="s">
        <v>1168</v>
      </c>
      <c r="B747" s="134"/>
      <c r="C747" s="29" t="s">
        <v>5</v>
      </c>
      <c r="D747" s="29" t="s">
        <v>10</v>
      </c>
      <c r="E747" s="30">
        <v>45813</v>
      </c>
    </row>
    <row r="748" spans="1:5">
      <c r="A748" s="133" t="s">
        <v>1169</v>
      </c>
      <c r="B748" s="134"/>
      <c r="C748" s="29" t="s">
        <v>5</v>
      </c>
      <c r="D748" s="29" t="s">
        <v>6</v>
      </c>
      <c r="E748" s="30">
        <v>45813</v>
      </c>
    </row>
    <row r="749" spans="1:5">
      <c r="A749" s="133" t="s">
        <v>1170</v>
      </c>
      <c r="B749" s="134"/>
      <c r="C749" s="29" t="s">
        <v>1113</v>
      </c>
      <c r="D749" s="29" t="s">
        <v>1117</v>
      </c>
      <c r="E749" s="30">
        <v>45813</v>
      </c>
    </row>
    <row r="750" spans="1:5">
      <c r="A750" s="133" t="s">
        <v>1171</v>
      </c>
      <c r="B750" s="134"/>
      <c r="C750" s="29" t="s">
        <v>1113</v>
      </c>
      <c r="D750" s="29" t="s">
        <v>1117</v>
      </c>
      <c r="E750" s="30">
        <v>45814</v>
      </c>
    </row>
    <row r="751" spans="1:5">
      <c r="A751" s="133" t="s">
        <v>1172</v>
      </c>
      <c r="B751" s="134"/>
      <c r="C751" s="29" t="s">
        <v>1113</v>
      </c>
      <c r="D751" s="29" t="s">
        <v>1117</v>
      </c>
      <c r="E751" s="30">
        <v>45814</v>
      </c>
    </row>
    <row r="752" spans="1:5">
      <c r="A752" s="133" t="s">
        <v>1173</v>
      </c>
      <c r="B752" s="134"/>
      <c r="C752" s="29" t="s">
        <v>5</v>
      </c>
      <c r="D752" s="29" t="s">
        <v>126</v>
      </c>
      <c r="E752" s="30">
        <v>45814</v>
      </c>
    </row>
    <row r="753" spans="1:5">
      <c r="A753" s="133" t="s">
        <v>1174</v>
      </c>
      <c r="B753" s="134"/>
      <c r="C753" s="29" t="s">
        <v>5</v>
      </c>
      <c r="D753" s="29" t="s">
        <v>126</v>
      </c>
      <c r="E753" s="30">
        <v>45814</v>
      </c>
    </row>
    <row r="754" spans="1:5">
      <c r="A754" s="133" t="s">
        <v>1175</v>
      </c>
      <c r="B754" s="134"/>
      <c r="C754" s="29" t="s">
        <v>1113</v>
      </c>
      <c r="D754" s="29" t="s">
        <v>1176</v>
      </c>
      <c r="E754" s="30">
        <v>45814</v>
      </c>
    </row>
    <row r="755" spans="1:5">
      <c r="A755" s="133" t="s">
        <v>1177</v>
      </c>
      <c r="B755" s="134"/>
      <c r="C755" s="29" t="s">
        <v>16</v>
      </c>
      <c r="D755" s="29" t="s">
        <v>1178</v>
      </c>
      <c r="E755" s="30">
        <v>45814</v>
      </c>
    </row>
    <row r="756" spans="1:5">
      <c r="A756" s="133" t="s">
        <v>1179</v>
      </c>
      <c r="B756" s="134"/>
      <c r="C756" s="29" t="s">
        <v>5</v>
      </c>
      <c r="D756" s="29" t="s">
        <v>1180</v>
      </c>
      <c r="E756" s="30">
        <v>45816</v>
      </c>
    </row>
    <row r="757" spans="1:5">
      <c r="A757" s="133" t="s">
        <v>1181</v>
      </c>
      <c r="B757" s="134"/>
      <c r="C757" s="29" t="s">
        <v>68</v>
      </c>
      <c r="D757" s="29" t="s">
        <v>1117</v>
      </c>
      <c r="E757" s="30">
        <v>45817</v>
      </c>
    </row>
    <row r="758" spans="1:5">
      <c r="A758" s="133" t="s">
        <v>1182</v>
      </c>
      <c r="B758" s="134"/>
      <c r="C758" s="29" t="s">
        <v>1113</v>
      </c>
      <c r="D758" s="29" t="s">
        <v>1162</v>
      </c>
      <c r="E758" s="30">
        <v>45817</v>
      </c>
    </row>
    <row r="759" spans="1:5">
      <c r="A759" s="133" t="s">
        <v>1183</v>
      </c>
      <c r="B759" s="134"/>
      <c r="C759" s="29" t="s">
        <v>1113</v>
      </c>
      <c r="D759" s="29" t="s">
        <v>1184</v>
      </c>
      <c r="E759" s="30">
        <v>45817</v>
      </c>
    </row>
    <row r="760" spans="1:5">
      <c r="A760" s="133" t="s">
        <v>1185</v>
      </c>
      <c r="B760" s="134"/>
      <c r="C760" s="29" t="s">
        <v>5</v>
      </c>
      <c r="D760" s="29" t="s">
        <v>1186</v>
      </c>
      <c r="E760" s="30">
        <v>45817</v>
      </c>
    </row>
    <row r="761" spans="1:5">
      <c r="A761" s="133" t="s">
        <v>1187</v>
      </c>
      <c r="B761" s="134"/>
      <c r="C761" s="29" t="s">
        <v>5</v>
      </c>
      <c r="D761" s="29" t="s">
        <v>28</v>
      </c>
      <c r="E761" s="30">
        <v>45817</v>
      </c>
    </row>
    <row r="762" spans="1:5">
      <c r="A762" s="133" t="s">
        <v>1188</v>
      </c>
      <c r="B762" s="134"/>
      <c r="C762" s="29" t="s">
        <v>1113</v>
      </c>
      <c r="D762" s="29" t="s">
        <v>1147</v>
      </c>
      <c r="E762" s="30">
        <v>45819</v>
      </c>
    </row>
    <row r="763" spans="1:5">
      <c r="A763" s="133" t="s">
        <v>1189</v>
      </c>
      <c r="B763" s="134"/>
      <c r="C763" s="29" t="s">
        <v>1113</v>
      </c>
      <c r="D763" s="29" t="s">
        <v>1117</v>
      </c>
      <c r="E763" s="30">
        <v>45819</v>
      </c>
    </row>
    <row r="764" spans="1:5">
      <c r="A764" s="133" t="s">
        <v>1190</v>
      </c>
      <c r="B764" s="134"/>
      <c r="C764" s="29" t="s">
        <v>1113</v>
      </c>
      <c r="D764" s="29" t="s">
        <v>1117</v>
      </c>
      <c r="E764" s="30">
        <v>45819</v>
      </c>
    </row>
    <row r="765" spans="1:5">
      <c r="A765" s="133" t="s">
        <v>1191</v>
      </c>
      <c r="B765" s="134"/>
      <c r="C765" s="29" t="s">
        <v>1113</v>
      </c>
      <c r="D765" s="29" t="s">
        <v>1131</v>
      </c>
      <c r="E765" s="30">
        <v>45819</v>
      </c>
    </row>
    <row r="766" spans="1:5">
      <c r="A766" s="133" t="s">
        <v>1192</v>
      </c>
      <c r="B766" s="134"/>
      <c r="C766" s="29" t="s">
        <v>5</v>
      </c>
      <c r="D766" s="29" t="s">
        <v>179</v>
      </c>
      <c r="E766" s="30">
        <v>45819</v>
      </c>
    </row>
    <row r="767" spans="1:5">
      <c r="A767" s="133" t="s">
        <v>1193</v>
      </c>
      <c r="B767" s="134"/>
      <c r="C767" s="29" t="s">
        <v>16</v>
      </c>
      <c r="D767" s="29" t="s">
        <v>1194</v>
      </c>
      <c r="E767" s="30">
        <v>45820</v>
      </c>
    </row>
    <row r="768" spans="1:5">
      <c r="A768" s="133" t="s">
        <v>1195</v>
      </c>
      <c r="B768" s="134"/>
      <c r="C768" s="29" t="s">
        <v>5</v>
      </c>
      <c r="D768" s="29" t="s">
        <v>1196</v>
      </c>
      <c r="E768" s="30">
        <v>45820</v>
      </c>
    </row>
    <row r="769" spans="1:5">
      <c r="A769" s="133" t="s">
        <v>1197</v>
      </c>
      <c r="B769" s="134"/>
      <c r="C769" s="29" t="s">
        <v>5</v>
      </c>
      <c r="D769" s="29" t="s">
        <v>1198</v>
      </c>
      <c r="E769" s="30">
        <v>45820</v>
      </c>
    </row>
    <row r="770" spans="1:5">
      <c r="A770" s="133" t="s">
        <v>1199</v>
      </c>
      <c r="B770" s="134"/>
      <c r="C770" s="29" t="s">
        <v>5</v>
      </c>
      <c r="D770" s="29" t="s">
        <v>1200</v>
      </c>
      <c r="E770" s="30">
        <v>45821</v>
      </c>
    </row>
    <row r="771" spans="1:5">
      <c r="A771" s="133" t="s">
        <v>1201</v>
      </c>
      <c r="B771" s="134"/>
      <c r="C771" s="29" t="s">
        <v>1113</v>
      </c>
      <c r="D771" s="29" t="s">
        <v>1117</v>
      </c>
      <c r="E771" s="30">
        <v>45822</v>
      </c>
    </row>
    <row r="772" spans="1:5">
      <c r="A772" s="133" t="s">
        <v>1202</v>
      </c>
      <c r="B772" s="134"/>
      <c r="C772" s="29" t="s">
        <v>1113</v>
      </c>
      <c r="D772" s="29" t="s">
        <v>1203</v>
      </c>
      <c r="E772" s="30">
        <v>45822</v>
      </c>
    </row>
    <row r="773" spans="1:5">
      <c r="A773" s="133" t="s">
        <v>1204</v>
      </c>
      <c r="B773" s="134"/>
      <c r="C773" s="29" t="s">
        <v>1113</v>
      </c>
      <c r="D773" s="29" t="s">
        <v>1117</v>
      </c>
      <c r="E773" s="30">
        <v>45826</v>
      </c>
    </row>
    <row r="774" spans="1:5">
      <c r="A774" s="133" t="s">
        <v>1205</v>
      </c>
      <c r="B774" s="134"/>
      <c r="C774" s="29" t="s">
        <v>1113</v>
      </c>
      <c r="D774" s="29" t="s">
        <v>1117</v>
      </c>
      <c r="E774" s="30">
        <v>45826</v>
      </c>
    </row>
    <row r="775" spans="1:5">
      <c r="A775" s="133" t="s">
        <v>1154</v>
      </c>
      <c r="B775" s="134"/>
      <c r="C775" s="29" t="s">
        <v>1113</v>
      </c>
      <c r="D775" s="29" t="s">
        <v>1117</v>
      </c>
      <c r="E775" s="30">
        <v>45826</v>
      </c>
    </row>
    <row r="776" spans="1:5">
      <c r="A776" s="133" t="s">
        <v>1206</v>
      </c>
      <c r="B776" s="134"/>
      <c r="C776" s="29" t="s">
        <v>145</v>
      </c>
      <c r="D776" s="29" t="s">
        <v>1207</v>
      </c>
      <c r="E776" s="30">
        <v>45826</v>
      </c>
    </row>
    <row r="777" spans="1:5">
      <c r="A777" s="133" t="s">
        <v>1208</v>
      </c>
      <c r="B777" s="134"/>
      <c r="C777" s="29" t="s">
        <v>145</v>
      </c>
      <c r="D777" s="29" t="s">
        <v>1209</v>
      </c>
      <c r="E777" s="30">
        <v>45826</v>
      </c>
    </row>
    <row r="778" spans="1:5">
      <c r="A778" s="133" t="s">
        <v>1210</v>
      </c>
      <c r="B778" s="134"/>
      <c r="C778" s="29" t="s">
        <v>145</v>
      </c>
      <c r="D778" s="29" t="s">
        <v>1211</v>
      </c>
      <c r="E778" s="30">
        <v>45826</v>
      </c>
    </row>
    <row r="779" spans="1:5">
      <c r="A779" s="133" t="s">
        <v>1210</v>
      </c>
      <c r="B779" s="134"/>
      <c r="C779" s="29" t="s">
        <v>145</v>
      </c>
      <c r="D779" s="29" t="s">
        <v>1212</v>
      </c>
      <c r="E779" s="30">
        <v>45826</v>
      </c>
    </row>
    <row r="780" spans="1:5">
      <c r="A780" s="133" t="s">
        <v>1213</v>
      </c>
      <c r="B780" s="134"/>
      <c r="C780" s="29" t="s">
        <v>1113</v>
      </c>
      <c r="D780" s="29" t="s">
        <v>1117</v>
      </c>
      <c r="E780" s="30">
        <v>45827</v>
      </c>
    </row>
    <row r="781" spans="1:5">
      <c r="A781" s="133" t="s">
        <v>1214</v>
      </c>
      <c r="B781" s="134"/>
      <c r="C781" s="29" t="s">
        <v>1113</v>
      </c>
      <c r="D781" s="29" t="s">
        <v>1147</v>
      </c>
      <c r="E781" s="30">
        <v>45827</v>
      </c>
    </row>
    <row r="782" spans="1:5">
      <c r="A782" s="133" t="s">
        <v>1215</v>
      </c>
      <c r="B782" s="134"/>
      <c r="C782" s="29" t="s">
        <v>1113</v>
      </c>
      <c r="D782" s="29" t="s">
        <v>1117</v>
      </c>
      <c r="E782" s="30">
        <v>45827</v>
      </c>
    </row>
    <row r="783" spans="1:5">
      <c r="A783" s="133" t="s">
        <v>1158</v>
      </c>
      <c r="B783" s="134"/>
      <c r="C783" s="29" t="s">
        <v>1113</v>
      </c>
      <c r="D783" s="29" t="s">
        <v>1117</v>
      </c>
      <c r="E783" s="30">
        <v>45827</v>
      </c>
    </row>
    <row r="784" spans="1:5">
      <c r="A784" s="133" t="s">
        <v>1216</v>
      </c>
      <c r="B784" s="134"/>
      <c r="C784" s="29" t="s">
        <v>1113</v>
      </c>
      <c r="D784" s="29" t="s">
        <v>1162</v>
      </c>
      <c r="E784" s="30">
        <v>45827</v>
      </c>
    </row>
    <row r="785" spans="1:5">
      <c r="A785" s="133" t="s">
        <v>1217</v>
      </c>
      <c r="B785" s="134"/>
      <c r="C785" s="29" t="s">
        <v>1113</v>
      </c>
      <c r="D785" s="29" t="s">
        <v>1117</v>
      </c>
      <c r="E785" s="30">
        <v>45827</v>
      </c>
    </row>
    <row r="786" spans="1:5">
      <c r="A786" s="133" t="s">
        <v>1218</v>
      </c>
      <c r="B786" s="134"/>
      <c r="C786" s="29" t="s">
        <v>1113</v>
      </c>
      <c r="D786" s="29" t="s">
        <v>1166</v>
      </c>
      <c r="E786" s="30">
        <v>45828</v>
      </c>
    </row>
    <row r="787" spans="1:5">
      <c r="A787" s="133" t="s">
        <v>1219</v>
      </c>
      <c r="B787" s="134"/>
      <c r="C787" s="29" t="s">
        <v>1113</v>
      </c>
      <c r="D787" s="29" t="s">
        <v>1117</v>
      </c>
      <c r="E787" s="30">
        <v>45832</v>
      </c>
    </row>
    <row r="788" spans="1:5">
      <c r="A788" s="133" t="s">
        <v>1220</v>
      </c>
      <c r="B788" s="134"/>
      <c r="C788" s="29" t="s">
        <v>864</v>
      </c>
      <c r="D788" s="29" t="s">
        <v>1114</v>
      </c>
      <c r="E788" s="30">
        <v>45834</v>
      </c>
    </row>
    <row r="789" spans="1:5">
      <c r="A789" s="133" t="s">
        <v>1221</v>
      </c>
      <c r="B789" s="134"/>
      <c r="C789" s="29" t="s">
        <v>16</v>
      </c>
      <c r="D789" s="29" t="s">
        <v>1114</v>
      </c>
      <c r="E789" s="30">
        <v>45834</v>
      </c>
    </row>
    <row r="790" spans="1:5">
      <c r="A790" s="133" t="s">
        <v>1222</v>
      </c>
      <c r="B790" s="134"/>
      <c r="C790" s="29" t="s">
        <v>16</v>
      </c>
      <c r="D790" s="29" t="s">
        <v>1223</v>
      </c>
      <c r="E790" s="30">
        <v>45834</v>
      </c>
    </row>
    <row r="791" spans="1:5">
      <c r="A791" s="133" t="s">
        <v>1224</v>
      </c>
      <c r="B791" s="134"/>
      <c r="C791" s="29" t="s">
        <v>5</v>
      </c>
      <c r="D791" s="29" t="s">
        <v>179</v>
      </c>
      <c r="E791" s="30">
        <v>45838</v>
      </c>
    </row>
    <row r="792" spans="1:5">
      <c r="A792" s="133" t="s">
        <v>1225</v>
      </c>
      <c r="B792" s="134"/>
      <c r="C792" s="29" t="s">
        <v>1113</v>
      </c>
      <c r="D792" s="29" t="s">
        <v>1225</v>
      </c>
      <c r="E792" s="30">
        <v>45838</v>
      </c>
    </row>
    <row r="793" spans="1:5">
      <c r="A793" s="133" t="s">
        <v>1226</v>
      </c>
      <c r="B793" s="134"/>
      <c r="C793" s="29" t="s">
        <v>5</v>
      </c>
      <c r="D793" s="29" t="s">
        <v>30</v>
      </c>
      <c r="E793" s="30">
        <v>45838</v>
      </c>
    </row>
    <row r="794" spans="1:5">
      <c r="A794" s="133" t="s">
        <v>1227</v>
      </c>
      <c r="B794" s="134"/>
      <c r="C794" s="29" t="s">
        <v>5</v>
      </c>
      <c r="D794" s="29" t="s">
        <v>30</v>
      </c>
      <c r="E794" s="30">
        <v>45838</v>
      </c>
    </row>
    <row r="795" spans="1:5">
      <c r="A795" s="133" t="s">
        <v>1228</v>
      </c>
      <c r="B795" s="134"/>
      <c r="C795" s="29" t="s">
        <v>5</v>
      </c>
      <c r="D795" s="29" t="s">
        <v>30</v>
      </c>
      <c r="E795" s="30">
        <v>45838</v>
      </c>
    </row>
    <row r="796" spans="1:5">
      <c r="A796" s="133" t="s">
        <v>1229</v>
      </c>
      <c r="B796" s="134"/>
      <c r="C796" s="29" t="s">
        <v>5</v>
      </c>
      <c r="D796" s="29" t="s">
        <v>30</v>
      </c>
      <c r="E796" s="30">
        <v>45838</v>
      </c>
    </row>
    <row r="797" spans="1:5">
      <c r="A797" s="133" t="s">
        <v>1230</v>
      </c>
      <c r="B797" s="134"/>
      <c r="C797" s="29" t="s">
        <v>5</v>
      </c>
      <c r="D797" s="29" t="s">
        <v>30</v>
      </c>
      <c r="E797" s="30">
        <v>45838</v>
      </c>
    </row>
    <row r="798" spans="1:5">
      <c r="A798" s="133" t="s">
        <v>1231</v>
      </c>
      <c r="B798" s="134"/>
      <c r="C798" s="29" t="s">
        <v>16</v>
      </c>
      <c r="D798" s="29" t="s">
        <v>1232</v>
      </c>
      <c r="E798" s="30">
        <v>45838</v>
      </c>
    </row>
    <row r="799" spans="1:5">
      <c r="A799" s="133" t="s">
        <v>1233</v>
      </c>
      <c r="B799" s="134"/>
      <c r="C799" s="29" t="s">
        <v>5</v>
      </c>
      <c r="D799" s="29" t="s">
        <v>6</v>
      </c>
      <c r="E799" s="30">
        <v>45839</v>
      </c>
    </row>
    <row r="800" spans="1:5">
      <c r="A800" s="133" t="s">
        <v>1234</v>
      </c>
      <c r="B800" s="134"/>
      <c r="C800" s="29" t="s">
        <v>5</v>
      </c>
      <c r="D800" s="29" t="s">
        <v>929</v>
      </c>
      <c r="E800" s="30">
        <v>45840</v>
      </c>
    </row>
    <row r="801" spans="1:5">
      <c r="A801" s="133" t="s">
        <v>1235</v>
      </c>
      <c r="B801" s="134"/>
      <c r="C801" s="29" t="s">
        <v>1113</v>
      </c>
      <c r="D801" s="29" t="s">
        <v>1236</v>
      </c>
      <c r="E801" s="30">
        <v>45840</v>
      </c>
    </row>
    <row r="802" spans="1:5">
      <c r="A802" s="133" t="s">
        <v>1237</v>
      </c>
      <c r="B802" s="134"/>
      <c r="C802" s="29" t="s">
        <v>5</v>
      </c>
      <c r="D802" s="29" t="s">
        <v>1238</v>
      </c>
      <c r="E802" s="30">
        <v>45840</v>
      </c>
    </row>
    <row r="803" spans="1:5">
      <c r="A803" s="133" t="s">
        <v>1239</v>
      </c>
      <c r="B803" s="134"/>
      <c r="C803" s="29" t="s">
        <v>1113</v>
      </c>
      <c r="D803" s="29" t="s">
        <v>1117</v>
      </c>
      <c r="E803" s="30">
        <v>45845</v>
      </c>
    </row>
    <row r="804" spans="1:5">
      <c r="A804" s="133" t="s">
        <v>1240</v>
      </c>
      <c r="B804" s="134"/>
      <c r="C804" s="29" t="s">
        <v>16</v>
      </c>
      <c r="D804" s="29" t="s">
        <v>1241</v>
      </c>
      <c r="E804" s="30">
        <v>45846</v>
      </c>
    </row>
    <row r="805" spans="1:5">
      <c r="A805" s="133" t="s">
        <v>1242</v>
      </c>
      <c r="B805" s="134"/>
      <c r="C805" s="29" t="s">
        <v>16</v>
      </c>
      <c r="D805" s="29" t="s">
        <v>1243</v>
      </c>
      <c r="E805" s="30">
        <v>45848</v>
      </c>
    </row>
    <row r="806" spans="1:5">
      <c r="A806" s="133" t="s">
        <v>1244</v>
      </c>
      <c r="B806" s="134"/>
      <c r="C806" s="29" t="s">
        <v>5</v>
      </c>
      <c r="D806" s="29" t="s">
        <v>1245</v>
      </c>
      <c r="E806" s="30">
        <v>45848</v>
      </c>
    </row>
    <row r="807" spans="1:5">
      <c r="A807" s="133" t="s">
        <v>1246</v>
      </c>
      <c r="B807" s="134"/>
      <c r="C807" s="29" t="s">
        <v>5</v>
      </c>
      <c r="D807" s="29" t="s">
        <v>134</v>
      </c>
      <c r="E807" s="30">
        <v>45849</v>
      </c>
    </row>
    <row r="808" spans="1:5">
      <c r="A808" s="133" t="s">
        <v>1247</v>
      </c>
      <c r="B808" s="134"/>
      <c r="C808" s="29" t="s">
        <v>5</v>
      </c>
      <c r="D808" s="29" t="s">
        <v>396</v>
      </c>
      <c r="E808" s="30">
        <v>45852</v>
      </c>
    </row>
    <row r="809" spans="1:5">
      <c r="A809" s="133" t="s">
        <v>1248</v>
      </c>
      <c r="B809" s="134"/>
      <c r="C809" s="29" t="s">
        <v>16</v>
      </c>
      <c r="D809" s="29" t="s">
        <v>32</v>
      </c>
      <c r="E809" s="30">
        <v>45852</v>
      </c>
    </row>
    <row r="810" spans="1:5">
      <c r="A810" s="133" t="s">
        <v>1249</v>
      </c>
      <c r="B810" s="134"/>
      <c r="C810" s="29" t="s">
        <v>16</v>
      </c>
      <c r="D810" s="29" t="s">
        <v>1250</v>
      </c>
      <c r="E810" s="30">
        <v>45853</v>
      </c>
    </row>
    <row r="811" spans="1:5">
      <c r="A811" s="133" t="s">
        <v>1182</v>
      </c>
      <c r="B811" s="134"/>
      <c r="C811" s="29" t="s">
        <v>1113</v>
      </c>
      <c r="D811" s="29" t="s">
        <v>1251</v>
      </c>
      <c r="E811" s="30">
        <v>45856</v>
      </c>
    </row>
    <row r="812" spans="1:5">
      <c r="A812" s="133" t="s">
        <v>1252</v>
      </c>
      <c r="B812" s="134"/>
      <c r="C812" s="29" t="s">
        <v>40</v>
      </c>
      <c r="D812" s="29" t="s">
        <v>785</v>
      </c>
      <c r="E812" s="30">
        <v>45856</v>
      </c>
    </row>
    <row r="813" spans="1:5">
      <c r="A813" s="133" t="s">
        <v>1253</v>
      </c>
      <c r="B813" s="134"/>
      <c r="C813" s="29" t="s">
        <v>68</v>
      </c>
      <c r="D813" s="29" t="s">
        <v>1254</v>
      </c>
      <c r="E813" s="30">
        <v>45856</v>
      </c>
    </row>
    <row r="814" spans="1:5">
      <c r="A814" s="133" t="s">
        <v>1255</v>
      </c>
      <c r="B814" s="134"/>
      <c r="C814" s="29" t="s">
        <v>5</v>
      </c>
      <c r="D814" s="29" t="s">
        <v>136</v>
      </c>
      <c r="E814" s="30">
        <v>45856</v>
      </c>
    </row>
    <row r="815" spans="1:5">
      <c r="A815" s="133" t="s">
        <v>1256</v>
      </c>
      <c r="B815" s="134"/>
      <c r="C815" s="29" t="s">
        <v>5</v>
      </c>
      <c r="D815" s="29" t="s">
        <v>1198</v>
      </c>
      <c r="E815" s="30">
        <v>45856</v>
      </c>
    </row>
    <row r="816" spans="1:5">
      <c r="A816" s="133" t="s">
        <v>1257</v>
      </c>
      <c r="B816" s="134"/>
      <c r="C816" s="29" t="s">
        <v>5</v>
      </c>
      <c r="D816" s="29" t="s">
        <v>107</v>
      </c>
      <c r="E816" s="30">
        <v>45858</v>
      </c>
    </row>
    <row r="817" spans="1:5">
      <c r="A817" s="133" t="s">
        <v>1258</v>
      </c>
      <c r="B817" s="134"/>
      <c r="C817" s="29" t="s">
        <v>5</v>
      </c>
      <c r="D817" s="29" t="s">
        <v>955</v>
      </c>
      <c r="E817" s="30">
        <v>45860</v>
      </c>
    </row>
    <row r="818" spans="1:5">
      <c r="A818" s="133" t="s">
        <v>1259</v>
      </c>
      <c r="B818" s="134"/>
      <c r="C818" s="29" t="s">
        <v>5</v>
      </c>
      <c r="D818" s="29" t="s">
        <v>90</v>
      </c>
      <c r="E818" s="30">
        <v>45860</v>
      </c>
    </row>
    <row r="819" spans="1:5">
      <c r="A819" s="133" t="s">
        <v>1260</v>
      </c>
      <c r="B819" s="134"/>
      <c r="C819" s="29" t="s">
        <v>5</v>
      </c>
      <c r="D819" s="29" t="s">
        <v>90</v>
      </c>
      <c r="E819" s="30">
        <v>45860</v>
      </c>
    </row>
    <row r="820" spans="1:5">
      <c r="A820" s="133" t="s">
        <v>1261</v>
      </c>
      <c r="B820" s="134"/>
      <c r="C820" s="29" t="s">
        <v>5</v>
      </c>
      <c r="D820" s="29" t="s">
        <v>207</v>
      </c>
      <c r="E820" s="30">
        <v>45860</v>
      </c>
    </row>
    <row r="821" spans="1:5">
      <c r="A821" s="133" t="s">
        <v>1262</v>
      </c>
      <c r="B821" s="134"/>
      <c r="C821" s="29" t="s">
        <v>5</v>
      </c>
      <c r="D821" s="29" t="s">
        <v>30</v>
      </c>
      <c r="E821" s="30">
        <v>45860</v>
      </c>
    </row>
    <row r="822" spans="1:5">
      <c r="A822" s="133" t="s">
        <v>1263</v>
      </c>
      <c r="B822" s="134"/>
      <c r="C822" s="29" t="s">
        <v>5</v>
      </c>
      <c r="D822" s="29" t="s">
        <v>30</v>
      </c>
      <c r="E822" s="30">
        <v>45860</v>
      </c>
    </row>
    <row r="823" spans="1:5">
      <c r="A823" s="133" t="s">
        <v>1264</v>
      </c>
      <c r="B823" s="134"/>
      <c r="C823" s="29" t="s">
        <v>5</v>
      </c>
      <c r="D823" s="29" t="s">
        <v>155</v>
      </c>
      <c r="E823" s="30">
        <v>45860</v>
      </c>
    </row>
    <row r="824" spans="1:5">
      <c r="A824" s="133" t="s">
        <v>1265</v>
      </c>
      <c r="B824" s="134"/>
      <c r="C824" s="29" t="s">
        <v>16</v>
      </c>
      <c r="D824" s="29" t="s">
        <v>1114</v>
      </c>
      <c r="E824" s="30">
        <v>45860</v>
      </c>
    </row>
    <row r="825" spans="1:5">
      <c r="A825" s="133" t="s">
        <v>1266</v>
      </c>
      <c r="B825" s="134"/>
      <c r="C825" s="29" t="s">
        <v>5</v>
      </c>
      <c r="D825" s="29" t="s">
        <v>1267</v>
      </c>
      <c r="E825" s="30">
        <v>45861</v>
      </c>
    </row>
    <row r="826" spans="1:5">
      <c r="A826" s="133" t="s">
        <v>1268</v>
      </c>
      <c r="B826" s="134"/>
      <c r="C826" s="29" t="s">
        <v>5</v>
      </c>
      <c r="D826" s="29" t="s">
        <v>1269</v>
      </c>
      <c r="E826" s="30">
        <v>45861</v>
      </c>
    </row>
    <row r="827" spans="1:5">
      <c r="A827" s="133" t="s">
        <v>1270</v>
      </c>
      <c r="B827" s="134"/>
      <c r="C827" s="29" t="s">
        <v>5</v>
      </c>
      <c r="D827" s="29" t="s">
        <v>1271</v>
      </c>
      <c r="E827" s="30">
        <v>45862</v>
      </c>
    </row>
    <row r="828" spans="1:5">
      <c r="A828" s="133" t="s">
        <v>1272</v>
      </c>
      <c r="B828" s="134"/>
      <c r="C828" s="29" t="s">
        <v>5</v>
      </c>
      <c r="D828" s="29" t="s">
        <v>62</v>
      </c>
      <c r="E828" s="30">
        <v>45863</v>
      </c>
    </row>
    <row r="829" spans="1:5">
      <c r="A829" s="133" t="s">
        <v>1273</v>
      </c>
      <c r="B829" s="134"/>
      <c r="C829" s="29" t="s">
        <v>5</v>
      </c>
      <c r="D829" s="29" t="s">
        <v>314</v>
      </c>
      <c r="E829" s="30">
        <v>45863</v>
      </c>
    </row>
    <row r="830" spans="1:5">
      <c r="A830" s="133" t="s">
        <v>1274</v>
      </c>
      <c r="B830" s="134"/>
      <c r="C830" s="29" t="s">
        <v>5</v>
      </c>
      <c r="D830" s="29" t="s">
        <v>219</v>
      </c>
      <c r="E830" s="30">
        <v>45863</v>
      </c>
    </row>
    <row r="831" spans="1:5">
      <c r="A831" s="133" t="s">
        <v>1275</v>
      </c>
      <c r="B831" s="134"/>
      <c r="C831" s="29" t="s">
        <v>5</v>
      </c>
      <c r="D831" s="29" t="s">
        <v>34</v>
      </c>
      <c r="E831" s="30">
        <v>45863</v>
      </c>
    </row>
    <row r="832" spans="1:5">
      <c r="A832" s="133" t="s">
        <v>1183</v>
      </c>
      <c r="B832" s="134"/>
      <c r="C832" s="29" t="s">
        <v>1113</v>
      </c>
      <c r="D832" s="29" t="s">
        <v>1276</v>
      </c>
      <c r="E832" s="30">
        <v>45863</v>
      </c>
    </row>
    <row r="833" spans="1:5">
      <c r="A833" s="133" t="s">
        <v>1277</v>
      </c>
      <c r="B833" s="134"/>
      <c r="C833" s="29" t="s">
        <v>5</v>
      </c>
      <c r="D833" s="29" t="s">
        <v>1278</v>
      </c>
      <c r="E833" s="30">
        <v>45866</v>
      </c>
    </row>
    <row r="834" spans="1:5">
      <c r="A834" s="133" t="s">
        <v>1279</v>
      </c>
      <c r="B834" s="134"/>
      <c r="C834" s="29" t="s">
        <v>5</v>
      </c>
      <c r="D834" s="29" t="s">
        <v>12</v>
      </c>
      <c r="E834" s="30">
        <v>45866</v>
      </c>
    </row>
    <row r="835" spans="1:5">
      <c r="A835" s="133" t="s">
        <v>1280</v>
      </c>
      <c r="B835" s="134"/>
      <c r="C835" s="29" t="s">
        <v>1113</v>
      </c>
      <c r="D835" s="29" t="s">
        <v>1276</v>
      </c>
      <c r="E835" s="30">
        <v>45866</v>
      </c>
    </row>
    <row r="836" spans="1:5">
      <c r="A836" s="133" t="s">
        <v>1281</v>
      </c>
      <c r="B836" s="134"/>
      <c r="C836" s="29" t="s">
        <v>5</v>
      </c>
      <c r="D836" s="29" t="s">
        <v>1282</v>
      </c>
      <c r="E836" s="30">
        <v>45867</v>
      </c>
    </row>
    <row r="837" spans="1:5">
      <c r="A837" s="133" t="s">
        <v>753</v>
      </c>
      <c r="B837" s="134"/>
      <c r="C837" s="29" t="s">
        <v>40</v>
      </c>
      <c r="D837" s="29" t="s">
        <v>1283</v>
      </c>
      <c r="E837" s="30">
        <v>45868</v>
      </c>
    </row>
    <row r="838" spans="1:5">
      <c r="A838" s="133" t="s">
        <v>1284</v>
      </c>
      <c r="B838" s="134"/>
      <c r="C838" s="29" t="s">
        <v>50</v>
      </c>
      <c r="D838" s="29" t="s">
        <v>1284</v>
      </c>
      <c r="E838" s="30">
        <v>45868</v>
      </c>
    </row>
    <row r="839" spans="1:5">
      <c r="A839" s="133" t="s">
        <v>1285</v>
      </c>
      <c r="B839" s="134"/>
      <c r="C839" s="29" t="s">
        <v>5</v>
      </c>
      <c r="D839" s="29" t="s">
        <v>30</v>
      </c>
      <c r="E839" s="30">
        <v>45869</v>
      </c>
    </row>
    <row r="840" spans="1:5">
      <c r="A840" s="133" t="s">
        <v>1286</v>
      </c>
      <c r="B840" s="134"/>
      <c r="C840" s="29" t="s">
        <v>5</v>
      </c>
      <c r="D840" s="29" t="s">
        <v>30</v>
      </c>
      <c r="E840" s="30">
        <v>45869</v>
      </c>
    </row>
    <row r="841" spans="1:5">
      <c r="A841" s="133" t="s">
        <v>1287</v>
      </c>
      <c r="B841" s="134"/>
      <c r="C841" s="29" t="s">
        <v>5</v>
      </c>
      <c r="D841" s="29" t="s">
        <v>153</v>
      </c>
      <c r="E841" s="30">
        <v>45869</v>
      </c>
    </row>
    <row r="842" spans="1:5">
      <c r="A842" s="133" t="s">
        <v>1288</v>
      </c>
      <c r="B842" s="134"/>
      <c r="C842" s="29" t="s">
        <v>5</v>
      </c>
      <c r="D842" s="29" t="s">
        <v>153</v>
      </c>
      <c r="E842" s="30">
        <v>45869</v>
      </c>
    </row>
    <row r="843" spans="1:5">
      <c r="A843" s="133" t="s">
        <v>1289</v>
      </c>
      <c r="B843" s="134"/>
      <c r="C843" s="29" t="s">
        <v>5</v>
      </c>
      <c r="D843" s="29" t="s">
        <v>1290</v>
      </c>
      <c r="E843" s="30">
        <v>45870</v>
      </c>
    </row>
    <row r="844" spans="1:5">
      <c r="A844" s="133" t="s">
        <v>766</v>
      </c>
      <c r="B844" s="134"/>
      <c r="C844" s="29" t="s">
        <v>50</v>
      </c>
      <c r="D844" s="29" t="s">
        <v>766</v>
      </c>
      <c r="E844" s="30">
        <v>45873</v>
      </c>
    </row>
    <row r="845" spans="1:5">
      <c r="A845" s="133" t="s">
        <v>1291</v>
      </c>
      <c r="B845" s="134"/>
      <c r="C845" s="29" t="s">
        <v>16</v>
      </c>
      <c r="D845" s="29" t="s">
        <v>1292</v>
      </c>
      <c r="E845" s="30">
        <v>45873</v>
      </c>
    </row>
    <row r="846" spans="1:5">
      <c r="A846" s="133" t="s">
        <v>1293</v>
      </c>
      <c r="B846" s="134"/>
      <c r="C846" s="29" t="s">
        <v>1113</v>
      </c>
      <c r="D846" s="29" t="s">
        <v>1294</v>
      </c>
      <c r="E846" s="30">
        <v>45873</v>
      </c>
    </row>
    <row r="847" spans="1:5">
      <c r="A847" s="133" t="s">
        <v>1295</v>
      </c>
      <c r="B847" s="134"/>
      <c r="C847" s="29" t="s">
        <v>5</v>
      </c>
      <c r="D847" s="29" t="s">
        <v>179</v>
      </c>
      <c r="E847" s="30">
        <v>45874</v>
      </c>
    </row>
    <row r="848" spans="1:5">
      <c r="A848" s="133" t="s">
        <v>1296</v>
      </c>
      <c r="B848" s="134"/>
      <c r="C848" s="29" t="s">
        <v>5</v>
      </c>
      <c r="D848" s="29" t="s">
        <v>199</v>
      </c>
      <c r="E848" s="30">
        <v>45875</v>
      </c>
    </row>
    <row r="849" spans="1:5">
      <c r="A849" s="133" t="s">
        <v>1297</v>
      </c>
      <c r="B849" s="134"/>
      <c r="C849" s="29" t="s">
        <v>5</v>
      </c>
      <c r="D849" s="29" t="s">
        <v>1298</v>
      </c>
      <c r="E849" s="30">
        <v>45875</v>
      </c>
    </row>
    <row r="850" spans="1:5">
      <c r="A850" s="133" t="s">
        <v>1299</v>
      </c>
      <c r="B850" s="134"/>
      <c r="C850" s="29" t="s">
        <v>5</v>
      </c>
      <c r="D850" s="29" t="s">
        <v>1300</v>
      </c>
      <c r="E850" s="30">
        <v>45876</v>
      </c>
    </row>
    <row r="851" spans="1:5">
      <c r="A851" s="133" t="s">
        <v>1301</v>
      </c>
      <c r="B851" s="134"/>
      <c r="C851" s="29" t="s">
        <v>5</v>
      </c>
      <c r="D851" s="29" t="s">
        <v>1302</v>
      </c>
      <c r="E851" s="30">
        <v>45877</v>
      </c>
    </row>
    <row r="852" spans="1:5">
      <c r="A852" s="133" t="s">
        <v>1303</v>
      </c>
      <c r="B852" s="134"/>
      <c r="C852" s="29" t="s">
        <v>5</v>
      </c>
      <c r="D852" s="29" t="s">
        <v>1302</v>
      </c>
      <c r="E852" s="30">
        <v>45877</v>
      </c>
    </row>
    <row r="853" spans="1:5">
      <c r="A853" s="133" t="s">
        <v>1304</v>
      </c>
      <c r="B853" s="134"/>
      <c r="C853" s="29" t="s">
        <v>5</v>
      </c>
      <c r="D853" s="29" t="s">
        <v>1305</v>
      </c>
      <c r="E853" s="30">
        <v>45877</v>
      </c>
    </row>
    <row r="854" spans="1:5">
      <c r="A854" s="133" t="s">
        <v>1306</v>
      </c>
      <c r="B854" s="134"/>
      <c r="C854" s="29" t="s">
        <v>16</v>
      </c>
      <c r="D854" s="29" t="s">
        <v>1307</v>
      </c>
      <c r="E854" s="30">
        <v>45881</v>
      </c>
    </row>
    <row r="855" spans="1:5">
      <c r="A855" s="133" t="s">
        <v>1308</v>
      </c>
      <c r="B855" s="134"/>
      <c r="C855" s="29" t="s">
        <v>16</v>
      </c>
      <c r="D855" s="29" t="s">
        <v>1309</v>
      </c>
      <c r="E855" s="30">
        <v>45881</v>
      </c>
    </row>
    <row r="856" spans="1:5">
      <c r="A856" s="133" t="s">
        <v>1310</v>
      </c>
      <c r="B856" s="134"/>
      <c r="C856" s="29" t="s">
        <v>1113</v>
      </c>
      <c r="D856" s="29" t="s">
        <v>1156</v>
      </c>
      <c r="E856" s="30">
        <v>45886</v>
      </c>
    </row>
    <row r="857" spans="1:5">
      <c r="A857" s="133" t="s">
        <v>1311</v>
      </c>
      <c r="B857" s="134"/>
      <c r="C857" s="29" t="s">
        <v>5</v>
      </c>
      <c r="D857" s="29" t="s">
        <v>280</v>
      </c>
      <c r="E857" s="30">
        <v>45889</v>
      </c>
    </row>
    <row r="858" spans="1:5">
      <c r="A858" s="133" t="s">
        <v>1312</v>
      </c>
      <c r="B858" s="134"/>
      <c r="C858" s="29" t="s">
        <v>5</v>
      </c>
      <c r="D858" s="29" t="s">
        <v>869</v>
      </c>
      <c r="E858" s="30">
        <v>45889</v>
      </c>
    </row>
    <row r="859" spans="1:5">
      <c r="A859" s="133" t="s">
        <v>1161</v>
      </c>
      <c r="B859" s="134"/>
      <c r="C859" s="29" t="s">
        <v>1113</v>
      </c>
      <c r="D859" s="29" t="s">
        <v>1251</v>
      </c>
      <c r="E859" s="30">
        <v>45890</v>
      </c>
    </row>
    <row r="860" spans="1:5">
      <c r="A860" s="133" t="s">
        <v>1313</v>
      </c>
      <c r="B860" s="134"/>
      <c r="C860" s="29" t="s">
        <v>5</v>
      </c>
      <c r="D860" s="29" t="s">
        <v>1037</v>
      </c>
      <c r="E860" s="30">
        <v>45890</v>
      </c>
    </row>
    <row r="861" spans="1:5">
      <c r="A861" s="133" t="s">
        <v>1314</v>
      </c>
      <c r="B861" s="134"/>
      <c r="C861" s="29" t="s">
        <v>16</v>
      </c>
      <c r="D861" s="29" t="s">
        <v>324</v>
      </c>
      <c r="E861" s="30">
        <v>45890</v>
      </c>
    </row>
    <row r="862" spans="1:5">
      <c r="A862" s="133" t="s">
        <v>1315</v>
      </c>
      <c r="B862" s="134"/>
      <c r="C862" s="29" t="s">
        <v>16</v>
      </c>
      <c r="D862" s="29" t="s">
        <v>324</v>
      </c>
      <c r="E862" s="30">
        <v>45890</v>
      </c>
    </row>
    <row r="863" spans="1:5">
      <c r="A863" s="133" t="s">
        <v>1316</v>
      </c>
      <c r="B863" s="134"/>
      <c r="C863" s="29" t="s">
        <v>16</v>
      </c>
      <c r="D863" s="29" t="s">
        <v>324</v>
      </c>
      <c r="E863" s="30">
        <v>45890</v>
      </c>
    </row>
    <row r="864" spans="1:5">
      <c r="A864" s="133" t="s">
        <v>1317</v>
      </c>
      <c r="B864" s="134"/>
      <c r="C864" s="29" t="s">
        <v>5</v>
      </c>
      <c r="D864" s="29" t="s">
        <v>10</v>
      </c>
      <c r="E864" s="30">
        <v>45891</v>
      </c>
    </row>
    <row r="865" spans="1:5">
      <c r="A865" s="133" t="s">
        <v>1318</v>
      </c>
      <c r="B865" s="134"/>
      <c r="C865" s="29" t="s">
        <v>5</v>
      </c>
      <c r="D865" s="29" t="s">
        <v>967</v>
      </c>
      <c r="E865" s="30">
        <v>45892</v>
      </c>
    </row>
    <row r="866" spans="1:5">
      <c r="A866" s="133" t="s">
        <v>1319</v>
      </c>
      <c r="B866" s="134"/>
      <c r="C866" s="29" t="s">
        <v>5</v>
      </c>
      <c r="D866" s="29" t="s">
        <v>6</v>
      </c>
      <c r="E866" s="30">
        <v>45894</v>
      </c>
    </row>
    <row r="867" spans="1:5">
      <c r="A867" s="133" t="s">
        <v>1320</v>
      </c>
      <c r="B867" s="134"/>
      <c r="C867" s="29" t="s">
        <v>5</v>
      </c>
      <c r="D867" s="29" t="s">
        <v>1321</v>
      </c>
      <c r="E867" s="30">
        <v>45894</v>
      </c>
    </row>
  </sheetData>
  <mergeCells count="867">
    <mergeCell ref="A1:B1"/>
    <mergeCell ref="A2:B2"/>
    <mergeCell ref="A3:B3"/>
    <mergeCell ref="A4:B4"/>
    <mergeCell ref="A5:B5"/>
    <mergeCell ref="A6:B6"/>
    <mergeCell ref="A13:B13"/>
    <mergeCell ref="A14:B14"/>
    <mergeCell ref="A15:B15"/>
    <mergeCell ref="A16:B16"/>
    <mergeCell ref="A17:B17"/>
    <mergeCell ref="A18:B18"/>
    <mergeCell ref="A7:B7"/>
    <mergeCell ref="A8:B8"/>
    <mergeCell ref="A9:B9"/>
    <mergeCell ref="A10:B10"/>
    <mergeCell ref="A11:B11"/>
    <mergeCell ref="A12:B12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49:B49"/>
    <mergeCell ref="A50:B50"/>
    <mergeCell ref="A51:B51"/>
    <mergeCell ref="A52:B52"/>
    <mergeCell ref="A53:B53"/>
    <mergeCell ref="A54:B54"/>
    <mergeCell ref="A43:B43"/>
    <mergeCell ref="A44:B44"/>
    <mergeCell ref="A45:B45"/>
    <mergeCell ref="A46:B46"/>
    <mergeCell ref="A47:B47"/>
    <mergeCell ref="A48:B48"/>
    <mergeCell ref="A61:B61"/>
    <mergeCell ref="A62:B62"/>
    <mergeCell ref="A63:B63"/>
    <mergeCell ref="A64:B64"/>
    <mergeCell ref="A65:B65"/>
    <mergeCell ref="A66:B66"/>
    <mergeCell ref="A55:B55"/>
    <mergeCell ref="A56:B56"/>
    <mergeCell ref="A57:B57"/>
    <mergeCell ref="A58:B58"/>
    <mergeCell ref="A59:B59"/>
    <mergeCell ref="A60:B60"/>
    <mergeCell ref="A73:B73"/>
    <mergeCell ref="A74:B74"/>
    <mergeCell ref="A75:B75"/>
    <mergeCell ref="A76:B76"/>
    <mergeCell ref="A77:B77"/>
    <mergeCell ref="A78:B78"/>
    <mergeCell ref="A67:B67"/>
    <mergeCell ref="A68:B68"/>
    <mergeCell ref="A69:B69"/>
    <mergeCell ref="A70:B70"/>
    <mergeCell ref="A71:B71"/>
    <mergeCell ref="A72:B72"/>
    <mergeCell ref="A85:B85"/>
    <mergeCell ref="A86:B86"/>
    <mergeCell ref="A87:B87"/>
    <mergeCell ref="A88:B88"/>
    <mergeCell ref="A89:B89"/>
    <mergeCell ref="A90:B90"/>
    <mergeCell ref="A79:B79"/>
    <mergeCell ref="A80:B80"/>
    <mergeCell ref="A81:B81"/>
    <mergeCell ref="A82:B82"/>
    <mergeCell ref="A83:B83"/>
    <mergeCell ref="A84:B84"/>
    <mergeCell ref="A97:B97"/>
    <mergeCell ref="A98:B98"/>
    <mergeCell ref="A99:B99"/>
    <mergeCell ref="A100:B100"/>
    <mergeCell ref="A101:B101"/>
    <mergeCell ref="A102:B102"/>
    <mergeCell ref="A91:B91"/>
    <mergeCell ref="A92:B92"/>
    <mergeCell ref="A93:B93"/>
    <mergeCell ref="A94:B94"/>
    <mergeCell ref="A95:B95"/>
    <mergeCell ref="A96:B96"/>
    <mergeCell ref="A109:B109"/>
    <mergeCell ref="A110:B110"/>
    <mergeCell ref="A111:B111"/>
    <mergeCell ref="A112:B112"/>
    <mergeCell ref="A113:B113"/>
    <mergeCell ref="A114:B114"/>
    <mergeCell ref="A103:B103"/>
    <mergeCell ref="A104:B104"/>
    <mergeCell ref="A105:B105"/>
    <mergeCell ref="A106:B106"/>
    <mergeCell ref="A107:B107"/>
    <mergeCell ref="A108:B108"/>
    <mergeCell ref="A121:B121"/>
    <mergeCell ref="A122:B122"/>
    <mergeCell ref="A123:B123"/>
    <mergeCell ref="A124:B124"/>
    <mergeCell ref="A125:B125"/>
    <mergeCell ref="A126:B126"/>
    <mergeCell ref="A115:B115"/>
    <mergeCell ref="A116:B116"/>
    <mergeCell ref="A117:B117"/>
    <mergeCell ref="A118:B118"/>
    <mergeCell ref="A119:B119"/>
    <mergeCell ref="A120:B120"/>
    <mergeCell ref="A133:B133"/>
    <mergeCell ref="A134:B134"/>
    <mergeCell ref="A135:B135"/>
    <mergeCell ref="A136:B136"/>
    <mergeCell ref="A137:B137"/>
    <mergeCell ref="A138:B138"/>
    <mergeCell ref="A127:B127"/>
    <mergeCell ref="A128:B128"/>
    <mergeCell ref="A129:B129"/>
    <mergeCell ref="A130:B130"/>
    <mergeCell ref="A131:B131"/>
    <mergeCell ref="A132:B132"/>
    <mergeCell ref="A145:B145"/>
    <mergeCell ref="A146:B146"/>
    <mergeCell ref="A147:B147"/>
    <mergeCell ref="A148:B148"/>
    <mergeCell ref="A149:B149"/>
    <mergeCell ref="A150:B150"/>
    <mergeCell ref="A139:B139"/>
    <mergeCell ref="A140:B140"/>
    <mergeCell ref="A141:B141"/>
    <mergeCell ref="A142:B142"/>
    <mergeCell ref="A143:B143"/>
    <mergeCell ref="A144:B144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69:B169"/>
    <mergeCell ref="A170:B170"/>
    <mergeCell ref="A171:B171"/>
    <mergeCell ref="A172:B172"/>
    <mergeCell ref="A173:B173"/>
    <mergeCell ref="A174:B174"/>
    <mergeCell ref="A163:B163"/>
    <mergeCell ref="A164:B164"/>
    <mergeCell ref="A165:B165"/>
    <mergeCell ref="A166:B166"/>
    <mergeCell ref="A167:B167"/>
    <mergeCell ref="A168:B168"/>
    <mergeCell ref="A181:B181"/>
    <mergeCell ref="A182:B182"/>
    <mergeCell ref="A183:B183"/>
    <mergeCell ref="A184:B184"/>
    <mergeCell ref="A185:B185"/>
    <mergeCell ref="A186:B186"/>
    <mergeCell ref="A175:B175"/>
    <mergeCell ref="A176:B176"/>
    <mergeCell ref="A177:B177"/>
    <mergeCell ref="A178:B178"/>
    <mergeCell ref="A179:B179"/>
    <mergeCell ref="A180:B180"/>
    <mergeCell ref="A193:B193"/>
    <mergeCell ref="A194:B194"/>
    <mergeCell ref="A195:B195"/>
    <mergeCell ref="A196:B196"/>
    <mergeCell ref="A197:B197"/>
    <mergeCell ref="A198:B198"/>
    <mergeCell ref="A187:B187"/>
    <mergeCell ref="A188:B188"/>
    <mergeCell ref="A189:B189"/>
    <mergeCell ref="A190:B190"/>
    <mergeCell ref="A191:B191"/>
    <mergeCell ref="A192:B192"/>
    <mergeCell ref="A205:B205"/>
    <mergeCell ref="A206:B206"/>
    <mergeCell ref="A207:B207"/>
    <mergeCell ref="A208:B208"/>
    <mergeCell ref="A209:B209"/>
    <mergeCell ref="A210:B210"/>
    <mergeCell ref="A199:B199"/>
    <mergeCell ref="A200:B200"/>
    <mergeCell ref="A201:B201"/>
    <mergeCell ref="A202:B202"/>
    <mergeCell ref="A203:B203"/>
    <mergeCell ref="A204:B204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A229:B229"/>
    <mergeCell ref="A230:B230"/>
    <mergeCell ref="A231:B231"/>
    <mergeCell ref="A232:B232"/>
    <mergeCell ref="A233:B233"/>
    <mergeCell ref="A234:B234"/>
    <mergeCell ref="A223:B223"/>
    <mergeCell ref="A224:B224"/>
    <mergeCell ref="A225:B225"/>
    <mergeCell ref="A226:B226"/>
    <mergeCell ref="A227:B227"/>
    <mergeCell ref="A228:B228"/>
    <mergeCell ref="A241:B241"/>
    <mergeCell ref="A242:B242"/>
    <mergeCell ref="A243:B243"/>
    <mergeCell ref="A244:B244"/>
    <mergeCell ref="A245:B245"/>
    <mergeCell ref="A246:B246"/>
    <mergeCell ref="A235:B235"/>
    <mergeCell ref="A236:B236"/>
    <mergeCell ref="A237:B237"/>
    <mergeCell ref="A238:B238"/>
    <mergeCell ref="A239:B239"/>
    <mergeCell ref="A240:B240"/>
    <mergeCell ref="A253:B253"/>
    <mergeCell ref="A254:B254"/>
    <mergeCell ref="A255:B255"/>
    <mergeCell ref="A256:B256"/>
    <mergeCell ref="A257:B257"/>
    <mergeCell ref="A258:B258"/>
    <mergeCell ref="A247:B247"/>
    <mergeCell ref="A248:B248"/>
    <mergeCell ref="A249:B249"/>
    <mergeCell ref="A250:B250"/>
    <mergeCell ref="A251:B251"/>
    <mergeCell ref="A252:B252"/>
    <mergeCell ref="A265:B265"/>
    <mergeCell ref="A266:B266"/>
    <mergeCell ref="A267:B267"/>
    <mergeCell ref="A268:B268"/>
    <mergeCell ref="A269:B269"/>
    <mergeCell ref="A270:B270"/>
    <mergeCell ref="A259:B259"/>
    <mergeCell ref="A260:B260"/>
    <mergeCell ref="A261:B261"/>
    <mergeCell ref="A262:B262"/>
    <mergeCell ref="A263:B263"/>
    <mergeCell ref="A264:B264"/>
    <mergeCell ref="A277:B277"/>
    <mergeCell ref="A278:B278"/>
    <mergeCell ref="A279:B279"/>
    <mergeCell ref="A280:B280"/>
    <mergeCell ref="A281:B281"/>
    <mergeCell ref="A282:B282"/>
    <mergeCell ref="A271:B271"/>
    <mergeCell ref="A272:B272"/>
    <mergeCell ref="A273:B273"/>
    <mergeCell ref="A274:B274"/>
    <mergeCell ref="A275:B275"/>
    <mergeCell ref="A276:B276"/>
    <mergeCell ref="A289:B289"/>
    <mergeCell ref="A290:B290"/>
    <mergeCell ref="A291:B291"/>
    <mergeCell ref="A292:B292"/>
    <mergeCell ref="A293:B293"/>
    <mergeCell ref="A294:B294"/>
    <mergeCell ref="A283:B283"/>
    <mergeCell ref="A284:B284"/>
    <mergeCell ref="A285:B285"/>
    <mergeCell ref="A286:B286"/>
    <mergeCell ref="A287:B287"/>
    <mergeCell ref="A288:B288"/>
    <mergeCell ref="A301:B301"/>
    <mergeCell ref="A302:B302"/>
    <mergeCell ref="A303:B303"/>
    <mergeCell ref="A304:B304"/>
    <mergeCell ref="A305:B305"/>
    <mergeCell ref="A306:B306"/>
    <mergeCell ref="A295:B295"/>
    <mergeCell ref="A296:B296"/>
    <mergeCell ref="A297:B297"/>
    <mergeCell ref="A298:B298"/>
    <mergeCell ref="A299:B299"/>
    <mergeCell ref="A300:B300"/>
    <mergeCell ref="A313:B313"/>
    <mergeCell ref="A314:B314"/>
    <mergeCell ref="A315:B315"/>
    <mergeCell ref="A316:B316"/>
    <mergeCell ref="A317:B317"/>
    <mergeCell ref="A318:B318"/>
    <mergeCell ref="A307:B307"/>
    <mergeCell ref="A308:B308"/>
    <mergeCell ref="A309:B309"/>
    <mergeCell ref="A310:B310"/>
    <mergeCell ref="A311:B311"/>
    <mergeCell ref="A312:B312"/>
    <mergeCell ref="A325:B325"/>
    <mergeCell ref="A326:B326"/>
    <mergeCell ref="A327:B327"/>
    <mergeCell ref="A328:B328"/>
    <mergeCell ref="A329:B329"/>
    <mergeCell ref="A330:B330"/>
    <mergeCell ref="A319:B319"/>
    <mergeCell ref="A320:B320"/>
    <mergeCell ref="A321:B321"/>
    <mergeCell ref="A322:B322"/>
    <mergeCell ref="A323:B323"/>
    <mergeCell ref="A324:B324"/>
    <mergeCell ref="A337:B337"/>
    <mergeCell ref="A338:B338"/>
    <mergeCell ref="A339:B339"/>
    <mergeCell ref="A340:B340"/>
    <mergeCell ref="A341:B341"/>
    <mergeCell ref="A342:B342"/>
    <mergeCell ref="A331:B331"/>
    <mergeCell ref="A332:B332"/>
    <mergeCell ref="A333:B333"/>
    <mergeCell ref="A334:B334"/>
    <mergeCell ref="A335:B335"/>
    <mergeCell ref="A336:B336"/>
    <mergeCell ref="A349:B349"/>
    <mergeCell ref="A350:B350"/>
    <mergeCell ref="A351:B351"/>
    <mergeCell ref="A352:B352"/>
    <mergeCell ref="A353:B353"/>
    <mergeCell ref="A354:B354"/>
    <mergeCell ref="A343:B343"/>
    <mergeCell ref="A344:B344"/>
    <mergeCell ref="A345:B345"/>
    <mergeCell ref="A346:B346"/>
    <mergeCell ref="A347:B347"/>
    <mergeCell ref="A348:B348"/>
    <mergeCell ref="A361:B361"/>
    <mergeCell ref="A362:B362"/>
    <mergeCell ref="A363:B363"/>
    <mergeCell ref="A364:B364"/>
    <mergeCell ref="A365:B365"/>
    <mergeCell ref="A366:B366"/>
    <mergeCell ref="A355:B355"/>
    <mergeCell ref="A356:B356"/>
    <mergeCell ref="A357:B357"/>
    <mergeCell ref="A358:B358"/>
    <mergeCell ref="A359:B359"/>
    <mergeCell ref="A360:B360"/>
    <mergeCell ref="A373:B373"/>
    <mergeCell ref="A374:B374"/>
    <mergeCell ref="A375:B375"/>
    <mergeCell ref="A376:B376"/>
    <mergeCell ref="A377:B377"/>
    <mergeCell ref="A378:B378"/>
    <mergeCell ref="A367:B367"/>
    <mergeCell ref="A368:B368"/>
    <mergeCell ref="A369:B369"/>
    <mergeCell ref="A370:B370"/>
    <mergeCell ref="A371:B371"/>
    <mergeCell ref="A372:B372"/>
    <mergeCell ref="A385:B385"/>
    <mergeCell ref="A386:B386"/>
    <mergeCell ref="A387:B387"/>
    <mergeCell ref="A388:B388"/>
    <mergeCell ref="A389:B389"/>
    <mergeCell ref="A390:B390"/>
    <mergeCell ref="A379:B379"/>
    <mergeCell ref="A380:B380"/>
    <mergeCell ref="A381:B381"/>
    <mergeCell ref="A382:B382"/>
    <mergeCell ref="A383:B383"/>
    <mergeCell ref="A384:B384"/>
    <mergeCell ref="A397:B397"/>
    <mergeCell ref="A398:B398"/>
    <mergeCell ref="A399:B399"/>
    <mergeCell ref="A400:B400"/>
    <mergeCell ref="A401:B401"/>
    <mergeCell ref="A402:B402"/>
    <mergeCell ref="A391:B391"/>
    <mergeCell ref="A392:B392"/>
    <mergeCell ref="A393:B393"/>
    <mergeCell ref="A394:B394"/>
    <mergeCell ref="A395:B395"/>
    <mergeCell ref="A396:B396"/>
    <mergeCell ref="A409:B409"/>
    <mergeCell ref="A410:B410"/>
    <mergeCell ref="A411:B411"/>
    <mergeCell ref="A412:B412"/>
    <mergeCell ref="A413:B413"/>
    <mergeCell ref="A414:B414"/>
    <mergeCell ref="A403:B403"/>
    <mergeCell ref="A404:B404"/>
    <mergeCell ref="A405:B405"/>
    <mergeCell ref="A406:B406"/>
    <mergeCell ref="A407:B407"/>
    <mergeCell ref="A408:B408"/>
    <mergeCell ref="A421:B421"/>
    <mergeCell ref="A422:B422"/>
    <mergeCell ref="A423:B423"/>
    <mergeCell ref="A424:B424"/>
    <mergeCell ref="A425:B425"/>
    <mergeCell ref="A426:B426"/>
    <mergeCell ref="A415:B415"/>
    <mergeCell ref="A416:B416"/>
    <mergeCell ref="A417:B417"/>
    <mergeCell ref="A418:B418"/>
    <mergeCell ref="A419:B419"/>
    <mergeCell ref="A420:B420"/>
    <mergeCell ref="A433:B433"/>
    <mergeCell ref="A434:B434"/>
    <mergeCell ref="A435:B435"/>
    <mergeCell ref="A436:B436"/>
    <mergeCell ref="A437:B437"/>
    <mergeCell ref="A438:B438"/>
    <mergeCell ref="A427:B427"/>
    <mergeCell ref="A428:B428"/>
    <mergeCell ref="A429:B429"/>
    <mergeCell ref="A430:B430"/>
    <mergeCell ref="A431:B431"/>
    <mergeCell ref="A432:B432"/>
    <mergeCell ref="A445:B445"/>
    <mergeCell ref="A446:B446"/>
    <mergeCell ref="A447:B447"/>
    <mergeCell ref="A448:B448"/>
    <mergeCell ref="A449:B449"/>
    <mergeCell ref="A450:B450"/>
    <mergeCell ref="A439:B439"/>
    <mergeCell ref="A440:B440"/>
    <mergeCell ref="A441:B441"/>
    <mergeCell ref="A442:B442"/>
    <mergeCell ref="A443:B443"/>
    <mergeCell ref="A444:B444"/>
    <mergeCell ref="A457:B457"/>
    <mergeCell ref="A458:B458"/>
    <mergeCell ref="A459:B459"/>
    <mergeCell ref="A460:B460"/>
    <mergeCell ref="A461:B461"/>
    <mergeCell ref="A462:B462"/>
    <mergeCell ref="A451:B451"/>
    <mergeCell ref="A452:B452"/>
    <mergeCell ref="A453:B453"/>
    <mergeCell ref="A454:B454"/>
    <mergeCell ref="A455:B455"/>
    <mergeCell ref="A456:B456"/>
    <mergeCell ref="A469:B469"/>
    <mergeCell ref="A470:B470"/>
    <mergeCell ref="A471:B471"/>
    <mergeCell ref="A472:B472"/>
    <mergeCell ref="A473:B473"/>
    <mergeCell ref="A474:B474"/>
    <mergeCell ref="A463:B463"/>
    <mergeCell ref="A464:B464"/>
    <mergeCell ref="A465:B465"/>
    <mergeCell ref="A466:B466"/>
    <mergeCell ref="A467:B467"/>
    <mergeCell ref="A468:B468"/>
    <mergeCell ref="A481:B481"/>
    <mergeCell ref="A482:B482"/>
    <mergeCell ref="A483:B483"/>
    <mergeCell ref="A484:B484"/>
    <mergeCell ref="A485:B485"/>
    <mergeCell ref="A486:B486"/>
    <mergeCell ref="A475:B475"/>
    <mergeCell ref="A476:B476"/>
    <mergeCell ref="A477:B477"/>
    <mergeCell ref="A478:B478"/>
    <mergeCell ref="A479:B479"/>
    <mergeCell ref="A480:B480"/>
    <mergeCell ref="A493:B493"/>
    <mergeCell ref="A494:B494"/>
    <mergeCell ref="A495:B495"/>
    <mergeCell ref="A496:B496"/>
    <mergeCell ref="A497:B497"/>
    <mergeCell ref="A498:B498"/>
    <mergeCell ref="A487:B487"/>
    <mergeCell ref="A488:B488"/>
    <mergeCell ref="A489:B489"/>
    <mergeCell ref="A490:B490"/>
    <mergeCell ref="A491:B491"/>
    <mergeCell ref="A492:B492"/>
    <mergeCell ref="A505:B505"/>
    <mergeCell ref="A506:B506"/>
    <mergeCell ref="A507:B507"/>
    <mergeCell ref="A508:B508"/>
    <mergeCell ref="A509:B509"/>
    <mergeCell ref="A510:B510"/>
    <mergeCell ref="A499:B499"/>
    <mergeCell ref="A500:B500"/>
    <mergeCell ref="A501:B501"/>
    <mergeCell ref="A502:B502"/>
    <mergeCell ref="A503:B503"/>
    <mergeCell ref="A504:B504"/>
    <mergeCell ref="A517:B517"/>
    <mergeCell ref="A518:B518"/>
    <mergeCell ref="A519:B519"/>
    <mergeCell ref="A520:B520"/>
    <mergeCell ref="A521:B521"/>
    <mergeCell ref="A522:B522"/>
    <mergeCell ref="A511:B511"/>
    <mergeCell ref="A512:B512"/>
    <mergeCell ref="A513:B513"/>
    <mergeCell ref="A514:B514"/>
    <mergeCell ref="A515:B515"/>
    <mergeCell ref="A516:B516"/>
    <mergeCell ref="A529:B529"/>
    <mergeCell ref="A530:B530"/>
    <mergeCell ref="A531:B531"/>
    <mergeCell ref="A532:B532"/>
    <mergeCell ref="A533:B533"/>
    <mergeCell ref="A534:B534"/>
    <mergeCell ref="A523:B523"/>
    <mergeCell ref="A524:B524"/>
    <mergeCell ref="A525:B525"/>
    <mergeCell ref="A526:B526"/>
    <mergeCell ref="A527:B527"/>
    <mergeCell ref="A528:B528"/>
    <mergeCell ref="A541:B541"/>
    <mergeCell ref="A542:B542"/>
    <mergeCell ref="A543:B543"/>
    <mergeCell ref="A544:B544"/>
    <mergeCell ref="A545:B545"/>
    <mergeCell ref="A546:B546"/>
    <mergeCell ref="A535:B535"/>
    <mergeCell ref="A536:B536"/>
    <mergeCell ref="A537:B537"/>
    <mergeCell ref="A538:B538"/>
    <mergeCell ref="A539:B539"/>
    <mergeCell ref="A540:B540"/>
    <mergeCell ref="A553:B553"/>
    <mergeCell ref="A554:B554"/>
    <mergeCell ref="A555:B555"/>
    <mergeCell ref="A556:B556"/>
    <mergeCell ref="A557:B557"/>
    <mergeCell ref="A558:B558"/>
    <mergeCell ref="A547:B547"/>
    <mergeCell ref="A548:B548"/>
    <mergeCell ref="A549:B549"/>
    <mergeCell ref="A550:B550"/>
    <mergeCell ref="A551:B551"/>
    <mergeCell ref="A552:B552"/>
    <mergeCell ref="A565:B565"/>
    <mergeCell ref="A566:B566"/>
    <mergeCell ref="A567:B567"/>
    <mergeCell ref="A568:B568"/>
    <mergeCell ref="A569:B569"/>
    <mergeCell ref="A570:B570"/>
    <mergeCell ref="A559:B559"/>
    <mergeCell ref="A560:B560"/>
    <mergeCell ref="A561:B561"/>
    <mergeCell ref="A562:B562"/>
    <mergeCell ref="A563:B563"/>
    <mergeCell ref="A564:B564"/>
    <mergeCell ref="A577:B577"/>
    <mergeCell ref="A578:B578"/>
    <mergeCell ref="A579:B579"/>
    <mergeCell ref="A580:B580"/>
    <mergeCell ref="A581:B581"/>
    <mergeCell ref="A582:B582"/>
    <mergeCell ref="A571:B571"/>
    <mergeCell ref="A572:B572"/>
    <mergeCell ref="A573:B573"/>
    <mergeCell ref="A574:B574"/>
    <mergeCell ref="A575:B575"/>
    <mergeCell ref="A576:B576"/>
    <mergeCell ref="A589:B589"/>
    <mergeCell ref="A590:B590"/>
    <mergeCell ref="A591:B591"/>
    <mergeCell ref="A592:B592"/>
    <mergeCell ref="A593:B593"/>
    <mergeCell ref="A594:B594"/>
    <mergeCell ref="A583:B583"/>
    <mergeCell ref="A584:B584"/>
    <mergeCell ref="A585:B585"/>
    <mergeCell ref="A586:B586"/>
    <mergeCell ref="A587:B587"/>
    <mergeCell ref="A588:B588"/>
    <mergeCell ref="A601:B601"/>
    <mergeCell ref="A602:B602"/>
    <mergeCell ref="A603:B603"/>
    <mergeCell ref="A604:B604"/>
    <mergeCell ref="A605:B605"/>
    <mergeCell ref="A606:B606"/>
    <mergeCell ref="A595:B595"/>
    <mergeCell ref="A596:B596"/>
    <mergeCell ref="A597:B597"/>
    <mergeCell ref="A598:B598"/>
    <mergeCell ref="A599:B599"/>
    <mergeCell ref="A600:B600"/>
    <mergeCell ref="A613:B613"/>
    <mergeCell ref="A614:B614"/>
    <mergeCell ref="A615:B615"/>
    <mergeCell ref="A616:B616"/>
    <mergeCell ref="A617:B617"/>
    <mergeCell ref="A618:B618"/>
    <mergeCell ref="A607:B607"/>
    <mergeCell ref="A608:B608"/>
    <mergeCell ref="A609:B609"/>
    <mergeCell ref="A610:B610"/>
    <mergeCell ref="A611:B611"/>
    <mergeCell ref="A612:B612"/>
    <mergeCell ref="A625:B625"/>
    <mergeCell ref="A626:B626"/>
    <mergeCell ref="A627:B627"/>
    <mergeCell ref="A628:B628"/>
    <mergeCell ref="A629:B629"/>
    <mergeCell ref="A630:B630"/>
    <mergeCell ref="A619:B619"/>
    <mergeCell ref="A620:B620"/>
    <mergeCell ref="A621:B621"/>
    <mergeCell ref="A622:B622"/>
    <mergeCell ref="A623:B623"/>
    <mergeCell ref="A624:B624"/>
    <mergeCell ref="A637:B637"/>
    <mergeCell ref="A638:B638"/>
    <mergeCell ref="A639:B639"/>
    <mergeCell ref="A640:B640"/>
    <mergeCell ref="A641:B641"/>
    <mergeCell ref="A642:B642"/>
    <mergeCell ref="A631:B631"/>
    <mergeCell ref="A632:B632"/>
    <mergeCell ref="A633:B633"/>
    <mergeCell ref="A634:B634"/>
    <mergeCell ref="A635:B635"/>
    <mergeCell ref="A636:B636"/>
    <mergeCell ref="A649:B649"/>
    <mergeCell ref="A650:B650"/>
    <mergeCell ref="A651:B651"/>
    <mergeCell ref="A652:B652"/>
    <mergeCell ref="A653:B653"/>
    <mergeCell ref="A654:B654"/>
    <mergeCell ref="A643:B643"/>
    <mergeCell ref="A644:B644"/>
    <mergeCell ref="A645:B645"/>
    <mergeCell ref="A646:B646"/>
    <mergeCell ref="A647:B647"/>
    <mergeCell ref="A648:B648"/>
    <mergeCell ref="A661:B661"/>
    <mergeCell ref="A662:B662"/>
    <mergeCell ref="A663:B663"/>
    <mergeCell ref="A664:B664"/>
    <mergeCell ref="A665:B665"/>
    <mergeCell ref="A666:B666"/>
    <mergeCell ref="A655:B655"/>
    <mergeCell ref="A656:B656"/>
    <mergeCell ref="A657:B657"/>
    <mergeCell ref="A658:B658"/>
    <mergeCell ref="A659:B659"/>
    <mergeCell ref="A660:B660"/>
    <mergeCell ref="A673:B673"/>
    <mergeCell ref="A674:B674"/>
    <mergeCell ref="A675:B675"/>
    <mergeCell ref="A676:B676"/>
    <mergeCell ref="A677:B677"/>
    <mergeCell ref="A678:B678"/>
    <mergeCell ref="A667:B667"/>
    <mergeCell ref="A668:B668"/>
    <mergeCell ref="A669:B669"/>
    <mergeCell ref="A670:B670"/>
    <mergeCell ref="A671:B671"/>
    <mergeCell ref="A672:B672"/>
    <mergeCell ref="A685:B685"/>
    <mergeCell ref="A686:B686"/>
    <mergeCell ref="A687:B687"/>
    <mergeCell ref="A688:B688"/>
    <mergeCell ref="A689:B689"/>
    <mergeCell ref="A690:B690"/>
    <mergeCell ref="A679:B679"/>
    <mergeCell ref="A680:B680"/>
    <mergeCell ref="A681:B681"/>
    <mergeCell ref="A682:B682"/>
    <mergeCell ref="A683:B683"/>
    <mergeCell ref="A684:B684"/>
    <mergeCell ref="A697:B697"/>
    <mergeCell ref="A698:B698"/>
    <mergeCell ref="A699:B699"/>
    <mergeCell ref="A700:B700"/>
    <mergeCell ref="A701:B701"/>
    <mergeCell ref="A702:B702"/>
    <mergeCell ref="A691:B691"/>
    <mergeCell ref="A692:B692"/>
    <mergeCell ref="A693:B693"/>
    <mergeCell ref="A694:B694"/>
    <mergeCell ref="A695:B695"/>
    <mergeCell ref="A696:B696"/>
    <mergeCell ref="A709:B709"/>
    <mergeCell ref="A710:B710"/>
    <mergeCell ref="A711:B711"/>
    <mergeCell ref="A712:B712"/>
    <mergeCell ref="A713:B713"/>
    <mergeCell ref="A714:B714"/>
    <mergeCell ref="A703:B703"/>
    <mergeCell ref="A704:B704"/>
    <mergeCell ref="A705:B705"/>
    <mergeCell ref="A706:B706"/>
    <mergeCell ref="A707:B707"/>
    <mergeCell ref="A708:B708"/>
    <mergeCell ref="A721:B721"/>
    <mergeCell ref="A722:B722"/>
    <mergeCell ref="A723:B723"/>
    <mergeCell ref="A724:B724"/>
    <mergeCell ref="A725:B725"/>
    <mergeCell ref="A726:B726"/>
    <mergeCell ref="A715:B715"/>
    <mergeCell ref="A716:B716"/>
    <mergeCell ref="A717:B717"/>
    <mergeCell ref="A718:B718"/>
    <mergeCell ref="A719:B719"/>
    <mergeCell ref="A720:B720"/>
    <mergeCell ref="A733:B733"/>
    <mergeCell ref="A734:B734"/>
    <mergeCell ref="A735:B735"/>
    <mergeCell ref="A736:B736"/>
    <mergeCell ref="A737:B737"/>
    <mergeCell ref="A738:B738"/>
    <mergeCell ref="A727:B727"/>
    <mergeCell ref="A728:B728"/>
    <mergeCell ref="A729:B729"/>
    <mergeCell ref="A730:B730"/>
    <mergeCell ref="A731:B731"/>
    <mergeCell ref="A732:B732"/>
    <mergeCell ref="A745:B745"/>
    <mergeCell ref="A746:B746"/>
    <mergeCell ref="A747:B747"/>
    <mergeCell ref="A748:B748"/>
    <mergeCell ref="A749:B749"/>
    <mergeCell ref="A750:B750"/>
    <mergeCell ref="A739:B739"/>
    <mergeCell ref="A740:B740"/>
    <mergeCell ref="A741:B741"/>
    <mergeCell ref="A742:B742"/>
    <mergeCell ref="A743:B743"/>
    <mergeCell ref="A744:B744"/>
    <mergeCell ref="A757:B757"/>
    <mergeCell ref="A758:B758"/>
    <mergeCell ref="A759:B759"/>
    <mergeCell ref="A760:B760"/>
    <mergeCell ref="A761:B761"/>
    <mergeCell ref="A762:B762"/>
    <mergeCell ref="A751:B751"/>
    <mergeCell ref="A752:B752"/>
    <mergeCell ref="A753:B753"/>
    <mergeCell ref="A754:B754"/>
    <mergeCell ref="A755:B755"/>
    <mergeCell ref="A756:B756"/>
    <mergeCell ref="A769:B769"/>
    <mergeCell ref="A770:B770"/>
    <mergeCell ref="A771:B771"/>
    <mergeCell ref="A772:B772"/>
    <mergeCell ref="A773:B773"/>
    <mergeCell ref="A774:B774"/>
    <mergeCell ref="A763:B763"/>
    <mergeCell ref="A764:B764"/>
    <mergeCell ref="A765:B765"/>
    <mergeCell ref="A766:B766"/>
    <mergeCell ref="A767:B767"/>
    <mergeCell ref="A768:B768"/>
    <mergeCell ref="A781:B781"/>
    <mergeCell ref="A782:B782"/>
    <mergeCell ref="A783:B783"/>
    <mergeCell ref="A784:B784"/>
    <mergeCell ref="A785:B785"/>
    <mergeCell ref="A786:B786"/>
    <mergeCell ref="A775:B775"/>
    <mergeCell ref="A776:B776"/>
    <mergeCell ref="A777:B777"/>
    <mergeCell ref="A778:B778"/>
    <mergeCell ref="A779:B779"/>
    <mergeCell ref="A780:B780"/>
    <mergeCell ref="A793:B793"/>
    <mergeCell ref="A794:B794"/>
    <mergeCell ref="A795:B795"/>
    <mergeCell ref="A796:B796"/>
    <mergeCell ref="A797:B797"/>
    <mergeCell ref="A798:B798"/>
    <mergeCell ref="A787:B787"/>
    <mergeCell ref="A788:B788"/>
    <mergeCell ref="A789:B789"/>
    <mergeCell ref="A790:B790"/>
    <mergeCell ref="A791:B791"/>
    <mergeCell ref="A792:B792"/>
    <mergeCell ref="A805:B805"/>
    <mergeCell ref="A806:B806"/>
    <mergeCell ref="A807:B807"/>
    <mergeCell ref="A808:B808"/>
    <mergeCell ref="A809:B809"/>
    <mergeCell ref="A810:B810"/>
    <mergeCell ref="A799:B799"/>
    <mergeCell ref="A800:B800"/>
    <mergeCell ref="A801:B801"/>
    <mergeCell ref="A802:B802"/>
    <mergeCell ref="A803:B803"/>
    <mergeCell ref="A804:B804"/>
    <mergeCell ref="A817:B817"/>
    <mergeCell ref="A818:B818"/>
    <mergeCell ref="A819:B819"/>
    <mergeCell ref="A820:B820"/>
    <mergeCell ref="A821:B821"/>
    <mergeCell ref="A822:B822"/>
    <mergeCell ref="A811:B811"/>
    <mergeCell ref="A812:B812"/>
    <mergeCell ref="A813:B813"/>
    <mergeCell ref="A814:B814"/>
    <mergeCell ref="A815:B815"/>
    <mergeCell ref="A816:B816"/>
    <mergeCell ref="A829:B829"/>
    <mergeCell ref="A830:B830"/>
    <mergeCell ref="A831:B831"/>
    <mergeCell ref="A832:B832"/>
    <mergeCell ref="A833:B833"/>
    <mergeCell ref="A834:B834"/>
    <mergeCell ref="A823:B823"/>
    <mergeCell ref="A824:B824"/>
    <mergeCell ref="A825:B825"/>
    <mergeCell ref="A826:B826"/>
    <mergeCell ref="A827:B827"/>
    <mergeCell ref="A828:B828"/>
    <mergeCell ref="A841:B841"/>
    <mergeCell ref="A842:B842"/>
    <mergeCell ref="A843:B843"/>
    <mergeCell ref="A844:B844"/>
    <mergeCell ref="A845:B845"/>
    <mergeCell ref="A846:B846"/>
    <mergeCell ref="A835:B835"/>
    <mergeCell ref="A836:B836"/>
    <mergeCell ref="A837:B837"/>
    <mergeCell ref="A838:B838"/>
    <mergeCell ref="A839:B839"/>
    <mergeCell ref="A840:B840"/>
    <mergeCell ref="A853:B853"/>
    <mergeCell ref="A854:B854"/>
    <mergeCell ref="A855:B855"/>
    <mergeCell ref="A856:B856"/>
    <mergeCell ref="A857:B857"/>
    <mergeCell ref="A847:B847"/>
    <mergeCell ref="A848:B848"/>
    <mergeCell ref="A849:B849"/>
    <mergeCell ref="A850:B850"/>
    <mergeCell ref="A851:B851"/>
    <mergeCell ref="A852:B852"/>
    <mergeCell ref="A867:B867"/>
    <mergeCell ref="A858:B858"/>
    <mergeCell ref="A859:B859"/>
    <mergeCell ref="A860:B860"/>
    <mergeCell ref="A861:B861"/>
    <mergeCell ref="A862:B862"/>
    <mergeCell ref="A863:B863"/>
    <mergeCell ref="A864:B864"/>
    <mergeCell ref="A865:B865"/>
    <mergeCell ref="A866:B866"/>
  </mergeCells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3177E-AEE4-4054-9DA2-CEAC81DF8B42}">
  <sheetPr filterMode="1"/>
  <dimension ref="A1:O196"/>
  <sheetViews>
    <sheetView workbookViewId="0">
      <pane xSplit="4" ySplit="1" topLeftCell="H157" activePane="bottomRight" state="frozen"/>
      <selection pane="bottomRight" activeCell="H192" sqref="H192"/>
      <selection pane="bottomLeft"/>
      <selection pane="topRight"/>
    </sheetView>
  </sheetViews>
  <sheetFormatPr defaultRowHeight="15.75" customHeight="1"/>
  <cols>
    <col min="1" max="1" width="17.25" bestFit="1" customWidth="1"/>
    <col min="2" max="2" width="21.25" style="12" customWidth="1"/>
    <col min="3" max="3" width="26.875" customWidth="1"/>
    <col min="4" max="4" width="39.75" customWidth="1"/>
    <col min="5" max="5" width="17.125" bestFit="1" customWidth="1"/>
    <col min="6" max="6" width="11.75" customWidth="1"/>
    <col min="7" max="8" width="12.125" customWidth="1"/>
  </cols>
  <sheetData>
    <row r="1" spans="1:15" ht="18">
      <c r="A1" s="13" t="s">
        <v>1322</v>
      </c>
      <c r="B1" s="13" t="s">
        <v>1323</v>
      </c>
      <c r="C1" s="13" t="s">
        <v>1324</v>
      </c>
      <c r="D1" s="13" t="s">
        <v>1325</v>
      </c>
      <c r="E1" s="13" t="s">
        <v>1326</v>
      </c>
      <c r="F1" s="13" t="s">
        <v>1327</v>
      </c>
      <c r="G1" s="13" t="s">
        <v>1328</v>
      </c>
      <c r="H1" s="24" t="s">
        <v>1329</v>
      </c>
      <c r="I1" s="13" t="s">
        <v>1330</v>
      </c>
      <c r="J1" s="13" t="s">
        <v>1331</v>
      </c>
      <c r="K1" s="13" t="s">
        <v>1332</v>
      </c>
      <c r="L1" s="13" t="s">
        <v>1333</v>
      </c>
      <c r="M1" s="13" t="s">
        <v>1334</v>
      </c>
      <c r="N1" s="13" t="s">
        <v>1335</v>
      </c>
      <c r="O1" s="13" t="s">
        <v>1336</v>
      </c>
    </row>
    <row r="2" spans="1:15" ht="18" hidden="1">
      <c r="A2" s="13" t="s">
        <v>1337</v>
      </c>
      <c r="B2" s="14">
        <v>45498.727777777778</v>
      </c>
      <c r="C2" s="13" t="s">
        <v>1338</v>
      </c>
      <c r="D2" s="13" t="s">
        <v>1339</v>
      </c>
      <c r="E2" s="13" t="s">
        <v>1340</v>
      </c>
      <c r="F2" s="13" t="s">
        <v>1341</v>
      </c>
      <c r="G2" s="13" t="s">
        <v>1331</v>
      </c>
      <c r="H2" s="13"/>
      <c r="I2" s="13">
        <v>0</v>
      </c>
      <c r="J2" s="13">
        <v>1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ht="18" hidden="1">
      <c r="A3" s="13" t="s">
        <v>1337</v>
      </c>
      <c r="B3" s="14">
        <v>45503.171527777777</v>
      </c>
      <c r="C3" s="13" t="s">
        <v>1342</v>
      </c>
      <c r="D3" s="13" t="s">
        <v>1343</v>
      </c>
      <c r="E3" s="13" t="s">
        <v>1340</v>
      </c>
      <c r="F3" s="13" t="s">
        <v>1344</v>
      </c>
      <c r="G3" s="13" t="s">
        <v>1331</v>
      </c>
      <c r="H3" s="13"/>
      <c r="I3" s="13">
        <v>0</v>
      </c>
      <c r="J3" s="13">
        <v>1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ht="18" hidden="1">
      <c r="A4" s="13" t="s">
        <v>1337</v>
      </c>
      <c r="B4" s="14">
        <v>45511.755555555559</v>
      </c>
      <c r="C4" s="13" t="s">
        <v>1342</v>
      </c>
      <c r="D4" s="13" t="s">
        <v>1343</v>
      </c>
      <c r="E4" s="13" t="s">
        <v>1340</v>
      </c>
      <c r="F4" s="13" t="s">
        <v>1344</v>
      </c>
      <c r="G4" s="13" t="s">
        <v>1331</v>
      </c>
      <c r="H4" s="13"/>
      <c r="I4" s="13">
        <v>0</v>
      </c>
      <c r="J4" s="13">
        <v>1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ht="18" hidden="1">
      <c r="A5" s="13" t="s">
        <v>1337</v>
      </c>
      <c r="B5" s="14">
        <v>45512.370138888888</v>
      </c>
      <c r="C5" s="13" t="s">
        <v>1345</v>
      </c>
      <c r="D5" s="13" t="s">
        <v>1346</v>
      </c>
      <c r="E5" s="13" t="s">
        <v>1340</v>
      </c>
      <c r="F5" s="13" t="s">
        <v>1347</v>
      </c>
      <c r="G5" s="13" t="s">
        <v>1331</v>
      </c>
      <c r="H5" s="13"/>
      <c r="I5" s="13">
        <v>0</v>
      </c>
      <c r="J5" s="13">
        <v>1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ht="18" hidden="1">
      <c r="A6" s="13" t="s">
        <v>1337</v>
      </c>
      <c r="B6" s="14">
        <v>45512.493055555555</v>
      </c>
      <c r="C6" s="13" t="s">
        <v>1348</v>
      </c>
      <c r="D6" s="13" t="s">
        <v>1349</v>
      </c>
      <c r="E6" s="13" t="s">
        <v>1350</v>
      </c>
      <c r="F6" s="13" t="s">
        <v>1351</v>
      </c>
      <c r="G6" s="13" t="s">
        <v>1332</v>
      </c>
      <c r="H6" s="13"/>
      <c r="I6" s="13">
        <v>0</v>
      </c>
      <c r="J6" s="13">
        <v>0</v>
      </c>
      <c r="K6" s="13">
        <v>1</v>
      </c>
      <c r="L6" s="13">
        <v>0</v>
      </c>
      <c r="M6" s="13">
        <v>0</v>
      </c>
      <c r="N6" s="13">
        <v>0</v>
      </c>
      <c r="O6" s="13">
        <v>0</v>
      </c>
    </row>
    <row r="7" spans="1:15" ht="18" hidden="1">
      <c r="A7" s="13" t="s">
        <v>1337</v>
      </c>
      <c r="B7" s="14">
        <v>45512.493055555555</v>
      </c>
      <c r="C7" s="13" t="s">
        <v>1348</v>
      </c>
      <c r="D7" s="13" t="s">
        <v>1349</v>
      </c>
      <c r="E7" s="13" t="s">
        <v>1350</v>
      </c>
      <c r="F7" s="13" t="s">
        <v>1351</v>
      </c>
      <c r="G7" s="13" t="s">
        <v>1335</v>
      </c>
      <c r="H7" s="13"/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</v>
      </c>
      <c r="O7" s="13">
        <v>0</v>
      </c>
    </row>
    <row r="8" spans="1:15" ht="18" hidden="1">
      <c r="A8" s="13" t="s">
        <v>1337</v>
      </c>
      <c r="B8" s="14">
        <v>45521.413194444445</v>
      </c>
      <c r="C8" s="13" t="s">
        <v>1342</v>
      </c>
      <c r="D8" s="13" t="s">
        <v>1343</v>
      </c>
      <c r="E8" s="13" t="s">
        <v>1340</v>
      </c>
      <c r="F8" s="13" t="s">
        <v>1344</v>
      </c>
      <c r="G8" s="13" t="s">
        <v>1331</v>
      </c>
      <c r="H8" s="13"/>
      <c r="I8" s="13">
        <v>0</v>
      </c>
      <c r="J8" s="13">
        <v>1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ht="18" hidden="1">
      <c r="A9" s="13" t="s">
        <v>1337</v>
      </c>
      <c r="B9" s="14">
        <v>45530.852083333331</v>
      </c>
      <c r="C9" s="13" t="s">
        <v>1342</v>
      </c>
      <c r="D9" s="13" t="s">
        <v>1343</v>
      </c>
      <c r="E9" s="13" t="s">
        <v>1340</v>
      </c>
      <c r="F9" s="13" t="s">
        <v>1344</v>
      </c>
      <c r="G9" s="13" t="s">
        <v>1331</v>
      </c>
      <c r="H9" s="13"/>
      <c r="I9" s="13">
        <v>0</v>
      </c>
      <c r="J9" s="13">
        <v>1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ht="18" hidden="1">
      <c r="A10" s="13" t="s">
        <v>1337</v>
      </c>
      <c r="B10" s="14">
        <v>45534.826388888891</v>
      </c>
      <c r="C10" s="13" t="s">
        <v>1352</v>
      </c>
      <c r="D10" s="13" t="s">
        <v>1353</v>
      </c>
      <c r="E10" s="13" t="s">
        <v>1340</v>
      </c>
      <c r="F10" s="13" t="s">
        <v>1354</v>
      </c>
      <c r="G10" s="13" t="s">
        <v>1331</v>
      </c>
      <c r="H10" s="13"/>
      <c r="I10" s="13">
        <v>0</v>
      </c>
      <c r="J10" s="13">
        <v>1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ht="18" hidden="1">
      <c r="A11" s="13" t="s">
        <v>1337</v>
      </c>
      <c r="B11" s="14">
        <v>45539.85833333333</v>
      </c>
      <c r="C11" s="13" t="s">
        <v>1345</v>
      </c>
      <c r="D11" s="13" t="s">
        <v>1346</v>
      </c>
      <c r="E11" s="13" t="s">
        <v>1340</v>
      </c>
      <c r="F11" s="13" t="s">
        <v>1347</v>
      </c>
      <c r="G11" s="13" t="s">
        <v>1331</v>
      </c>
      <c r="H11" s="13"/>
      <c r="I11" s="13">
        <v>0</v>
      </c>
      <c r="J11" s="13">
        <v>1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ht="18" hidden="1">
      <c r="A12" s="13" t="s">
        <v>1337</v>
      </c>
      <c r="B12" s="14">
        <v>45540.383333333331</v>
      </c>
      <c r="C12" s="13" t="s">
        <v>1342</v>
      </c>
      <c r="D12" s="13" t="s">
        <v>1343</v>
      </c>
      <c r="E12" s="13" t="s">
        <v>1340</v>
      </c>
      <c r="F12" s="13" t="s">
        <v>1344</v>
      </c>
      <c r="G12" s="13" t="s">
        <v>1331</v>
      </c>
      <c r="H12" s="13"/>
      <c r="I12" s="13">
        <v>0</v>
      </c>
      <c r="J12" s="13">
        <v>1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ht="18" hidden="1">
      <c r="A13" s="13" t="s">
        <v>1337</v>
      </c>
      <c r="B13" s="14">
        <v>45553.4</v>
      </c>
      <c r="C13" s="13" t="s">
        <v>1355</v>
      </c>
      <c r="D13" s="13" t="s">
        <v>1356</v>
      </c>
      <c r="E13" s="13" t="s">
        <v>1357</v>
      </c>
      <c r="F13" s="13" t="s">
        <v>1358</v>
      </c>
      <c r="G13" s="13" t="s">
        <v>1335</v>
      </c>
      <c r="H13" s="13"/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1</v>
      </c>
      <c r="O13" s="13">
        <v>0</v>
      </c>
    </row>
    <row r="14" spans="1:15" ht="18" hidden="1">
      <c r="A14" s="13" t="s">
        <v>1337</v>
      </c>
      <c r="B14" s="14">
        <v>45567.581250000003</v>
      </c>
      <c r="C14" s="13" t="s">
        <v>1359</v>
      </c>
      <c r="D14" s="13" t="s">
        <v>1339</v>
      </c>
      <c r="E14" s="13" t="s">
        <v>1340</v>
      </c>
      <c r="F14" s="13" t="s">
        <v>1360</v>
      </c>
      <c r="G14" s="13" t="s">
        <v>1331</v>
      </c>
      <c r="H14" s="13"/>
      <c r="I14" s="13">
        <v>0</v>
      </c>
      <c r="J14" s="13">
        <v>1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ht="18" hidden="1">
      <c r="A15" s="13" t="s">
        <v>1337</v>
      </c>
      <c r="B15" s="14">
        <v>45575.531944444447</v>
      </c>
      <c r="C15" s="13" t="s">
        <v>1361</v>
      </c>
      <c r="D15" s="13" t="s">
        <v>1362</v>
      </c>
      <c r="E15" s="13" t="s">
        <v>1363</v>
      </c>
      <c r="F15" s="13" t="s">
        <v>1364</v>
      </c>
      <c r="G15" s="13" t="s">
        <v>1331</v>
      </c>
      <c r="H15" s="13"/>
      <c r="I15" s="13">
        <v>0</v>
      </c>
      <c r="J15" s="13">
        <v>1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ht="18" hidden="1">
      <c r="A16" s="13" t="s">
        <v>1337</v>
      </c>
      <c r="B16" s="14">
        <v>45575.531944444447</v>
      </c>
      <c r="C16" s="13" t="s">
        <v>1361</v>
      </c>
      <c r="D16" s="13" t="s">
        <v>1362</v>
      </c>
      <c r="E16" s="13" t="s">
        <v>1363</v>
      </c>
      <c r="F16" s="13" t="s">
        <v>1364</v>
      </c>
      <c r="G16" s="13" t="s">
        <v>1332</v>
      </c>
      <c r="H16" s="13"/>
      <c r="I16" s="13">
        <v>0</v>
      </c>
      <c r="J16" s="13">
        <v>0</v>
      </c>
      <c r="K16" s="13">
        <v>1</v>
      </c>
      <c r="L16" s="13">
        <v>0</v>
      </c>
      <c r="M16" s="13">
        <v>0</v>
      </c>
      <c r="N16" s="13">
        <v>0</v>
      </c>
      <c r="O16" s="13">
        <v>0</v>
      </c>
    </row>
    <row r="17" spans="1:15" ht="18" hidden="1">
      <c r="A17" s="13" t="s">
        <v>1337</v>
      </c>
      <c r="B17" s="14">
        <v>45575.531944444447</v>
      </c>
      <c r="C17" s="13" t="s">
        <v>1361</v>
      </c>
      <c r="D17" s="13" t="s">
        <v>1362</v>
      </c>
      <c r="E17" s="13" t="s">
        <v>1363</v>
      </c>
      <c r="F17" s="13" t="s">
        <v>1364</v>
      </c>
      <c r="G17" s="13" t="s">
        <v>1335</v>
      </c>
      <c r="H17" s="13"/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1</v>
      </c>
      <c r="O17" s="13">
        <v>0</v>
      </c>
    </row>
    <row r="18" spans="1:15" ht="18" hidden="1">
      <c r="A18" s="13" t="s">
        <v>1337</v>
      </c>
      <c r="B18" s="14">
        <v>45576.518750000003</v>
      </c>
      <c r="C18" s="13" t="s">
        <v>1365</v>
      </c>
      <c r="D18" s="13" t="s">
        <v>1343</v>
      </c>
      <c r="E18" s="13" t="s">
        <v>1340</v>
      </c>
      <c r="F18" s="13" t="s">
        <v>1344</v>
      </c>
      <c r="G18" s="13" t="s">
        <v>1331</v>
      </c>
      <c r="H18" s="13"/>
      <c r="I18" s="13">
        <v>0</v>
      </c>
      <c r="J18" s="13">
        <v>1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ht="18" hidden="1">
      <c r="A19" s="13" t="s">
        <v>1337</v>
      </c>
      <c r="B19" s="14">
        <v>45588.850694444445</v>
      </c>
      <c r="C19" s="13" t="s">
        <v>1366</v>
      </c>
      <c r="D19" s="13" t="s">
        <v>1343</v>
      </c>
      <c r="E19" s="13" t="s">
        <v>1340</v>
      </c>
      <c r="F19" s="13" t="s">
        <v>1367</v>
      </c>
      <c r="G19" s="13" t="s">
        <v>1331</v>
      </c>
      <c r="H19" s="13"/>
      <c r="I19" s="13">
        <v>0</v>
      </c>
      <c r="J19" s="13">
        <v>1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ht="18" hidden="1">
      <c r="A20" s="13" t="s">
        <v>1337</v>
      </c>
      <c r="B20" s="14">
        <v>45593.602083333331</v>
      </c>
      <c r="C20" s="13" t="s">
        <v>1368</v>
      </c>
      <c r="D20" s="13" t="s">
        <v>1369</v>
      </c>
      <c r="E20" s="13" t="s">
        <v>1370</v>
      </c>
      <c r="F20" s="13" t="s">
        <v>1371</v>
      </c>
      <c r="G20" s="13" t="s">
        <v>1332</v>
      </c>
      <c r="H20" s="13"/>
      <c r="I20" s="13">
        <v>0</v>
      </c>
      <c r="J20" s="13">
        <v>0</v>
      </c>
      <c r="K20" s="13">
        <v>1</v>
      </c>
      <c r="L20" s="13">
        <v>0</v>
      </c>
      <c r="M20" s="13">
        <v>0</v>
      </c>
      <c r="N20" s="13">
        <v>0</v>
      </c>
      <c r="O20" s="13">
        <v>0</v>
      </c>
    </row>
    <row r="21" spans="1:15" ht="18" hidden="1">
      <c r="A21" s="13" t="s">
        <v>1337</v>
      </c>
      <c r="B21" s="14">
        <v>45608.413888888892</v>
      </c>
      <c r="C21" s="13" t="s">
        <v>1372</v>
      </c>
      <c r="D21" s="13" t="s">
        <v>1373</v>
      </c>
      <c r="E21" s="13" t="s">
        <v>1374</v>
      </c>
      <c r="F21" s="13" t="s">
        <v>1375</v>
      </c>
      <c r="G21" s="13" t="s">
        <v>1333</v>
      </c>
      <c r="H21" s="13"/>
      <c r="I21" s="13">
        <v>0</v>
      </c>
      <c r="J21" s="13">
        <v>0</v>
      </c>
      <c r="K21" s="13">
        <v>0</v>
      </c>
      <c r="L21" s="13">
        <v>1</v>
      </c>
      <c r="M21" s="13">
        <v>0</v>
      </c>
      <c r="N21" s="13">
        <v>0</v>
      </c>
      <c r="O21" s="13">
        <v>0</v>
      </c>
    </row>
    <row r="22" spans="1:15" ht="18" hidden="1">
      <c r="A22" s="13" t="s">
        <v>1337</v>
      </c>
      <c r="B22" s="14">
        <v>45608.413888888892</v>
      </c>
      <c r="C22" s="13" t="s">
        <v>1372</v>
      </c>
      <c r="D22" s="13" t="s">
        <v>1373</v>
      </c>
      <c r="E22" s="13" t="s">
        <v>1374</v>
      </c>
      <c r="F22" s="13" t="s">
        <v>1375</v>
      </c>
      <c r="G22" s="13" t="s">
        <v>1335</v>
      </c>
      <c r="H22" s="13"/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1</v>
      </c>
      <c r="O22" s="13">
        <v>0</v>
      </c>
    </row>
    <row r="23" spans="1:15" ht="18" hidden="1">
      <c r="A23" s="13" t="s">
        <v>1337</v>
      </c>
      <c r="B23" s="14">
        <v>45614.200694444444</v>
      </c>
      <c r="C23" s="13" t="s">
        <v>1365</v>
      </c>
      <c r="D23" s="13" t="s">
        <v>1343</v>
      </c>
      <c r="E23" s="13" t="s">
        <v>1340</v>
      </c>
      <c r="F23" s="13" t="s">
        <v>1376</v>
      </c>
      <c r="G23" s="13" t="s">
        <v>1331</v>
      </c>
      <c r="H23" s="13"/>
      <c r="I23" s="13">
        <v>0</v>
      </c>
      <c r="J23" s="13">
        <v>1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ht="18" hidden="1">
      <c r="A24" s="13" t="s">
        <v>1337</v>
      </c>
      <c r="B24" s="14">
        <v>45622.393055555556</v>
      </c>
      <c r="C24" s="13" t="s">
        <v>1377</v>
      </c>
      <c r="D24" s="13" t="s">
        <v>1378</v>
      </c>
      <c r="E24" s="13" t="s">
        <v>1379</v>
      </c>
      <c r="F24" s="13" t="s">
        <v>1380</v>
      </c>
      <c r="G24" s="13" t="s">
        <v>1333</v>
      </c>
      <c r="H24" s="13"/>
      <c r="I24" s="13">
        <v>0</v>
      </c>
      <c r="J24" s="13">
        <v>0</v>
      </c>
      <c r="K24" s="13">
        <v>0</v>
      </c>
      <c r="L24" s="13">
        <v>1</v>
      </c>
      <c r="M24" s="13">
        <v>0</v>
      </c>
      <c r="N24" s="13">
        <v>0</v>
      </c>
      <c r="O24" s="13">
        <v>0</v>
      </c>
    </row>
    <row r="25" spans="1:15" ht="18" hidden="1">
      <c r="A25" s="13" t="s">
        <v>1337</v>
      </c>
      <c r="B25" s="14">
        <v>45622.393055555556</v>
      </c>
      <c r="C25" s="13" t="s">
        <v>1377</v>
      </c>
      <c r="D25" s="13" t="s">
        <v>1378</v>
      </c>
      <c r="E25" s="13" t="s">
        <v>1379</v>
      </c>
      <c r="F25" s="13" t="s">
        <v>1380</v>
      </c>
      <c r="G25" s="13" t="s">
        <v>1335</v>
      </c>
      <c r="H25" s="13"/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1</v>
      </c>
      <c r="O25" s="13">
        <v>0</v>
      </c>
    </row>
    <row r="26" spans="1:15" ht="18" hidden="1">
      <c r="A26" s="13" t="s">
        <v>1337</v>
      </c>
      <c r="B26" s="14">
        <v>45628.84375</v>
      </c>
      <c r="C26" s="13" t="s">
        <v>1381</v>
      </c>
      <c r="D26" s="13" t="s">
        <v>1382</v>
      </c>
      <c r="E26" s="13" t="s">
        <v>1340</v>
      </c>
      <c r="F26" s="13" t="s">
        <v>1383</v>
      </c>
      <c r="G26" s="13" t="s">
        <v>1331</v>
      </c>
      <c r="H26" s="13"/>
      <c r="I26" s="13">
        <v>0</v>
      </c>
      <c r="J26" s="13">
        <v>1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ht="18" hidden="1">
      <c r="A27" s="13" t="s">
        <v>1337</v>
      </c>
      <c r="B27" s="14">
        <v>45636.767361111109</v>
      </c>
      <c r="C27" s="13" t="s">
        <v>1384</v>
      </c>
      <c r="D27" s="13" t="s">
        <v>1385</v>
      </c>
      <c r="E27" s="13" t="s">
        <v>1386</v>
      </c>
      <c r="F27" s="13" t="s">
        <v>1387</v>
      </c>
      <c r="G27" s="13" t="s">
        <v>1335</v>
      </c>
      <c r="H27" s="13"/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1</v>
      </c>
      <c r="O27" s="13">
        <v>0</v>
      </c>
    </row>
    <row r="28" spans="1:15" ht="18" hidden="1">
      <c r="A28" s="13" t="s">
        <v>1337</v>
      </c>
      <c r="B28" s="14">
        <v>45639.508333333331</v>
      </c>
      <c r="C28" s="13" t="s">
        <v>1388</v>
      </c>
      <c r="D28" s="13" t="s">
        <v>1389</v>
      </c>
      <c r="E28" s="13" t="s">
        <v>1386</v>
      </c>
      <c r="F28" s="13" t="s">
        <v>1390</v>
      </c>
      <c r="G28" s="13" t="s">
        <v>1332</v>
      </c>
      <c r="H28" s="13"/>
      <c r="I28" s="13">
        <v>0</v>
      </c>
      <c r="J28" s="13">
        <v>0</v>
      </c>
      <c r="K28" s="13">
        <v>1</v>
      </c>
      <c r="L28" s="13">
        <v>0</v>
      </c>
      <c r="M28" s="13">
        <v>0</v>
      </c>
      <c r="N28" s="13">
        <v>0</v>
      </c>
      <c r="O28" s="13">
        <v>0</v>
      </c>
    </row>
    <row r="29" spans="1:15" ht="18" hidden="1">
      <c r="A29" s="13" t="s">
        <v>1337</v>
      </c>
      <c r="B29" s="14">
        <v>45639.508333333331</v>
      </c>
      <c r="C29" s="13" t="s">
        <v>1388</v>
      </c>
      <c r="D29" s="13" t="s">
        <v>1389</v>
      </c>
      <c r="E29" s="13" t="s">
        <v>1386</v>
      </c>
      <c r="F29" s="13" t="s">
        <v>1390</v>
      </c>
      <c r="G29" s="13" t="s">
        <v>1333</v>
      </c>
      <c r="H29" s="13"/>
      <c r="I29" s="13">
        <v>0</v>
      </c>
      <c r="J29" s="13">
        <v>0</v>
      </c>
      <c r="K29" s="13">
        <v>0</v>
      </c>
      <c r="L29" s="13">
        <v>1</v>
      </c>
      <c r="M29" s="13">
        <v>0</v>
      </c>
      <c r="N29" s="13">
        <v>0</v>
      </c>
      <c r="O29" s="13">
        <v>0</v>
      </c>
    </row>
    <row r="30" spans="1:15" ht="18" hidden="1">
      <c r="A30" s="13" t="s">
        <v>1337</v>
      </c>
      <c r="B30" s="14">
        <v>45639.508333333331</v>
      </c>
      <c r="C30" s="13" t="s">
        <v>1388</v>
      </c>
      <c r="D30" s="13" t="s">
        <v>1389</v>
      </c>
      <c r="E30" s="13" t="s">
        <v>1386</v>
      </c>
      <c r="F30" s="13" t="s">
        <v>1390</v>
      </c>
      <c r="G30" s="13" t="s">
        <v>1335</v>
      </c>
      <c r="H30" s="13"/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1</v>
      </c>
      <c r="O30" s="13">
        <v>0</v>
      </c>
    </row>
    <row r="31" spans="1:15" ht="18" hidden="1">
      <c r="A31" s="13" t="s">
        <v>1337</v>
      </c>
      <c r="B31" s="14">
        <v>45644.44027777778</v>
      </c>
      <c r="C31" s="13" t="s">
        <v>1391</v>
      </c>
      <c r="D31" s="13" t="s">
        <v>1392</v>
      </c>
      <c r="E31" s="13" t="s">
        <v>1393</v>
      </c>
      <c r="F31" s="13" t="s">
        <v>1394</v>
      </c>
      <c r="G31" s="13" t="s">
        <v>1333</v>
      </c>
      <c r="H31" s="13"/>
      <c r="I31" s="13">
        <v>0</v>
      </c>
      <c r="J31" s="13">
        <v>0</v>
      </c>
      <c r="K31" s="13">
        <v>0</v>
      </c>
      <c r="L31" s="13">
        <v>1</v>
      </c>
      <c r="M31" s="13">
        <v>0</v>
      </c>
      <c r="N31" s="13">
        <v>0</v>
      </c>
      <c r="O31" s="13">
        <v>0</v>
      </c>
    </row>
    <row r="32" spans="1:15" ht="18" hidden="1">
      <c r="A32" s="13" t="s">
        <v>1337</v>
      </c>
      <c r="B32" s="14">
        <v>45644.44027777778</v>
      </c>
      <c r="C32" s="13" t="s">
        <v>1391</v>
      </c>
      <c r="D32" s="13" t="s">
        <v>1392</v>
      </c>
      <c r="E32" s="13" t="s">
        <v>1393</v>
      </c>
      <c r="F32" s="13" t="s">
        <v>1394</v>
      </c>
      <c r="G32" s="13" t="s">
        <v>1335</v>
      </c>
      <c r="H32" s="13"/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1</v>
      </c>
      <c r="O32" s="13">
        <v>0</v>
      </c>
    </row>
    <row r="33" spans="1:15" ht="18" hidden="1">
      <c r="A33" s="13" t="s">
        <v>1337</v>
      </c>
      <c r="B33" s="14">
        <v>45694.530555555553</v>
      </c>
      <c r="C33" s="13" t="s">
        <v>1395</v>
      </c>
      <c r="D33" s="13" t="s">
        <v>1396</v>
      </c>
      <c r="E33" s="13" t="s">
        <v>1397</v>
      </c>
      <c r="F33" s="13" t="s">
        <v>1398</v>
      </c>
      <c r="G33" s="13" t="s">
        <v>1333</v>
      </c>
      <c r="H33" s="13"/>
      <c r="I33" s="13">
        <v>0</v>
      </c>
      <c r="J33" s="13">
        <v>0</v>
      </c>
      <c r="K33" s="13">
        <v>0</v>
      </c>
      <c r="L33" s="13">
        <v>1</v>
      </c>
      <c r="M33" s="13">
        <v>0</v>
      </c>
      <c r="N33" s="13">
        <v>0</v>
      </c>
      <c r="O33" s="13">
        <v>0</v>
      </c>
    </row>
    <row r="34" spans="1:15" ht="18" hidden="1">
      <c r="A34" s="13" t="s">
        <v>1337</v>
      </c>
      <c r="B34" s="14">
        <v>45706.978472222225</v>
      </c>
      <c r="C34" s="13" t="s">
        <v>1399</v>
      </c>
      <c r="D34" s="13" t="s">
        <v>1400</v>
      </c>
      <c r="E34" s="13" t="s">
        <v>1401</v>
      </c>
      <c r="F34" s="13" t="s">
        <v>1402</v>
      </c>
      <c r="G34" s="13" t="s">
        <v>1333</v>
      </c>
      <c r="H34" s="13"/>
      <c r="I34" s="13">
        <v>0</v>
      </c>
      <c r="J34" s="13">
        <v>0</v>
      </c>
      <c r="K34" s="13">
        <v>0</v>
      </c>
      <c r="L34" s="13">
        <v>1</v>
      </c>
      <c r="M34" s="13">
        <v>0</v>
      </c>
      <c r="N34" s="13">
        <v>0</v>
      </c>
      <c r="O34" s="13">
        <v>0</v>
      </c>
    </row>
    <row r="35" spans="1:15" ht="18" hidden="1">
      <c r="A35" s="13" t="s">
        <v>1337</v>
      </c>
      <c r="B35" s="14">
        <v>45715.57708333333</v>
      </c>
      <c r="C35" s="13" t="s">
        <v>1403</v>
      </c>
      <c r="D35" s="13" t="s">
        <v>1404</v>
      </c>
      <c r="E35" s="13" t="s">
        <v>1405</v>
      </c>
      <c r="F35" s="13" t="s">
        <v>1406</v>
      </c>
      <c r="G35" s="13" t="s">
        <v>1333</v>
      </c>
      <c r="H35" s="13"/>
      <c r="I35" s="13">
        <v>0</v>
      </c>
      <c r="J35" s="13">
        <v>0</v>
      </c>
      <c r="K35" s="13">
        <v>0</v>
      </c>
      <c r="L35" s="13">
        <v>1</v>
      </c>
      <c r="M35" s="13">
        <v>0</v>
      </c>
      <c r="N35" s="13">
        <v>0</v>
      </c>
      <c r="O35" s="13">
        <v>0</v>
      </c>
    </row>
    <row r="36" spans="1:15" ht="18" hidden="1">
      <c r="A36" s="13" t="s">
        <v>1337</v>
      </c>
      <c r="B36" s="14">
        <v>45716.48333333333</v>
      </c>
      <c r="C36" s="13" t="s">
        <v>1407</v>
      </c>
      <c r="D36" s="13" t="s">
        <v>1408</v>
      </c>
      <c r="E36" s="13" t="s">
        <v>1409</v>
      </c>
      <c r="F36" s="13" t="s">
        <v>1410</v>
      </c>
      <c r="G36" s="13" t="s">
        <v>1333</v>
      </c>
      <c r="H36" s="13"/>
      <c r="I36" s="13">
        <v>0</v>
      </c>
      <c r="J36" s="13">
        <v>0</v>
      </c>
      <c r="K36" s="13">
        <v>0</v>
      </c>
      <c r="L36" s="13">
        <v>1</v>
      </c>
      <c r="M36" s="13">
        <v>0</v>
      </c>
      <c r="N36" s="13">
        <v>0</v>
      </c>
      <c r="O36" s="13">
        <v>0</v>
      </c>
    </row>
    <row r="37" spans="1:15" ht="18" hidden="1">
      <c r="A37" s="13" t="s">
        <v>1337</v>
      </c>
      <c r="B37" s="14">
        <v>45721.476388888892</v>
      </c>
      <c r="C37" s="13" t="s">
        <v>1407</v>
      </c>
      <c r="D37" s="13" t="s">
        <v>1408</v>
      </c>
      <c r="E37" s="13" t="s">
        <v>1409</v>
      </c>
      <c r="F37" s="13" t="s">
        <v>1410</v>
      </c>
      <c r="G37" s="13" t="s">
        <v>1333</v>
      </c>
      <c r="H37" s="13"/>
      <c r="I37" s="13">
        <v>0</v>
      </c>
      <c r="J37" s="13">
        <v>0</v>
      </c>
      <c r="K37" s="13">
        <v>0</v>
      </c>
      <c r="L37" s="13">
        <v>1</v>
      </c>
      <c r="M37" s="13">
        <v>0</v>
      </c>
      <c r="N37" s="13">
        <v>0</v>
      </c>
      <c r="O37" s="13">
        <v>0</v>
      </c>
    </row>
    <row r="38" spans="1:15" ht="18" hidden="1">
      <c r="A38" s="13" t="s">
        <v>1337</v>
      </c>
      <c r="B38" s="14">
        <v>45721.492361111108</v>
      </c>
      <c r="C38" s="13" t="s">
        <v>1411</v>
      </c>
      <c r="D38" s="13" t="s">
        <v>1408</v>
      </c>
      <c r="E38" s="13" t="s">
        <v>1409</v>
      </c>
      <c r="F38" s="13" t="s">
        <v>1410</v>
      </c>
      <c r="G38" s="13" t="s">
        <v>1333</v>
      </c>
      <c r="H38" s="13"/>
      <c r="I38" s="13">
        <v>0</v>
      </c>
      <c r="J38" s="13">
        <v>0</v>
      </c>
      <c r="K38" s="13">
        <v>0</v>
      </c>
      <c r="L38" s="13">
        <v>1</v>
      </c>
      <c r="M38" s="13">
        <v>0</v>
      </c>
      <c r="N38" s="13">
        <v>0</v>
      </c>
      <c r="O38" s="13">
        <v>0</v>
      </c>
    </row>
    <row r="39" spans="1:15" ht="18" hidden="1">
      <c r="A39" s="13" t="s">
        <v>1337</v>
      </c>
      <c r="B39" s="14">
        <v>45727.597222222219</v>
      </c>
      <c r="C39" s="13" t="s">
        <v>1412</v>
      </c>
      <c r="D39" s="13" t="s">
        <v>1413</v>
      </c>
      <c r="E39" s="13" t="s">
        <v>1414</v>
      </c>
      <c r="F39" s="13" t="s">
        <v>1415</v>
      </c>
      <c r="G39" s="13" t="s">
        <v>1333</v>
      </c>
      <c r="H39" s="13"/>
      <c r="I39" s="13">
        <v>0</v>
      </c>
      <c r="J39" s="13">
        <v>0</v>
      </c>
      <c r="K39" s="13">
        <v>0</v>
      </c>
      <c r="L39" s="13">
        <v>1</v>
      </c>
      <c r="M39" s="13">
        <v>0</v>
      </c>
      <c r="N39" s="13">
        <v>0</v>
      </c>
      <c r="O39" s="13">
        <v>0</v>
      </c>
    </row>
    <row r="40" spans="1:15" ht="18" hidden="1">
      <c r="A40" s="13" t="s">
        <v>1337</v>
      </c>
      <c r="B40" s="14">
        <v>45729.688888888886</v>
      </c>
      <c r="C40" s="13" t="s">
        <v>1416</v>
      </c>
      <c r="D40" s="13" t="s">
        <v>1417</v>
      </c>
      <c r="E40" s="13" t="s">
        <v>1418</v>
      </c>
      <c r="F40" s="13" t="s">
        <v>1419</v>
      </c>
      <c r="G40" s="13" t="s">
        <v>1336</v>
      </c>
      <c r="H40" s="13"/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1</v>
      </c>
    </row>
    <row r="41" spans="1:15" ht="18" hidden="1">
      <c r="A41" s="13" t="s">
        <v>1420</v>
      </c>
      <c r="B41" s="14">
        <v>45481.550694444442</v>
      </c>
      <c r="C41" s="13" t="s">
        <v>1421</v>
      </c>
      <c r="D41" s="13" t="s">
        <v>1422</v>
      </c>
      <c r="E41" s="13" t="s">
        <v>1423</v>
      </c>
      <c r="F41" s="13" t="s">
        <v>1424</v>
      </c>
      <c r="G41" s="13" t="s">
        <v>1332</v>
      </c>
      <c r="H41" s="13"/>
      <c r="I41" s="13">
        <v>0</v>
      </c>
      <c r="J41" s="13">
        <v>0</v>
      </c>
      <c r="K41" s="13">
        <v>1</v>
      </c>
      <c r="L41" s="13">
        <v>0</v>
      </c>
      <c r="M41" s="13">
        <v>0</v>
      </c>
      <c r="N41" s="13">
        <v>0</v>
      </c>
      <c r="O41" s="13">
        <v>0</v>
      </c>
    </row>
    <row r="42" spans="1:15" ht="18" hidden="1">
      <c r="A42" s="13" t="s">
        <v>1420</v>
      </c>
      <c r="B42" s="14">
        <v>45481.550694444442</v>
      </c>
      <c r="C42" s="13" t="s">
        <v>1421</v>
      </c>
      <c r="D42" s="13" t="s">
        <v>1422</v>
      </c>
      <c r="E42" s="13" t="s">
        <v>1423</v>
      </c>
      <c r="F42" s="13" t="s">
        <v>1424</v>
      </c>
      <c r="G42" s="13" t="s">
        <v>1335</v>
      </c>
      <c r="H42" s="13"/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1</v>
      </c>
      <c r="O42" s="13">
        <v>0</v>
      </c>
    </row>
    <row r="43" spans="1:15" ht="18">
      <c r="A43" s="13" t="s">
        <v>1420</v>
      </c>
      <c r="B43" s="14">
        <v>45546.429166666669</v>
      </c>
      <c r="C43" s="13" t="s">
        <v>1425</v>
      </c>
      <c r="D43" s="13" t="s">
        <v>1426</v>
      </c>
      <c r="E43" s="13" t="s">
        <v>1427</v>
      </c>
      <c r="F43" s="13" t="s">
        <v>1428</v>
      </c>
      <c r="G43" s="13" t="s">
        <v>1334</v>
      </c>
      <c r="H43" s="13"/>
      <c r="I43" s="13">
        <v>0</v>
      </c>
      <c r="J43" s="13">
        <v>0</v>
      </c>
      <c r="K43" s="13">
        <v>0</v>
      </c>
      <c r="L43" s="13">
        <v>0</v>
      </c>
      <c r="M43" s="13">
        <v>1</v>
      </c>
      <c r="N43" s="13">
        <v>0</v>
      </c>
      <c r="O43" s="13">
        <v>0</v>
      </c>
    </row>
    <row r="44" spans="1:15" ht="18" hidden="1">
      <c r="A44" s="13" t="s">
        <v>1420</v>
      </c>
      <c r="B44" s="14">
        <v>45546.447222222225</v>
      </c>
      <c r="C44" s="13" t="s">
        <v>1429</v>
      </c>
      <c r="D44" s="13" t="s">
        <v>1430</v>
      </c>
      <c r="E44" s="13" t="s">
        <v>1431</v>
      </c>
      <c r="F44" s="13" t="s">
        <v>1432</v>
      </c>
      <c r="G44" s="13" t="s">
        <v>1330</v>
      </c>
      <c r="H44" s="13"/>
      <c r="I44" s="13">
        <v>1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ht="18">
      <c r="A45" s="13" t="s">
        <v>1420</v>
      </c>
      <c r="B45" s="14">
        <v>45546.623611111114</v>
      </c>
      <c r="C45" s="13" t="s">
        <v>1433</v>
      </c>
      <c r="D45" s="13" t="s">
        <v>1434</v>
      </c>
      <c r="E45" s="13" t="s">
        <v>1435</v>
      </c>
      <c r="F45" s="13" t="s">
        <v>1436</v>
      </c>
      <c r="G45" s="13" t="s">
        <v>1334</v>
      </c>
      <c r="H45" s="13"/>
      <c r="I45" s="13">
        <v>0</v>
      </c>
      <c r="J45" s="13">
        <v>0</v>
      </c>
      <c r="K45" s="13">
        <v>0</v>
      </c>
      <c r="L45" s="13">
        <v>0</v>
      </c>
      <c r="M45" s="13">
        <v>1</v>
      </c>
      <c r="N45" s="13">
        <v>0</v>
      </c>
      <c r="O45" s="13">
        <v>0</v>
      </c>
    </row>
    <row r="46" spans="1:15" ht="18" hidden="1">
      <c r="A46" s="13" t="s">
        <v>1420</v>
      </c>
      <c r="B46" s="14">
        <v>45546.718055555553</v>
      </c>
      <c r="C46" s="13" t="s">
        <v>1437</v>
      </c>
      <c r="D46" s="13" t="s">
        <v>90</v>
      </c>
      <c r="E46" s="13" t="s">
        <v>1438</v>
      </c>
      <c r="F46" s="13" t="s">
        <v>1439</v>
      </c>
      <c r="G46" s="13" t="s">
        <v>1332</v>
      </c>
      <c r="H46" s="13"/>
      <c r="I46" s="13">
        <v>0</v>
      </c>
      <c r="J46" s="13">
        <v>0</v>
      </c>
      <c r="K46" s="13">
        <v>1</v>
      </c>
      <c r="L46" s="13">
        <v>0</v>
      </c>
      <c r="M46" s="13">
        <v>0</v>
      </c>
      <c r="N46" s="13">
        <v>0</v>
      </c>
      <c r="O46" s="13">
        <v>0</v>
      </c>
    </row>
    <row r="47" spans="1:15" ht="18">
      <c r="A47" s="13" t="s">
        <v>1420</v>
      </c>
      <c r="B47" s="14">
        <v>45546.718055555553</v>
      </c>
      <c r="C47" s="13" t="s">
        <v>1437</v>
      </c>
      <c r="D47" s="13" t="s">
        <v>90</v>
      </c>
      <c r="E47" s="13" t="s">
        <v>1438</v>
      </c>
      <c r="F47" s="13" t="s">
        <v>1439</v>
      </c>
      <c r="G47" s="13" t="s">
        <v>1334</v>
      </c>
      <c r="H47" s="13"/>
      <c r="I47" s="13">
        <v>0</v>
      </c>
      <c r="J47" s="13">
        <v>0</v>
      </c>
      <c r="K47" s="13">
        <v>0</v>
      </c>
      <c r="L47" s="13">
        <v>0</v>
      </c>
      <c r="M47" s="13">
        <v>1</v>
      </c>
      <c r="N47" s="13">
        <v>0</v>
      </c>
      <c r="O47" s="13">
        <v>0</v>
      </c>
    </row>
    <row r="48" spans="1:15" ht="18">
      <c r="A48" s="13" t="s">
        <v>1420</v>
      </c>
      <c r="B48" s="14">
        <v>45573.43472222222</v>
      </c>
      <c r="C48" s="13" t="s">
        <v>1440</v>
      </c>
      <c r="D48" s="13" t="s">
        <v>1186</v>
      </c>
      <c r="E48" s="13" t="s">
        <v>1441</v>
      </c>
      <c r="F48" s="13" t="s">
        <v>1442</v>
      </c>
      <c r="G48" s="13" t="s">
        <v>1334</v>
      </c>
      <c r="H48" s="13"/>
      <c r="I48" s="13">
        <v>0</v>
      </c>
      <c r="J48" s="13">
        <v>0</v>
      </c>
      <c r="K48" s="13">
        <v>0</v>
      </c>
      <c r="L48" s="13">
        <v>0</v>
      </c>
      <c r="M48" s="13">
        <v>1</v>
      </c>
      <c r="N48" s="13">
        <v>0</v>
      </c>
      <c r="O48" s="13">
        <v>0</v>
      </c>
    </row>
    <row r="49" spans="1:15" ht="18" hidden="1">
      <c r="A49" s="13" t="s">
        <v>1420</v>
      </c>
      <c r="B49" s="14">
        <v>45601.454861111109</v>
      </c>
      <c r="C49" s="13" t="s">
        <v>1443</v>
      </c>
      <c r="D49" s="13" t="s">
        <v>1444</v>
      </c>
      <c r="E49" s="13" t="s">
        <v>1445</v>
      </c>
      <c r="F49" s="13" t="s">
        <v>1446</v>
      </c>
      <c r="G49" s="13" t="s">
        <v>1331</v>
      </c>
      <c r="H49" s="13"/>
      <c r="I49" s="13">
        <v>0</v>
      </c>
      <c r="J49" s="13">
        <v>1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ht="18">
      <c r="A50" s="13" t="s">
        <v>1420</v>
      </c>
      <c r="B50" s="14">
        <v>45601.454861111109</v>
      </c>
      <c r="C50" s="13" t="s">
        <v>1443</v>
      </c>
      <c r="D50" s="13" t="s">
        <v>1444</v>
      </c>
      <c r="E50" s="13" t="s">
        <v>1445</v>
      </c>
      <c r="F50" s="13" t="s">
        <v>1446</v>
      </c>
      <c r="G50" s="13" t="s">
        <v>1334</v>
      </c>
      <c r="H50" s="13"/>
      <c r="I50" s="13">
        <v>0</v>
      </c>
      <c r="J50" s="13">
        <v>0</v>
      </c>
      <c r="K50" s="13">
        <v>0</v>
      </c>
      <c r="L50" s="13">
        <v>0</v>
      </c>
      <c r="M50" s="13">
        <v>1</v>
      </c>
      <c r="N50" s="13">
        <v>0</v>
      </c>
      <c r="O50" s="13">
        <v>0</v>
      </c>
    </row>
    <row r="51" spans="1:15" ht="18">
      <c r="A51" s="13" t="s">
        <v>1420</v>
      </c>
      <c r="B51" s="14">
        <v>45603.5</v>
      </c>
      <c r="C51" s="13" t="s">
        <v>1447</v>
      </c>
      <c r="D51" s="13" t="s">
        <v>1448</v>
      </c>
      <c r="E51" s="13" t="s">
        <v>1449</v>
      </c>
      <c r="F51" s="13" t="s">
        <v>1450</v>
      </c>
      <c r="G51" s="13" t="s">
        <v>1334</v>
      </c>
      <c r="H51" s="13"/>
      <c r="I51" s="13">
        <v>0</v>
      </c>
      <c r="J51" s="13">
        <v>0</v>
      </c>
      <c r="K51" s="13">
        <v>0</v>
      </c>
      <c r="L51" s="13">
        <v>0</v>
      </c>
      <c r="M51" s="13">
        <v>1</v>
      </c>
      <c r="N51" s="13">
        <v>0</v>
      </c>
      <c r="O51" s="13">
        <v>0</v>
      </c>
    </row>
    <row r="52" spans="1:15" ht="18">
      <c r="A52" s="13" t="s">
        <v>1420</v>
      </c>
      <c r="B52" s="14">
        <v>45609.432638888888</v>
      </c>
      <c r="C52" s="13" t="s">
        <v>1451</v>
      </c>
      <c r="D52" s="13" t="s">
        <v>179</v>
      </c>
      <c r="E52" s="13" t="s">
        <v>1452</v>
      </c>
      <c r="F52" s="13" t="s">
        <v>1453</v>
      </c>
      <c r="G52" s="13" t="s">
        <v>1334</v>
      </c>
      <c r="H52" s="13"/>
      <c r="I52" s="13">
        <v>0</v>
      </c>
      <c r="J52" s="13">
        <v>0</v>
      </c>
      <c r="K52" s="13">
        <v>0</v>
      </c>
      <c r="L52" s="13">
        <v>0</v>
      </c>
      <c r="M52" s="13">
        <v>1</v>
      </c>
      <c r="N52" s="13">
        <v>0</v>
      </c>
      <c r="O52" s="13">
        <v>0</v>
      </c>
    </row>
    <row r="53" spans="1:15" ht="18" hidden="1">
      <c r="A53" s="13" t="s">
        <v>1420</v>
      </c>
      <c r="B53" s="14">
        <v>45621.429861111108</v>
      </c>
      <c r="C53" s="13" t="s">
        <v>1454</v>
      </c>
      <c r="D53" s="13" t="s">
        <v>1455</v>
      </c>
      <c r="E53" s="13" t="s">
        <v>1456</v>
      </c>
      <c r="F53" s="13" t="s">
        <v>1457</v>
      </c>
      <c r="G53" s="13" t="s">
        <v>1331</v>
      </c>
      <c r="H53" s="13"/>
      <c r="I53" s="13">
        <v>0</v>
      </c>
      <c r="J53" s="13">
        <v>1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ht="18">
      <c r="A54" s="13" t="s">
        <v>1420</v>
      </c>
      <c r="B54" s="14">
        <v>45621.429861111108</v>
      </c>
      <c r="C54" s="13" t="s">
        <v>1454</v>
      </c>
      <c r="D54" s="13" t="s">
        <v>1455</v>
      </c>
      <c r="E54" s="13" t="s">
        <v>1456</v>
      </c>
      <c r="F54" s="13" t="s">
        <v>1457</v>
      </c>
      <c r="G54" s="13" t="s">
        <v>1334</v>
      </c>
      <c r="H54" s="13"/>
      <c r="I54" s="13">
        <v>0</v>
      </c>
      <c r="J54" s="13">
        <v>0</v>
      </c>
      <c r="K54" s="13">
        <v>0</v>
      </c>
      <c r="L54" s="13">
        <v>0</v>
      </c>
      <c r="M54" s="13">
        <v>1</v>
      </c>
      <c r="N54" s="13">
        <v>0</v>
      </c>
      <c r="O54" s="13">
        <v>0</v>
      </c>
    </row>
    <row r="55" spans="1:15" ht="18">
      <c r="A55" s="13" t="s">
        <v>1420</v>
      </c>
      <c r="B55" s="14">
        <v>45621.449305555558</v>
      </c>
      <c r="C55" s="13" t="s">
        <v>1458</v>
      </c>
      <c r="D55" s="13" t="s">
        <v>136</v>
      </c>
      <c r="E55" s="13" t="s">
        <v>1459</v>
      </c>
      <c r="F55" s="13" t="s">
        <v>1460</v>
      </c>
      <c r="G55" s="13" t="s">
        <v>1334</v>
      </c>
      <c r="H55" s="13"/>
      <c r="I55" s="13">
        <v>0</v>
      </c>
      <c r="J55" s="13">
        <v>0</v>
      </c>
      <c r="K55" s="13">
        <v>0</v>
      </c>
      <c r="L55" s="13">
        <v>0</v>
      </c>
      <c r="M55" s="13">
        <v>1</v>
      </c>
      <c r="N55" s="13">
        <v>0</v>
      </c>
      <c r="O55" s="13">
        <v>0</v>
      </c>
    </row>
    <row r="56" spans="1:15" ht="18">
      <c r="A56" s="13" t="s">
        <v>1420</v>
      </c>
      <c r="B56" s="14">
        <v>45636.416666666664</v>
      </c>
      <c r="C56" s="13" t="s">
        <v>1461</v>
      </c>
      <c r="D56" s="13" t="s">
        <v>1156</v>
      </c>
      <c r="E56" s="13" t="s">
        <v>1462</v>
      </c>
      <c r="F56" s="13" t="s">
        <v>1463</v>
      </c>
      <c r="G56" s="13" t="s">
        <v>1334</v>
      </c>
      <c r="H56" s="13"/>
      <c r="I56" s="13">
        <v>0</v>
      </c>
      <c r="J56" s="13">
        <v>0</v>
      </c>
      <c r="K56" s="13">
        <v>0</v>
      </c>
      <c r="L56" s="13">
        <v>0</v>
      </c>
      <c r="M56" s="13">
        <v>1</v>
      </c>
      <c r="N56" s="13">
        <v>0</v>
      </c>
      <c r="O56" s="13">
        <v>0</v>
      </c>
    </row>
    <row r="57" spans="1:15" ht="18">
      <c r="A57" s="13" t="s">
        <v>1420</v>
      </c>
      <c r="B57" s="14">
        <v>45636.416666666664</v>
      </c>
      <c r="C57" s="13" t="s">
        <v>1464</v>
      </c>
      <c r="D57" s="13" t="s">
        <v>1465</v>
      </c>
      <c r="E57" s="13" t="s">
        <v>1466</v>
      </c>
      <c r="F57" s="13" t="s">
        <v>1467</v>
      </c>
      <c r="G57" s="13" t="s">
        <v>1334</v>
      </c>
      <c r="H57" s="13"/>
      <c r="I57" s="13">
        <v>0</v>
      </c>
      <c r="J57" s="13">
        <v>0</v>
      </c>
      <c r="K57" s="13">
        <v>0</v>
      </c>
      <c r="L57" s="13">
        <v>0</v>
      </c>
      <c r="M57" s="13">
        <v>1</v>
      </c>
      <c r="N57" s="13">
        <v>0</v>
      </c>
      <c r="O57" s="13">
        <v>0</v>
      </c>
    </row>
    <row r="58" spans="1:15" ht="18">
      <c r="A58" s="13" t="s">
        <v>1420</v>
      </c>
      <c r="B58" s="14">
        <v>45636.416666666664</v>
      </c>
      <c r="C58" s="13" t="s">
        <v>1468</v>
      </c>
      <c r="D58" s="13" t="s">
        <v>364</v>
      </c>
      <c r="E58" s="13" t="s">
        <v>1469</v>
      </c>
      <c r="F58" s="13" t="s">
        <v>1470</v>
      </c>
      <c r="G58" s="13" t="s">
        <v>1334</v>
      </c>
      <c r="H58" s="13"/>
      <c r="I58" s="13">
        <v>0</v>
      </c>
      <c r="J58" s="13">
        <v>0</v>
      </c>
      <c r="K58" s="13">
        <v>0</v>
      </c>
      <c r="L58" s="13">
        <v>0</v>
      </c>
      <c r="M58" s="13">
        <v>1</v>
      </c>
      <c r="N58" s="13">
        <v>0</v>
      </c>
      <c r="O58" s="13">
        <v>0</v>
      </c>
    </row>
    <row r="59" spans="1:15" ht="18">
      <c r="A59" s="13" t="s">
        <v>1420</v>
      </c>
      <c r="B59" s="14">
        <v>45636.416666666664</v>
      </c>
      <c r="C59" s="13" t="s">
        <v>1471</v>
      </c>
      <c r="D59" s="13" t="s">
        <v>1472</v>
      </c>
      <c r="E59" s="13" t="s">
        <v>1473</v>
      </c>
      <c r="F59" s="13" t="s">
        <v>1474</v>
      </c>
      <c r="G59" s="13" t="s">
        <v>1334</v>
      </c>
      <c r="H59" s="13"/>
      <c r="I59" s="13">
        <v>0</v>
      </c>
      <c r="J59" s="13">
        <v>0</v>
      </c>
      <c r="K59" s="13">
        <v>0</v>
      </c>
      <c r="L59" s="13">
        <v>0</v>
      </c>
      <c r="M59" s="13">
        <v>1</v>
      </c>
      <c r="N59" s="13">
        <v>0</v>
      </c>
      <c r="O59" s="13">
        <v>0</v>
      </c>
    </row>
    <row r="60" spans="1:15" ht="18">
      <c r="A60" s="13" t="s">
        <v>1420</v>
      </c>
      <c r="B60" s="14">
        <v>45636.416666666664</v>
      </c>
      <c r="C60" s="13" t="s">
        <v>1475</v>
      </c>
      <c r="D60" s="13" t="s">
        <v>1476</v>
      </c>
      <c r="E60" s="13" t="s">
        <v>1477</v>
      </c>
      <c r="F60" s="13" t="s">
        <v>1478</v>
      </c>
      <c r="G60" s="13" t="s">
        <v>1334</v>
      </c>
      <c r="H60" s="13"/>
      <c r="I60" s="13">
        <v>0</v>
      </c>
      <c r="J60" s="13">
        <v>0</v>
      </c>
      <c r="K60" s="13">
        <v>0</v>
      </c>
      <c r="L60" s="13">
        <v>0</v>
      </c>
      <c r="M60" s="13">
        <v>1</v>
      </c>
      <c r="N60" s="13">
        <v>0</v>
      </c>
      <c r="O60" s="13">
        <v>0</v>
      </c>
    </row>
    <row r="61" spans="1:15" ht="18">
      <c r="A61" s="13" t="s">
        <v>1420</v>
      </c>
      <c r="B61" s="14">
        <v>45636.416666666664</v>
      </c>
      <c r="C61" s="13" t="s">
        <v>1479</v>
      </c>
      <c r="D61" s="13" t="s">
        <v>1480</v>
      </c>
      <c r="E61" s="13" t="s">
        <v>1481</v>
      </c>
      <c r="F61" s="13" t="s">
        <v>1482</v>
      </c>
      <c r="G61" s="13" t="s">
        <v>1334</v>
      </c>
      <c r="H61" s="13"/>
      <c r="I61" s="13">
        <v>0</v>
      </c>
      <c r="J61" s="13">
        <v>0</v>
      </c>
      <c r="K61" s="13">
        <v>0</v>
      </c>
      <c r="L61" s="13">
        <v>0</v>
      </c>
      <c r="M61" s="13">
        <v>1</v>
      </c>
      <c r="N61" s="13">
        <v>0</v>
      </c>
      <c r="O61" s="13">
        <v>0</v>
      </c>
    </row>
    <row r="62" spans="1:15" ht="18">
      <c r="A62" s="13" t="s">
        <v>1420</v>
      </c>
      <c r="B62" s="14">
        <v>45636.416666666664</v>
      </c>
      <c r="C62" s="13" t="s">
        <v>1425</v>
      </c>
      <c r="D62" s="13" t="s">
        <v>1483</v>
      </c>
      <c r="E62" s="13" t="s">
        <v>1484</v>
      </c>
      <c r="F62" s="13" t="s">
        <v>1485</v>
      </c>
      <c r="G62" s="13" t="s">
        <v>1334</v>
      </c>
      <c r="H62" s="13"/>
      <c r="I62" s="13">
        <v>0</v>
      </c>
      <c r="J62" s="13">
        <v>0</v>
      </c>
      <c r="K62" s="13">
        <v>0</v>
      </c>
      <c r="L62" s="13">
        <v>0</v>
      </c>
      <c r="M62" s="13">
        <v>1</v>
      </c>
      <c r="N62" s="13">
        <v>0</v>
      </c>
      <c r="O62" s="13">
        <v>0</v>
      </c>
    </row>
    <row r="63" spans="1:15" ht="18">
      <c r="A63" s="13" t="s">
        <v>1420</v>
      </c>
      <c r="B63" s="14">
        <v>45636.416666666664</v>
      </c>
      <c r="C63" s="13" t="s">
        <v>1486</v>
      </c>
      <c r="D63" s="13" t="s">
        <v>1282</v>
      </c>
      <c r="E63" s="13" t="s">
        <v>1487</v>
      </c>
      <c r="F63" s="13" t="s">
        <v>1488</v>
      </c>
      <c r="G63" s="13" t="s">
        <v>1334</v>
      </c>
      <c r="H63" s="13"/>
      <c r="I63" s="13">
        <v>0</v>
      </c>
      <c r="J63" s="13">
        <v>0</v>
      </c>
      <c r="K63" s="13">
        <v>0</v>
      </c>
      <c r="L63" s="13">
        <v>0</v>
      </c>
      <c r="M63" s="13">
        <v>1</v>
      </c>
      <c r="N63" s="13">
        <v>0</v>
      </c>
      <c r="O63" s="13">
        <v>0</v>
      </c>
    </row>
    <row r="64" spans="1:15" ht="18">
      <c r="A64" s="13" t="s">
        <v>1420</v>
      </c>
      <c r="B64" s="14">
        <v>45636.416666666664</v>
      </c>
      <c r="C64" s="13" t="s">
        <v>1489</v>
      </c>
      <c r="D64" s="13" t="s">
        <v>1472</v>
      </c>
      <c r="E64" s="13" t="s">
        <v>1473</v>
      </c>
      <c r="F64" s="13" t="s">
        <v>1490</v>
      </c>
      <c r="G64" s="13" t="s">
        <v>1334</v>
      </c>
      <c r="H64" s="13"/>
      <c r="I64" s="13">
        <v>0</v>
      </c>
      <c r="J64" s="13">
        <v>0</v>
      </c>
      <c r="K64" s="13">
        <v>0</v>
      </c>
      <c r="L64" s="13">
        <v>0</v>
      </c>
      <c r="M64" s="13">
        <v>1</v>
      </c>
      <c r="N64" s="13">
        <v>0</v>
      </c>
      <c r="O64" s="13">
        <v>0</v>
      </c>
    </row>
    <row r="65" spans="1:15" ht="18">
      <c r="A65" s="13" t="s">
        <v>1420</v>
      </c>
      <c r="B65" s="14">
        <v>45636.416666666664</v>
      </c>
      <c r="C65" s="13" t="s">
        <v>1491</v>
      </c>
      <c r="D65" s="13" t="s">
        <v>1492</v>
      </c>
      <c r="E65" s="13" t="s">
        <v>1493</v>
      </c>
      <c r="F65" s="13" t="s">
        <v>1494</v>
      </c>
      <c r="G65" s="13" t="s">
        <v>1334</v>
      </c>
      <c r="H65" s="13"/>
      <c r="I65" s="13">
        <v>0</v>
      </c>
      <c r="J65" s="13">
        <v>0</v>
      </c>
      <c r="K65" s="13">
        <v>0</v>
      </c>
      <c r="L65" s="13">
        <v>0</v>
      </c>
      <c r="M65" s="13">
        <v>1</v>
      </c>
      <c r="N65" s="13">
        <v>0</v>
      </c>
      <c r="O65" s="13">
        <v>0</v>
      </c>
    </row>
    <row r="66" spans="1:15" ht="18">
      <c r="A66" s="13" t="s">
        <v>1420</v>
      </c>
      <c r="B66" s="14">
        <v>45636.416666666664</v>
      </c>
      <c r="C66" s="13" t="s">
        <v>1495</v>
      </c>
      <c r="D66" s="13" t="s">
        <v>149</v>
      </c>
      <c r="E66" s="13" t="s">
        <v>1496</v>
      </c>
      <c r="F66" s="13" t="s">
        <v>1497</v>
      </c>
      <c r="G66" s="13" t="s">
        <v>1334</v>
      </c>
      <c r="H66" s="13"/>
      <c r="I66" s="13">
        <v>0</v>
      </c>
      <c r="J66" s="13">
        <v>0</v>
      </c>
      <c r="K66" s="13">
        <v>0</v>
      </c>
      <c r="L66" s="13">
        <v>0</v>
      </c>
      <c r="M66" s="13">
        <v>1</v>
      </c>
      <c r="N66" s="13">
        <v>0</v>
      </c>
      <c r="O66" s="13">
        <v>0</v>
      </c>
    </row>
    <row r="67" spans="1:15" ht="18">
      <c r="A67" s="13" t="s">
        <v>1420</v>
      </c>
      <c r="B67" s="14">
        <v>45636.416666666664</v>
      </c>
      <c r="C67" s="13" t="s">
        <v>1498</v>
      </c>
      <c r="D67" s="13" t="s">
        <v>136</v>
      </c>
      <c r="E67" s="13" t="s">
        <v>1499</v>
      </c>
      <c r="F67" s="13" t="s">
        <v>1500</v>
      </c>
      <c r="G67" s="13" t="s">
        <v>1334</v>
      </c>
      <c r="H67" s="13"/>
      <c r="I67" s="13">
        <v>0</v>
      </c>
      <c r="J67" s="13">
        <v>0</v>
      </c>
      <c r="K67" s="13">
        <v>0</v>
      </c>
      <c r="L67" s="13">
        <v>0</v>
      </c>
      <c r="M67" s="13">
        <v>1</v>
      </c>
      <c r="N67" s="13">
        <v>0</v>
      </c>
      <c r="O67" s="13">
        <v>0</v>
      </c>
    </row>
    <row r="68" spans="1:15" ht="18">
      <c r="A68" s="13" t="s">
        <v>1420</v>
      </c>
      <c r="B68" s="14">
        <v>45636.416666666664</v>
      </c>
      <c r="C68" s="13" t="s">
        <v>1501</v>
      </c>
      <c r="D68" s="13" t="s">
        <v>1502</v>
      </c>
      <c r="E68" s="13" t="s">
        <v>1503</v>
      </c>
      <c r="F68" s="13" t="s">
        <v>1504</v>
      </c>
      <c r="G68" s="13" t="s">
        <v>1334</v>
      </c>
      <c r="H68" s="13"/>
      <c r="I68" s="13">
        <v>0</v>
      </c>
      <c r="J68" s="13">
        <v>0</v>
      </c>
      <c r="K68" s="13">
        <v>0</v>
      </c>
      <c r="L68" s="13">
        <v>0</v>
      </c>
      <c r="M68" s="13">
        <v>1</v>
      </c>
      <c r="N68" s="13">
        <v>0</v>
      </c>
      <c r="O68" s="13">
        <v>0</v>
      </c>
    </row>
    <row r="69" spans="1:15" ht="18">
      <c r="A69" s="13" t="s">
        <v>1420</v>
      </c>
      <c r="B69" s="14">
        <v>45636.416666666664</v>
      </c>
      <c r="C69" s="13" t="s">
        <v>1505</v>
      </c>
      <c r="D69" s="13" t="s">
        <v>252</v>
      </c>
      <c r="E69" s="13" t="s">
        <v>1506</v>
      </c>
      <c r="F69" s="13" t="s">
        <v>1507</v>
      </c>
      <c r="G69" s="13" t="s">
        <v>1334</v>
      </c>
      <c r="H69" s="13"/>
      <c r="I69" s="13">
        <v>0</v>
      </c>
      <c r="J69" s="13">
        <v>0</v>
      </c>
      <c r="K69" s="13">
        <v>0</v>
      </c>
      <c r="L69" s="13">
        <v>0</v>
      </c>
      <c r="M69" s="13">
        <v>1</v>
      </c>
      <c r="N69" s="13">
        <v>0</v>
      </c>
      <c r="O69" s="13">
        <v>0</v>
      </c>
    </row>
    <row r="70" spans="1:15" ht="18" hidden="1">
      <c r="A70" s="13" t="s">
        <v>1420</v>
      </c>
      <c r="B70" s="14">
        <v>45687.918749999997</v>
      </c>
      <c r="C70" s="13" t="s">
        <v>1508</v>
      </c>
      <c r="D70" s="13" t="s">
        <v>1509</v>
      </c>
      <c r="E70" s="13" t="s">
        <v>1510</v>
      </c>
      <c r="F70" s="13" t="s">
        <v>1511</v>
      </c>
      <c r="G70" s="13" t="s">
        <v>1332</v>
      </c>
      <c r="H70" s="13"/>
      <c r="I70" s="13">
        <v>0</v>
      </c>
      <c r="J70" s="13">
        <v>0</v>
      </c>
      <c r="K70" s="13">
        <v>1</v>
      </c>
      <c r="L70" s="13">
        <v>0</v>
      </c>
      <c r="M70" s="13">
        <v>0</v>
      </c>
      <c r="N70" s="13">
        <v>0</v>
      </c>
      <c r="O70" s="13">
        <v>0</v>
      </c>
    </row>
    <row r="71" spans="1:15" ht="18" hidden="1">
      <c r="A71" s="13" t="s">
        <v>1420</v>
      </c>
      <c r="B71" s="14">
        <v>45705.463888888888</v>
      </c>
      <c r="C71" s="13" t="s">
        <v>1512</v>
      </c>
      <c r="D71" s="13" t="s">
        <v>1513</v>
      </c>
      <c r="E71" s="13" t="s">
        <v>1514</v>
      </c>
      <c r="F71" s="13" t="s">
        <v>1515</v>
      </c>
      <c r="G71" s="13" t="s">
        <v>1332</v>
      </c>
      <c r="H71" s="13"/>
      <c r="I71" s="13">
        <v>0</v>
      </c>
      <c r="J71" s="13">
        <v>0</v>
      </c>
      <c r="K71" s="13">
        <v>1</v>
      </c>
      <c r="L71" s="13">
        <v>0</v>
      </c>
      <c r="M71" s="13">
        <v>0</v>
      </c>
      <c r="N71" s="13">
        <v>0</v>
      </c>
      <c r="O71" s="13">
        <v>0</v>
      </c>
    </row>
    <row r="72" spans="1:15" ht="18">
      <c r="A72" s="13" t="s">
        <v>1420</v>
      </c>
      <c r="B72" s="14">
        <v>45705.463888888888</v>
      </c>
      <c r="C72" s="13" t="s">
        <v>1512</v>
      </c>
      <c r="D72" s="13" t="s">
        <v>1513</v>
      </c>
      <c r="E72" s="13" t="s">
        <v>1514</v>
      </c>
      <c r="F72" s="13" t="s">
        <v>1515</v>
      </c>
      <c r="G72" s="13" t="s">
        <v>1334</v>
      </c>
      <c r="H72" s="13"/>
      <c r="I72" s="13">
        <v>0</v>
      </c>
      <c r="J72" s="13">
        <v>0</v>
      </c>
      <c r="K72" s="13">
        <v>0</v>
      </c>
      <c r="L72" s="13">
        <v>0</v>
      </c>
      <c r="M72" s="13">
        <v>1</v>
      </c>
      <c r="N72" s="13">
        <v>0</v>
      </c>
      <c r="O72" s="13">
        <v>0</v>
      </c>
    </row>
    <row r="73" spans="1:15" ht="18" hidden="1">
      <c r="A73" s="13" t="s">
        <v>1516</v>
      </c>
      <c r="B73" s="14">
        <v>45481.55</v>
      </c>
      <c r="C73" s="13" t="s">
        <v>1421</v>
      </c>
      <c r="D73" s="13" t="s">
        <v>1422</v>
      </c>
      <c r="E73" s="13" t="s">
        <v>1423</v>
      </c>
      <c r="F73" s="13" t="s">
        <v>1424</v>
      </c>
      <c r="G73" s="13" t="s">
        <v>1332</v>
      </c>
      <c r="H73" s="13"/>
      <c r="I73" s="13">
        <v>0</v>
      </c>
      <c r="J73" s="13">
        <v>0</v>
      </c>
      <c r="K73" s="13">
        <v>1</v>
      </c>
      <c r="L73" s="13">
        <v>0</v>
      </c>
      <c r="M73" s="13">
        <v>0</v>
      </c>
      <c r="N73" s="13">
        <v>0</v>
      </c>
      <c r="O73" s="13">
        <v>0</v>
      </c>
    </row>
    <row r="74" spans="1:15" ht="18" hidden="1">
      <c r="A74" s="13" t="s">
        <v>1516</v>
      </c>
      <c r="B74" s="14">
        <v>45481.55</v>
      </c>
      <c r="C74" s="13" t="s">
        <v>1421</v>
      </c>
      <c r="D74" s="13" t="s">
        <v>1422</v>
      </c>
      <c r="E74" s="13" t="s">
        <v>1423</v>
      </c>
      <c r="F74" s="13" t="s">
        <v>1424</v>
      </c>
      <c r="G74" s="13" t="s">
        <v>1335</v>
      </c>
      <c r="H74" s="13"/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1</v>
      </c>
      <c r="O74" s="13">
        <v>0</v>
      </c>
    </row>
    <row r="75" spans="1:15" ht="18" hidden="1">
      <c r="A75" s="13" t="s">
        <v>1516</v>
      </c>
      <c r="B75" s="14">
        <v>45530.356249999997</v>
      </c>
      <c r="C75" s="13" t="s">
        <v>1517</v>
      </c>
      <c r="D75" s="13" t="s">
        <v>1518</v>
      </c>
      <c r="E75" s="13" t="s">
        <v>1519</v>
      </c>
      <c r="F75" s="13" t="s">
        <v>1520</v>
      </c>
      <c r="G75" s="13" t="s">
        <v>1335</v>
      </c>
      <c r="H75" s="13"/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1</v>
      </c>
      <c r="O75" s="13">
        <v>0</v>
      </c>
    </row>
    <row r="76" spans="1:15" ht="18" hidden="1">
      <c r="A76" s="13" t="s">
        <v>1516</v>
      </c>
      <c r="B76" s="14">
        <v>45530.98333333333</v>
      </c>
      <c r="C76" s="13" t="s">
        <v>1521</v>
      </c>
      <c r="D76" s="13" t="s">
        <v>1522</v>
      </c>
      <c r="E76" s="13" t="s">
        <v>1523</v>
      </c>
      <c r="F76" s="13" t="s">
        <v>1524</v>
      </c>
      <c r="G76" s="13" t="s">
        <v>1332</v>
      </c>
      <c r="H76" s="13"/>
      <c r="I76" s="13">
        <v>0</v>
      </c>
      <c r="J76" s="13">
        <v>0</v>
      </c>
      <c r="K76" s="13">
        <v>1</v>
      </c>
      <c r="L76" s="13">
        <v>0</v>
      </c>
      <c r="M76" s="13">
        <v>0</v>
      </c>
      <c r="N76" s="13">
        <v>0</v>
      </c>
      <c r="O76" s="13">
        <v>0</v>
      </c>
    </row>
    <row r="77" spans="1:15" ht="18" hidden="1">
      <c r="A77" s="13" t="s">
        <v>1516</v>
      </c>
      <c r="B77" s="14">
        <v>45552.464583333334</v>
      </c>
      <c r="C77" s="13" t="s">
        <v>1525</v>
      </c>
      <c r="D77" s="13" t="s">
        <v>1526</v>
      </c>
      <c r="E77" s="13" t="s">
        <v>1363</v>
      </c>
      <c r="F77" s="13" t="s">
        <v>1527</v>
      </c>
      <c r="G77" s="13" t="s">
        <v>1332</v>
      </c>
      <c r="H77" s="13"/>
      <c r="I77" s="13">
        <v>0</v>
      </c>
      <c r="J77" s="13">
        <v>0</v>
      </c>
      <c r="K77" s="13">
        <v>1</v>
      </c>
      <c r="L77" s="13">
        <v>0</v>
      </c>
      <c r="M77" s="13">
        <v>0</v>
      </c>
      <c r="N77" s="13">
        <v>0</v>
      </c>
      <c r="O77" s="13">
        <v>0</v>
      </c>
    </row>
    <row r="78" spans="1:15" ht="18">
      <c r="A78" s="13" t="s">
        <v>1516</v>
      </c>
      <c r="B78" s="14">
        <v>45621.416666666664</v>
      </c>
      <c r="C78" s="13" t="s">
        <v>1528</v>
      </c>
      <c r="D78" s="13" t="s">
        <v>1529</v>
      </c>
      <c r="E78" s="13" t="s">
        <v>1530</v>
      </c>
      <c r="F78" s="13" t="s">
        <v>1531</v>
      </c>
      <c r="G78" s="13" t="s">
        <v>1334</v>
      </c>
      <c r="H78" s="13"/>
      <c r="I78" s="13">
        <v>0</v>
      </c>
      <c r="J78" s="13">
        <v>0</v>
      </c>
      <c r="K78" s="13">
        <v>0</v>
      </c>
      <c r="L78" s="13">
        <v>0</v>
      </c>
      <c r="M78" s="13">
        <v>1</v>
      </c>
      <c r="N78" s="13">
        <v>0</v>
      </c>
      <c r="O78" s="13">
        <v>0</v>
      </c>
    </row>
    <row r="79" spans="1:15" ht="18">
      <c r="A79" s="13" t="s">
        <v>1516</v>
      </c>
      <c r="B79" s="14">
        <v>45621.416666666664</v>
      </c>
      <c r="C79" s="13" t="s">
        <v>1532</v>
      </c>
      <c r="D79" s="13" t="s">
        <v>1533</v>
      </c>
      <c r="E79" s="13" t="s">
        <v>1534</v>
      </c>
      <c r="F79" s="13" t="s">
        <v>1535</v>
      </c>
      <c r="G79" s="13" t="s">
        <v>1334</v>
      </c>
      <c r="H79" s="13"/>
      <c r="I79" s="13">
        <v>0</v>
      </c>
      <c r="J79" s="13">
        <v>0</v>
      </c>
      <c r="K79" s="13">
        <v>0</v>
      </c>
      <c r="L79" s="13">
        <v>0</v>
      </c>
      <c r="M79" s="13">
        <v>1</v>
      </c>
      <c r="N79" s="13">
        <v>0</v>
      </c>
      <c r="O79" s="13">
        <v>0</v>
      </c>
    </row>
    <row r="80" spans="1:15" ht="18" hidden="1">
      <c r="A80" s="13" t="s">
        <v>1516</v>
      </c>
      <c r="B80" s="14">
        <v>45631.468055555553</v>
      </c>
      <c r="C80" s="13" t="s">
        <v>1536</v>
      </c>
      <c r="D80" s="13" t="s">
        <v>1537</v>
      </c>
      <c r="E80" s="13"/>
      <c r="F80" s="13" t="s">
        <v>1538</v>
      </c>
      <c r="G80" s="13" t="s">
        <v>1333</v>
      </c>
      <c r="H80" s="13"/>
      <c r="I80" s="13">
        <v>0</v>
      </c>
      <c r="J80" s="13">
        <v>0</v>
      </c>
      <c r="K80" s="13">
        <v>0</v>
      </c>
      <c r="L80" s="13">
        <v>1</v>
      </c>
      <c r="M80" s="13">
        <v>0</v>
      </c>
      <c r="N80" s="13">
        <v>0</v>
      </c>
      <c r="O80" s="13">
        <v>0</v>
      </c>
    </row>
    <row r="81" spans="1:15" ht="18" hidden="1">
      <c r="A81" s="13" t="s">
        <v>1516</v>
      </c>
      <c r="B81" s="14">
        <v>45631.468055555553</v>
      </c>
      <c r="C81" s="13" t="s">
        <v>1536</v>
      </c>
      <c r="D81" s="13" t="s">
        <v>1537</v>
      </c>
      <c r="E81" s="13"/>
      <c r="F81" s="13" t="s">
        <v>1538</v>
      </c>
      <c r="G81" s="13" t="s">
        <v>1335</v>
      </c>
      <c r="H81" s="13"/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1</v>
      </c>
      <c r="O81" s="13">
        <v>0</v>
      </c>
    </row>
    <row r="82" spans="1:15" ht="18">
      <c r="A82" s="13" t="s">
        <v>1516</v>
      </c>
      <c r="B82" s="14">
        <v>45636.416666666664</v>
      </c>
      <c r="C82" s="13" t="s">
        <v>1539</v>
      </c>
      <c r="D82" s="13" t="s">
        <v>1540</v>
      </c>
      <c r="E82" s="13" t="s">
        <v>1541</v>
      </c>
      <c r="F82" s="13" t="s">
        <v>1542</v>
      </c>
      <c r="G82" s="13" t="s">
        <v>1334</v>
      </c>
      <c r="H82" s="13"/>
      <c r="I82" s="13">
        <v>0</v>
      </c>
      <c r="J82" s="13">
        <v>0</v>
      </c>
      <c r="K82" s="13">
        <v>0</v>
      </c>
      <c r="L82" s="13">
        <v>0</v>
      </c>
      <c r="M82" s="13">
        <v>1</v>
      </c>
      <c r="N82" s="13">
        <v>0</v>
      </c>
      <c r="O82" s="13">
        <v>0</v>
      </c>
    </row>
    <row r="83" spans="1:15" ht="18">
      <c r="A83" s="13" t="s">
        <v>1516</v>
      </c>
      <c r="B83" s="14">
        <v>45664.416666666664</v>
      </c>
      <c r="C83" s="13" t="s">
        <v>1543</v>
      </c>
      <c r="D83" s="13" t="s">
        <v>1544</v>
      </c>
      <c r="E83" s="13" t="s">
        <v>1545</v>
      </c>
      <c r="F83" s="13" t="s">
        <v>1546</v>
      </c>
      <c r="G83" s="13" t="s">
        <v>1334</v>
      </c>
      <c r="H83" s="13"/>
      <c r="I83" s="13">
        <v>0</v>
      </c>
      <c r="J83" s="13">
        <v>0</v>
      </c>
      <c r="K83" s="13">
        <v>0</v>
      </c>
      <c r="L83" s="13">
        <v>0</v>
      </c>
      <c r="M83" s="13">
        <v>1</v>
      </c>
      <c r="N83" s="13">
        <v>0</v>
      </c>
      <c r="O83" s="13">
        <v>0</v>
      </c>
    </row>
    <row r="84" spans="1:15" ht="18">
      <c r="A84" s="13" t="s">
        <v>1516</v>
      </c>
      <c r="B84" s="14">
        <v>45664.416666666664</v>
      </c>
      <c r="C84" s="13" t="s">
        <v>1547</v>
      </c>
      <c r="D84" s="13" t="s">
        <v>1548</v>
      </c>
      <c r="E84" s="13" t="s">
        <v>1549</v>
      </c>
      <c r="F84" s="13" t="s">
        <v>1550</v>
      </c>
      <c r="G84" s="13" t="s">
        <v>1334</v>
      </c>
      <c r="H84" s="13"/>
      <c r="I84" s="13">
        <v>0</v>
      </c>
      <c r="J84" s="13">
        <v>0</v>
      </c>
      <c r="K84" s="13">
        <v>0</v>
      </c>
      <c r="L84" s="13">
        <v>0</v>
      </c>
      <c r="M84" s="13">
        <v>1</v>
      </c>
      <c r="N84" s="13">
        <v>0</v>
      </c>
      <c r="O84" s="13">
        <v>0</v>
      </c>
    </row>
    <row r="85" spans="1:15" ht="18">
      <c r="A85" s="13" t="s">
        <v>1516</v>
      </c>
      <c r="B85" s="14">
        <v>45664.416666666664</v>
      </c>
      <c r="C85" s="13" t="s">
        <v>1551</v>
      </c>
      <c r="D85" s="13" t="s">
        <v>1552</v>
      </c>
      <c r="E85" s="13" t="s">
        <v>1553</v>
      </c>
      <c r="F85" s="13" t="s">
        <v>1554</v>
      </c>
      <c r="G85" s="13" t="s">
        <v>1334</v>
      </c>
      <c r="H85" s="13"/>
      <c r="I85" s="13">
        <v>0</v>
      </c>
      <c r="J85" s="13">
        <v>0</v>
      </c>
      <c r="K85" s="13">
        <v>0</v>
      </c>
      <c r="L85" s="13">
        <v>0</v>
      </c>
      <c r="M85" s="13">
        <v>1</v>
      </c>
      <c r="N85" s="13">
        <v>0</v>
      </c>
      <c r="O85" s="13">
        <v>0</v>
      </c>
    </row>
    <row r="86" spans="1:15" ht="18" hidden="1">
      <c r="A86" s="13" t="s">
        <v>1516</v>
      </c>
      <c r="B86" s="14">
        <v>45664.615277777775</v>
      </c>
      <c r="C86" s="13" t="s">
        <v>1555</v>
      </c>
      <c r="D86" s="13" t="s">
        <v>1556</v>
      </c>
      <c r="E86" s="13"/>
      <c r="F86" s="13" t="s">
        <v>1557</v>
      </c>
      <c r="G86" s="13" t="s">
        <v>1333</v>
      </c>
      <c r="H86" s="13"/>
      <c r="I86" s="13">
        <v>0</v>
      </c>
      <c r="J86" s="13">
        <v>0</v>
      </c>
      <c r="K86" s="13">
        <v>0</v>
      </c>
      <c r="L86" s="13">
        <v>1</v>
      </c>
      <c r="M86" s="13">
        <v>0</v>
      </c>
      <c r="N86" s="13">
        <v>0</v>
      </c>
      <c r="O86" s="13">
        <v>0</v>
      </c>
    </row>
    <row r="87" spans="1:15" ht="18" hidden="1">
      <c r="A87" s="13" t="s">
        <v>1516</v>
      </c>
      <c r="B87" s="14">
        <v>45664.615277777775</v>
      </c>
      <c r="C87" s="13" t="s">
        <v>1555</v>
      </c>
      <c r="D87" s="13" t="s">
        <v>1556</v>
      </c>
      <c r="E87" s="13"/>
      <c r="F87" s="13" t="s">
        <v>1557</v>
      </c>
      <c r="G87" s="13" t="s">
        <v>1335</v>
      </c>
      <c r="H87" s="13"/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1</v>
      </c>
      <c r="O87" s="13">
        <v>0</v>
      </c>
    </row>
    <row r="88" spans="1:15" ht="18" hidden="1">
      <c r="A88" s="13" t="s">
        <v>1516</v>
      </c>
      <c r="B88" s="14">
        <v>45687.713888888888</v>
      </c>
      <c r="C88" s="13" t="s">
        <v>1558</v>
      </c>
      <c r="D88" s="13" t="s">
        <v>1559</v>
      </c>
      <c r="E88" s="13"/>
      <c r="F88" s="13" t="s">
        <v>1560</v>
      </c>
      <c r="G88" s="13" t="s">
        <v>1333</v>
      </c>
      <c r="H88" s="13"/>
      <c r="I88" s="13">
        <v>0</v>
      </c>
      <c r="J88" s="13">
        <v>0</v>
      </c>
      <c r="K88" s="13">
        <v>0</v>
      </c>
      <c r="L88" s="13">
        <v>1</v>
      </c>
      <c r="M88" s="13">
        <v>0</v>
      </c>
      <c r="N88" s="13">
        <v>0</v>
      </c>
      <c r="O88" s="13">
        <v>0</v>
      </c>
    </row>
    <row r="89" spans="1:15" ht="18" hidden="1">
      <c r="A89" s="13" t="s">
        <v>1516</v>
      </c>
      <c r="B89" s="14">
        <v>45688.375694444447</v>
      </c>
      <c r="C89" s="13" t="s">
        <v>1508</v>
      </c>
      <c r="D89" s="13" t="s">
        <v>1561</v>
      </c>
      <c r="E89" s="13"/>
      <c r="F89" s="13" t="s">
        <v>1562</v>
      </c>
      <c r="G89" s="13" t="s">
        <v>1332</v>
      </c>
      <c r="H89" s="13"/>
      <c r="I89" s="13">
        <v>0</v>
      </c>
      <c r="J89" s="13">
        <v>0</v>
      </c>
      <c r="K89" s="13">
        <v>1</v>
      </c>
      <c r="L89" s="13">
        <v>0</v>
      </c>
      <c r="M89" s="13">
        <v>0</v>
      </c>
      <c r="N89" s="13">
        <v>0</v>
      </c>
      <c r="O89" s="13">
        <v>0</v>
      </c>
    </row>
    <row r="90" spans="1:15" ht="18" hidden="1">
      <c r="A90" s="13" t="s">
        <v>1516</v>
      </c>
      <c r="B90" s="14">
        <v>45688.460416666669</v>
      </c>
      <c r="C90" s="13" t="s">
        <v>1563</v>
      </c>
      <c r="D90" s="13" t="s">
        <v>1564</v>
      </c>
      <c r="E90" s="13"/>
      <c r="F90" s="13" t="s">
        <v>1394</v>
      </c>
      <c r="G90" s="13" t="s">
        <v>1333</v>
      </c>
      <c r="H90" s="13"/>
      <c r="I90" s="13">
        <v>0</v>
      </c>
      <c r="J90" s="13">
        <v>0</v>
      </c>
      <c r="K90" s="13">
        <v>0</v>
      </c>
      <c r="L90" s="13">
        <v>1</v>
      </c>
      <c r="M90" s="13">
        <v>0</v>
      </c>
      <c r="N90" s="13">
        <v>0</v>
      </c>
      <c r="O90" s="13">
        <v>0</v>
      </c>
    </row>
    <row r="91" spans="1:15" ht="18" hidden="1">
      <c r="A91" s="13" t="s">
        <v>1516</v>
      </c>
      <c r="B91" s="14">
        <v>45692.65902777778</v>
      </c>
      <c r="C91" s="13" t="s">
        <v>1565</v>
      </c>
      <c r="D91" s="13" t="s">
        <v>1566</v>
      </c>
      <c r="E91" s="13"/>
      <c r="F91" s="13" t="s">
        <v>1567</v>
      </c>
      <c r="G91" s="13" t="s">
        <v>1333</v>
      </c>
      <c r="H91" s="13"/>
      <c r="I91" s="13">
        <v>0</v>
      </c>
      <c r="J91" s="13">
        <v>0</v>
      </c>
      <c r="K91" s="13">
        <v>0</v>
      </c>
      <c r="L91" s="13">
        <v>1</v>
      </c>
      <c r="M91" s="13">
        <v>0</v>
      </c>
      <c r="N91" s="13">
        <v>0</v>
      </c>
      <c r="O91" s="13">
        <v>0</v>
      </c>
    </row>
    <row r="92" spans="1:15" ht="18" hidden="1">
      <c r="A92" s="13" t="s">
        <v>1516</v>
      </c>
      <c r="B92" s="14">
        <v>45699.907638888886</v>
      </c>
      <c r="C92" s="13" t="s">
        <v>1568</v>
      </c>
      <c r="D92" s="13" t="s">
        <v>1569</v>
      </c>
      <c r="E92" s="13"/>
      <c r="F92" s="13" t="s">
        <v>1570</v>
      </c>
      <c r="G92" s="13" t="s">
        <v>1332</v>
      </c>
      <c r="H92" s="13"/>
      <c r="I92" s="13">
        <v>0</v>
      </c>
      <c r="J92" s="13">
        <v>0</v>
      </c>
      <c r="K92" s="13">
        <v>1</v>
      </c>
      <c r="L92" s="13">
        <v>0</v>
      </c>
      <c r="M92" s="13">
        <v>0</v>
      </c>
      <c r="N92" s="13">
        <v>0</v>
      </c>
      <c r="O92" s="13">
        <v>0</v>
      </c>
    </row>
    <row r="93" spans="1:15" ht="18">
      <c r="A93" s="13" t="s">
        <v>1516</v>
      </c>
      <c r="B93" s="14">
        <v>45705.416666666664</v>
      </c>
      <c r="C93" s="13" t="s">
        <v>1571</v>
      </c>
      <c r="D93" s="13" t="s">
        <v>1572</v>
      </c>
      <c r="E93" s="13" t="s">
        <v>1573</v>
      </c>
      <c r="F93" s="13" t="s">
        <v>1574</v>
      </c>
      <c r="G93" s="13" t="s">
        <v>1334</v>
      </c>
      <c r="H93" s="13"/>
      <c r="I93" s="13">
        <v>0</v>
      </c>
      <c r="J93" s="13">
        <v>0</v>
      </c>
      <c r="K93" s="13">
        <v>0</v>
      </c>
      <c r="L93" s="13">
        <v>0</v>
      </c>
      <c r="M93" s="13">
        <v>1</v>
      </c>
      <c r="N93" s="13">
        <v>0</v>
      </c>
      <c r="O93" s="13">
        <v>0</v>
      </c>
    </row>
    <row r="94" spans="1:15" ht="18">
      <c r="A94" s="13" t="s">
        <v>1516</v>
      </c>
      <c r="B94" s="14">
        <v>45705.416666666664</v>
      </c>
      <c r="C94" s="13" t="s">
        <v>1575</v>
      </c>
      <c r="D94" s="13" t="s">
        <v>1576</v>
      </c>
      <c r="E94" s="13" t="s">
        <v>1577</v>
      </c>
      <c r="F94" s="13" t="s">
        <v>1578</v>
      </c>
      <c r="G94" s="13" t="s">
        <v>1334</v>
      </c>
      <c r="H94" s="13"/>
      <c r="I94" s="13">
        <v>0</v>
      </c>
      <c r="J94" s="13">
        <v>0</v>
      </c>
      <c r="K94" s="13">
        <v>0</v>
      </c>
      <c r="L94" s="13">
        <v>0</v>
      </c>
      <c r="M94" s="13">
        <v>1</v>
      </c>
      <c r="N94" s="13">
        <v>0</v>
      </c>
      <c r="O94" s="13">
        <v>0</v>
      </c>
    </row>
    <row r="95" spans="1:15" ht="18">
      <c r="A95" s="13" t="s">
        <v>1516</v>
      </c>
      <c r="B95" s="14">
        <v>45705.416666666664</v>
      </c>
      <c r="C95" s="13" t="s">
        <v>1579</v>
      </c>
      <c r="D95" s="13" t="s">
        <v>1580</v>
      </c>
      <c r="E95" s="13" t="s">
        <v>1581</v>
      </c>
      <c r="F95" s="13" t="s">
        <v>1582</v>
      </c>
      <c r="G95" s="13" t="s">
        <v>1334</v>
      </c>
      <c r="H95" s="13"/>
      <c r="I95" s="13">
        <v>0</v>
      </c>
      <c r="J95" s="13">
        <v>0</v>
      </c>
      <c r="K95" s="13">
        <v>0</v>
      </c>
      <c r="L95" s="13">
        <v>0</v>
      </c>
      <c r="M95" s="13">
        <v>1</v>
      </c>
      <c r="N95" s="13">
        <v>0</v>
      </c>
      <c r="O95" s="13">
        <v>0</v>
      </c>
    </row>
    <row r="96" spans="1:15" ht="18">
      <c r="A96" s="13" t="s">
        <v>1516</v>
      </c>
      <c r="B96" s="14">
        <v>45705.416666666664</v>
      </c>
      <c r="C96" s="13" t="s">
        <v>1583</v>
      </c>
      <c r="D96" s="13" t="s">
        <v>1584</v>
      </c>
      <c r="E96" s="13" t="s">
        <v>1585</v>
      </c>
      <c r="F96" s="13" t="s">
        <v>1586</v>
      </c>
      <c r="G96" s="13" t="s">
        <v>1334</v>
      </c>
      <c r="H96" s="13"/>
      <c r="I96" s="13">
        <v>0</v>
      </c>
      <c r="J96" s="13">
        <v>0</v>
      </c>
      <c r="K96" s="13">
        <v>0</v>
      </c>
      <c r="L96" s="13">
        <v>0</v>
      </c>
      <c r="M96" s="13">
        <v>1</v>
      </c>
      <c r="N96" s="13">
        <v>0</v>
      </c>
      <c r="O96" s="13">
        <v>0</v>
      </c>
    </row>
    <row r="97" spans="1:15" ht="18">
      <c r="A97" s="13" t="s">
        <v>1516</v>
      </c>
      <c r="B97" s="14">
        <v>45705.416666666664</v>
      </c>
      <c r="C97" s="13" t="s">
        <v>1587</v>
      </c>
      <c r="D97" s="13" t="s">
        <v>1588</v>
      </c>
      <c r="E97" s="13"/>
      <c r="F97" s="13" t="s">
        <v>1589</v>
      </c>
      <c r="G97" s="13" t="s">
        <v>1334</v>
      </c>
      <c r="H97" s="13"/>
      <c r="I97" s="13">
        <v>0</v>
      </c>
      <c r="J97" s="13">
        <v>0</v>
      </c>
      <c r="K97" s="13">
        <v>0</v>
      </c>
      <c r="L97" s="13">
        <v>0</v>
      </c>
      <c r="M97" s="13">
        <v>1</v>
      </c>
      <c r="N97" s="13">
        <v>0</v>
      </c>
      <c r="O97" s="13">
        <v>0</v>
      </c>
    </row>
    <row r="98" spans="1:15" ht="18">
      <c r="A98" s="13" t="s">
        <v>1516</v>
      </c>
      <c r="B98" s="14">
        <v>45705.416666666664</v>
      </c>
      <c r="C98" s="13" t="s">
        <v>1590</v>
      </c>
      <c r="D98" s="13" t="s">
        <v>1591</v>
      </c>
      <c r="E98" s="13"/>
      <c r="F98" s="13" t="s">
        <v>1592</v>
      </c>
      <c r="G98" s="13" t="s">
        <v>1334</v>
      </c>
      <c r="H98" s="13"/>
      <c r="I98" s="13">
        <v>0</v>
      </c>
      <c r="J98" s="13">
        <v>0</v>
      </c>
      <c r="K98" s="13">
        <v>0</v>
      </c>
      <c r="L98" s="13">
        <v>0</v>
      </c>
      <c r="M98" s="13">
        <v>1</v>
      </c>
      <c r="N98" s="13">
        <v>0</v>
      </c>
      <c r="O98" s="13">
        <v>0</v>
      </c>
    </row>
    <row r="99" spans="1:15" ht="18">
      <c r="A99" s="13" t="s">
        <v>1516</v>
      </c>
      <c r="B99" s="14">
        <v>45705.416666666664</v>
      </c>
      <c r="C99" s="13" t="s">
        <v>1593</v>
      </c>
      <c r="D99" s="13" t="s">
        <v>1594</v>
      </c>
      <c r="E99" s="13" t="s">
        <v>1595</v>
      </c>
      <c r="F99" s="13" t="s">
        <v>1596</v>
      </c>
      <c r="G99" s="13" t="s">
        <v>1334</v>
      </c>
      <c r="H99" s="13"/>
      <c r="I99" s="13">
        <v>0</v>
      </c>
      <c r="J99" s="13">
        <v>0</v>
      </c>
      <c r="K99" s="13">
        <v>0</v>
      </c>
      <c r="L99" s="13">
        <v>0</v>
      </c>
      <c r="M99" s="13">
        <v>1</v>
      </c>
      <c r="N99" s="13">
        <v>0</v>
      </c>
      <c r="O99" s="13">
        <v>0</v>
      </c>
    </row>
    <row r="100" spans="1:15" ht="18">
      <c r="A100" s="13" t="s">
        <v>1516</v>
      </c>
      <c r="B100" s="14">
        <v>45705.416666666664</v>
      </c>
      <c r="C100" s="13" t="s">
        <v>1597</v>
      </c>
      <c r="D100" s="13" t="s">
        <v>1598</v>
      </c>
      <c r="E100" s="13" t="s">
        <v>1599</v>
      </c>
      <c r="F100" s="13" t="s">
        <v>1600</v>
      </c>
      <c r="G100" s="13" t="s">
        <v>1334</v>
      </c>
      <c r="H100" s="13"/>
      <c r="I100" s="13">
        <v>0</v>
      </c>
      <c r="J100" s="13">
        <v>0</v>
      </c>
      <c r="K100" s="13">
        <v>0</v>
      </c>
      <c r="L100" s="13">
        <v>0</v>
      </c>
      <c r="M100" s="13">
        <v>1</v>
      </c>
      <c r="N100" s="13">
        <v>0</v>
      </c>
      <c r="O100" s="13">
        <v>0</v>
      </c>
    </row>
    <row r="101" spans="1:15" ht="18">
      <c r="A101" s="13" t="s">
        <v>1516</v>
      </c>
      <c r="B101" s="14">
        <v>45705.416666666664</v>
      </c>
      <c r="C101" s="13" t="s">
        <v>1601</v>
      </c>
      <c r="D101" s="13" t="s">
        <v>1602</v>
      </c>
      <c r="E101" s="13" t="s">
        <v>1603</v>
      </c>
      <c r="F101" s="13" t="s">
        <v>1604</v>
      </c>
      <c r="G101" s="13" t="s">
        <v>1334</v>
      </c>
      <c r="H101" s="13"/>
      <c r="I101" s="13">
        <v>0</v>
      </c>
      <c r="J101" s="13">
        <v>0</v>
      </c>
      <c r="K101" s="13">
        <v>0</v>
      </c>
      <c r="L101" s="13">
        <v>0</v>
      </c>
      <c r="M101" s="13">
        <v>1</v>
      </c>
      <c r="N101" s="13">
        <v>0</v>
      </c>
      <c r="O101" s="13">
        <v>0</v>
      </c>
    </row>
    <row r="102" spans="1:15" ht="18">
      <c r="A102" s="13" t="s">
        <v>1516</v>
      </c>
      <c r="B102" s="14">
        <v>45705.416666666664</v>
      </c>
      <c r="C102" s="13" t="s">
        <v>1605</v>
      </c>
      <c r="D102" s="13" t="s">
        <v>1606</v>
      </c>
      <c r="E102" s="13" t="s">
        <v>1607</v>
      </c>
      <c r="F102" s="13" t="s">
        <v>1608</v>
      </c>
      <c r="G102" s="13" t="s">
        <v>1334</v>
      </c>
      <c r="H102" s="13"/>
      <c r="I102" s="13">
        <v>0</v>
      </c>
      <c r="J102" s="13">
        <v>0</v>
      </c>
      <c r="K102" s="13">
        <v>0</v>
      </c>
      <c r="L102" s="13">
        <v>0</v>
      </c>
      <c r="M102" s="13">
        <v>1</v>
      </c>
      <c r="N102" s="13">
        <v>0</v>
      </c>
      <c r="O102" s="13">
        <v>0</v>
      </c>
    </row>
    <row r="103" spans="1:15" ht="18">
      <c r="A103" s="13" t="s">
        <v>1516</v>
      </c>
      <c r="B103" s="14">
        <v>45705.416666666664</v>
      </c>
      <c r="C103" s="13" t="s">
        <v>1609</v>
      </c>
      <c r="D103" s="13" t="s">
        <v>1610</v>
      </c>
      <c r="E103" s="13"/>
      <c r="F103" s="13" t="s">
        <v>1611</v>
      </c>
      <c r="G103" s="13" t="s">
        <v>1334</v>
      </c>
      <c r="H103" s="13"/>
      <c r="I103" s="13">
        <v>0</v>
      </c>
      <c r="J103" s="13">
        <v>0</v>
      </c>
      <c r="K103" s="13">
        <v>0</v>
      </c>
      <c r="L103" s="13">
        <v>0</v>
      </c>
      <c r="M103" s="13">
        <v>1</v>
      </c>
      <c r="N103" s="13">
        <v>0</v>
      </c>
      <c r="O103" s="13">
        <v>0</v>
      </c>
    </row>
    <row r="104" spans="1:15" ht="18">
      <c r="A104" s="13" t="s">
        <v>1516</v>
      </c>
      <c r="B104" s="14">
        <v>45705.416666666664</v>
      </c>
      <c r="C104" s="13" t="s">
        <v>1612</v>
      </c>
      <c r="D104" s="13" t="s">
        <v>1613</v>
      </c>
      <c r="E104" s="13" t="s">
        <v>1614</v>
      </c>
      <c r="F104" s="13" t="s">
        <v>1615</v>
      </c>
      <c r="G104" s="13" t="s">
        <v>1334</v>
      </c>
      <c r="H104" s="13"/>
      <c r="I104" s="13">
        <v>0</v>
      </c>
      <c r="J104" s="13">
        <v>0</v>
      </c>
      <c r="K104" s="13">
        <v>0</v>
      </c>
      <c r="L104" s="13">
        <v>0</v>
      </c>
      <c r="M104" s="13">
        <v>1</v>
      </c>
      <c r="N104" s="13">
        <v>0</v>
      </c>
      <c r="O104" s="13">
        <v>0</v>
      </c>
    </row>
    <row r="105" spans="1:15" ht="18">
      <c r="A105" s="13" t="s">
        <v>1516</v>
      </c>
      <c r="B105" s="14">
        <v>45705.416666666664</v>
      </c>
      <c r="C105" s="13" t="s">
        <v>1616</v>
      </c>
      <c r="D105" s="13" t="s">
        <v>1617</v>
      </c>
      <c r="E105" s="13" t="s">
        <v>1618</v>
      </c>
      <c r="F105" s="13" t="s">
        <v>1619</v>
      </c>
      <c r="G105" s="13" t="s">
        <v>1334</v>
      </c>
      <c r="H105" s="13"/>
      <c r="I105" s="13">
        <v>0</v>
      </c>
      <c r="J105" s="13">
        <v>0</v>
      </c>
      <c r="K105" s="13">
        <v>0</v>
      </c>
      <c r="L105" s="13">
        <v>0</v>
      </c>
      <c r="M105" s="13">
        <v>1</v>
      </c>
      <c r="N105" s="13">
        <v>0</v>
      </c>
      <c r="O105" s="13">
        <v>0</v>
      </c>
    </row>
    <row r="106" spans="1:15" ht="18">
      <c r="A106" s="13" t="s">
        <v>1516</v>
      </c>
      <c r="B106" s="14">
        <v>45705.416666666664</v>
      </c>
      <c r="C106" s="13" t="s">
        <v>1620</v>
      </c>
      <c r="D106" s="13" t="s">
        <v>1621</v>
      </c>
      <c r="E106" s="13" t="s">
        <v>1622</v>
      </c>
      <c r="F106" s="13" t="s">
        <v>1623</v>
      </c>
      <c r="G106" s="13" t="s">
        <v>1334</v>
      </c>
      <c r="H106" s="13"/>
      <c r="I106" s="13">
        <v>0</v>
      </c>
      <c r="J106" s="13">
        <v>0</v>
      </c>
      <c r="K106" s="13">
        <v>0</v>
      </c>
      <c r="L106" s="13">
        <v>0</v>
      </c>
      <c r="M106" s="13">
        <v>1</v>
      </c>
      <c r="N106" s="13">
        <v>0</v>
      </c>
      <c r="O106" s="13">
        <v>0</v>
      </c>
    </row>
    <row r="107" spans="1:15" ht="18">
      <c r="A107" s="13" t="s">
        <v>1516</v>
      </c>
      <c r="B107" s="14">
        <v>45705.416666666664</v>
      </c>
      <c r="C107" s="13" t="s">
        <v>1624</v>
      </c>
      <c r="D107" s="13" t="s">
        <v>1117</v>
      </c>
      <c r="E107" s="13" t="s">
        <v>1625</v>
      </c>
      <c r="F107" s="13" t="s">
        <v>1626</v>
      </c>
      <c r="G107" s="13" t="s">
        <v>1334</v>
      </c>
      <c r="H107" s="13"/>
      <c r="I107" s="13">
        <v>0</v>
      </c>
      <c r="J107" s="13">
        <v>0</v>
      </c>
      <c r="K107" s="13">
        <v>0</v>
      </c>
      <c r="L107" s="13">
        <v>0</v>
      </c>
      <c r="M107" s="13">
        <v>1</v>
      </c>
      <c r="N107" s="13">
        <v>0</v>
      </c>
      <c r="O107" s="13">
        <v>0</v>
      </c>
    </row>
    <row r="108" spans="1:15" ht="18">
      <c r="A108" s="13" t="s">
        <v>1516</v>
      </c>
      <c r="B108" s="14">
        <v>45705.416666666664</v>
      </c>
      <c r="C108" s="13" t="s">
        <v>1627</v>
      </c>
      <c r="D108" s="13" t="s">
        <v>1628</v>
      </c>
      <c r="E108" s="13" t="s">
        <v>1629</v>
      </c>
      <c r="F108" s="13" t="s">
        <v>1630</v>
      </c>
      <c r="G108" s="13" t="s">
        <v>1334</v>
      </c>
      <c r="H108" s="13"/>
      <c r="I108" s="13">
        <v>0</v>
      </c>
      <c r="J108" s="13">
        <v>0</v>
      </c>
      <c r="K108" s="13">
        <v>0</v>
      </c>
      <c r="L108" s="13">
        <v>0</v>
      </c>
      <c r="M108" s="13">
        <v>1</v>
      </c>
      <c r="N108" s="13">
        <v>0</v>
      </c>
      <c r="O108" s="13">
        <v>0</v>
      </c>
    </row>
    <row r="109" spans="1:15" ht="18">
      <c r="A109" s="13" t="s">
        <v>1516</v>
      </c>
      <c r="B109" s="14">
        <v>45705.416666666664</v>
      </c>
      <c r="C109" s="13" t="s">
        <v>1631</v>
      </c>
      <c r="D109" s="13" t="s">
        <v>1632</v>
      </c>
      <c r="E109" s="13" t="s">
        <v>1633</v>
      </c>
      <c r="F109" s="13" t="s">
        <v>1634</v>
      </c>
      <c r="G109" s="13" t="s">
        <v>1334</v>
      </c>
      <c r="H109" s="13"/>
      <c r="I109" s="13">
        <v>0</v>
      </c>
      <c r="J109" s="13">
        <v>0</v>
      </c>
      <c r="K109" s="13">
        <v>0</v>
      </c>
      <c r="L109" s="13">
        <v>0</v>
      </c>
      <c r="M109" s="13">
        <v>1</v>
      </c>
      <c r="N109" s="13">
        <v>0</v>
      </c>
      <c r="O109" s="13">
        <v>0</v>
      </c>
    </row>
    <row r="110" spans="1:15" ht="18">
      <c r="A110" s="13" t="s">
        <v>1516</v>
      </c>
      <c r="B110" s="14">
        <v>45705.416666666664</v>
      </c>
      <c r="C110" s="13" t="s">
        <v>1635</v>
      </c>
      <c r="D110" s="13" t="s">
        <v>1636</v>
      </c>
      <c r="E110" s="13" t="s">
        <v>1637</v>
      </c>
      <c r="F110" s="13" t="s">
        <v>1638</v>
      </c>
      <c r="G110" s="13" t="s">
        <v>1334</v>
      </c>
      <c r="H110" s="13"/>
      <c r="I110" s="13">
        <v>0</v>
      </c>
      <c r="J110" s="13">
        <v>0</v>
      </c>
      <c r="K110" s="13">
        <v>0</v>
      </c>
      <c r="L110" s="13">
        <v>0</v>
      </c>
      <c r="M110" s="13">
        <v>1</v>
      </c>
      <c r="N110" s="13">
        <v>0</v>
      </c>
      <c r="O110" s="13">
        <v>0</v>
      </c>
    </row>
    <row r="111" spans="1:15" ht="18">
      <c r="A111" s="13" t="s">
        <v>1516</v>
      </c>
      <c r="B111" s="14">
        <v>45705.416666666664</v>
      </c>
      <c r="C111" s="13" t="s">
        <v>1639</v>
      </c>
      <c r="D111" s="13" t="s">
        <v>1640</v>
      </c>
      <c r="E111" s="13"/>
      <c r="F111" s="13" t="s">
        <v>1641</v>
      </c>
      <c r="G111" s="13" t="s">
        <v>1334</v>
      </c>
      <c r="H111" s="13"/>
      <c r="I111" s="13">
        <v>0</v>
      </c>
      <c r="J111" s="13">
        <v>0</v>
      </c>
      <c r="K111" s="13">
        <v>0</v>
      </c>
      <c r="L111" s="13">
        <v>0</v>
      </c>
      <c r="M111" s="13">
        <v>1</v>
      </c>
      <c r="N111" s="13">
        <v>0</v>
      </c>
      <c r="O111" s="13">
        <v>0</v>
      </c>
    </row>
    <row r="112" spans="1:15" ht="18">
      <c r="A112" s="13" t="s">
        <v>1516</v>
      </c>
      <c r="B112" s="14">
        <v>45705.416666666664</v>
      </c>
      <c r="C112" s="13" t="s">
        <v>1471</v>
      </c>
      <c r="D112" s="13" t="s">
        <v>1472</v>
      </c>
      <c r="E112" s="13" t="s">
        <v>1473</v>
      </c>
      <c r="F112" s="13" t="s">
        <v>1474</v>
      </c>
      <c r="G112" s="13" t="s">
        <v>1334</v>
      </c>
      <c r="H112" s="13"/>
      <c r="I112" s="13">
        <v>0</v>
      </c>
      <c r="J112" s="13">
        <v>0</v>
      </c>
      <c r="K112" s="13">
        <v>0</v>
      </c>
      <c r="L112" s="13">
        <v>0</v>
      </c>
      <c r="M112" s="13">
        <v>1</v>
      </c>
      <c r="N112" s="13">
        <v>0</v>
      </c>
      <c r="O112" s="13">
        <v>0</v>
      </c>
    </row>
    <row r="113" spans="1:15" ht="18">
      <c r="A113" s="13" t="s">
        <v>1516</v>
      </c>
      <c r="B113" s="14">
        <v>45705.416666666664</v>
      </c>
      <c r="C113" s="13" t="s">
        <v>1642</v>
      </c>
      <c r="D113" s="13" t="s">
        <v>252</v>
      </c>
      <c r="E113" s="13" t="s">
        <v>1643</v>
      </c>
      <c r="F113" s="13" t="s">
        <v>1644</v>
      </c>
      <c r="G113" s="13" t="s">
        <v>1334</v>
      </c>
      <c r="H113" s="13"/>
      <c r="I113" s="13">
        <v>0</v>
      </c>
      <c r="J113" s="13">
        <v>0</v>
      </c>
      <c r="K113" s="13">
        <v>0</v>
      </c>
      <c r="L113" s="13">
        <v>0</v>
      </c>
      <c r="M113" s="13">
        <v>1</v>
      </c>
      <c r="N113" s="13">
        <v>0</v>
      </c>
      <c r="O113" s="13">
        <v>0</v>
      </c>
    </row>
    <row r="114" spans="1:15" ht="18">
      <c r="A114" s="13" t="s">
        <v>1516</v>
      </c>
      <c r="B114" s="14">
        <v>45705.416666666664</v>
      </c>
      <c r="C114" s="13" t="s">
        <v>1645</v>
      </c>
      <c r="D114" s="13" t="s">
        <v>1646</v>
      </c>
      <c r="E114" s="13" t="s">
        <v>1647</v>
      </c>
      <c r="F114" s="13" t="s">
        <v>1648</v>
      </c>
      <c r="G114" s="13" t="s">
        <v>1334</v>
      </c>
      <c r="H114" s="13"/>
      <c r="I114" s="13">
        <v>0</v>
      </c>
      <c r="J114" s="13">
        <v>0</v>
      </c>
      <c r="K114" s="13">
        <v>0</v>
      </c>
      <c r="L114" s="13">
        <v>0</v>
      </c>
      <c r="M114" s="13">
        <v>1</v>
      </c>
      <c r="N114" s="13">
        <v>0</v>
      </c>
      <c r="O114" s="13">
        <v>0</v>
      </c>
    </row>
    <row r="115" spans="1:15" ht="18">
      <c r="A115" s="13" t="s">
        <v>1516</v>
      </c>
      <c r="B115" s="14">
        <v>45705.416666666664</v>
      </c>
      <c r="C115" s="13" t="s">
        <v>1649</v>
      </c>
      <c r="D115" s="13" t="s">
        <v>1650</v>
      </c>
      <c r="E115" s="13" t="s">
        <v>1651</v>
      </c>
      <c r="F115" s="13" t="s">
        <v>1652</v>
      </c>
      <c r="G115" s="13" t="s">
        <v>1334</v>
      </c>
      <c r="H115" s="13"/>
      <c r="I115" s="13">
        <v>0</v>
      </c>
      <c r="J115" s="13">
        <v>0</v>
      </c>
      <c r="K115" s="13">
        <v>0</v>
      </c>
      <c r="L115" s="13">
        <v>0</v>
      </c>
      <c r="M115" s="13">
        <v>1</v>
      </c>
      <c r="N115" s="13">
        <v>0</v>
      </c>
      <c r="O115" s="13">
        <v>0</v>
      </c>
    </row>
    <row r="116" spans="1:15" ht="18">
      <c r="A116" s="13" t="s">
        <v>1516</v>
      </c>
      <c r="B116" s="14">
        <v>45705.416666666664</v>
      </c>
      <c r="C116" s="13" t="s">
        <v>1653</v>
      </c>
      <c r="D116" s="13" t="s">
        <v>1654</v>
      </c>
      <c r="E116" s="13"/>
      <c r="F116" s="13" t="s">
        <v>1655</v>
      </c>
      <c r="G116" s="13" t="s">
        <v>1334</v>
      </c>
      <c r="H116" s="13"/>
      <c r="I116" s="13">
        <v>0</v>
      </c>
      <c r="J116" s="13">
        <v>0</v>
      </c>
      <c r="K116" s="13">
        <v>0</v>
      </c>
      <c r="L116" s="13">
        <v>0</v>
      </c>
      <c r="M116" s="13">
        <v>1</v>
      </c>
      <c r="N116" s="13">
        <v>0</v>
      </c>
      <c r="O116" s="13">
        <v>0</v>
      </c>
    </row>
    <row r="117" spans="1:15" ht="18">
      <c r="A117" s="13" t="s">
        <v>1516</v>
      </c>
      <c r="B117" s="14">
        <v>45705.416666666664</v>
      </c>
      <c r="C117" s="13" t="s">
        <v>1656</v>
      </c>
      <c r="D117" s="13" t="s">
        <v>1657</v>
      </c>
      <c r="E117" s="13" t="s">
        <v>1658</v>
      </c>
      <c r="F117" s="13" t="s">
        <v>1659</v>
      </c>
      <c r="G117" s="13" t="s">
        <v>1334</v>
      </c>
      <c r="H117" s="13"/>
      <c r="I117" s="13">
        <v>0</v>
      </c>
      <c r="J117" s="13">
        <v>0</v>
      </c>
      <c r="K117" s="13">
        <v>0</v>
      </c>
      <c r="L117" s="13">
        <v>0</v>
      </c>
      <c r="M117" s="13">
        <v>1</v>
      </c>
      <c r="N117" s="13">
        <v>0</v>
      </c>
      <c r="O117" s="13">
        <v>0</v>
      </c>
    </row>
    <row r="118" spans="1:15" ht="18">
      <c r="A118" s="13" t="s">
        <v>1516</v>
      </c>
      <c r="B118" s="14">
        <v>45705.416666666664</v>
      </c>
      <c r="C118" s="13" t="s">
        <v>1660</v>
      </c>
      <c r="D118" s="13" t="s">
        <v>1078</v>
      </c>
      <c r="E118" s="13" t="s">
        <v>1661</v>
      </c>
      <c r="F118" s="13" t="s">
        <v>1662</v>
      </c>
      <c r="G118" s="13" t="s">
        <v>1334</v>
      </c>
      <c r="H118" s="13"/>
      <c r="I118" s="13">
        <v>0</v>
      </c>
      <c r="J118" s="13">
        <v>0</v>
      </c>
      <c r="K118" s="13">
        <v>0</v>
      </c>
      <c r="L118" s="13">
        <v>0</v>
      </c>
      <c r="M118" s="13">
        <v>1</v>
      </c>
      <c r="N118" s="13">
        <v>0</v>
      </c>
      <c r="O118" s="13">
        <v>0</v>
      </c>
    </row>
    <row r="119" spans="1:15" ht="18">
      <c r="A119" s="13" t="s">
        <v>1516</v>
      </c>
      <c r="B119" s="14">
        <v>45705.416666666664</v>
      </c>
      <c r="C119" s="13" t="s">
        <v>1663</v>
      </c>
      <c r="D119" s="13" t="s">
        <v>1664</v>
      </c>
      <c r="E119" s="13"/>
      <c r="F119" s="13" t="s">
        <v>1665</v>
      </c>
      <c r="G119" s="13" t="s">
        <v>1334</v>
      </c>
      <c r="H119" s="13"/>
      <c r="I119" s="13">
        <v>0</v>
      </c>
      <c r="J119" s="13">
        <v>0</v>
      </c>
      <c r="K119" s="13">
        <v>0</v>
      </c>
      <c r="L119" s="13">
        <v>0</v>
      </c>
      <c r="M119" s="13">
        <v>1</v>
      </c>
      <c r="N119" s="13">
        <v>0</v>
      </c>
      <c r="O119" s="13">
        <v>0</v>
      </c>
    </row>
    <row r="120" spans="1:15" ht="18">
      <c r="A120" s="13" t="s">
        <v>1516</v>
      </c>
      <c r="B120" s="14">
        <v>45705.416666666664</v>
      </c>
      <c r="C120" s="13" t="s">
        <v>1666</v>
      </c>
      <c r="D120" s="13" t="s">
        <v>1667</v>
      </c>
      <c r="E120" s="13" t="s">
        <v>1668</v>
      </c>
      <c r="F120" s="13" t="s">
        <v>1669</v>
      </c>
      <c r="G120" s="13" t="s">
        <v>1334</v>
      </c>
      <c r="H120" s="13"/>
      <c r="I120" s="13">
        <v>0</v>
      </c>
      <c r="J120" s="13">
        <v>0</v>
      </c>
      <c r="K120" s="13">
        <v>0</v>
      </c>
      <c r="L120" s="13">
        <v>0</v>
      </c>
      <c r="M120" s="13">
        <v>1</v>
      </c>
      <c r="N120" s="13">
        <v>0</v>
      </c>
      <c r="O120" s="13">
        <v>0</v>
      </c>
    </row>
    <row r="121" spans="1:15" ht="18">
      <c r="A121" s="13" t="s">
        <v>1516</v>
      </c>
      <c r="B121" s="14">
        <v>45705.416666666664</v>
      </c>
      <c r="C121" s="13" t="s">
        <v>1670</v>
      </c>
      <c r="D121" s="13" t="s">
        <v>26</v>
      </c>
      <c r="E121" s="13" t="s">
        <v>1671</v>
      </c>
      <c r="F121" s="13" t="s">
        <v>1672</v>
      </c>
      <c r="G121" s="13" t="s">
        <v>1334</v>
      </c>
      <c r="H121" s="13"/>
      <c r="I121" s="13">
        <v>0</v>
      </c>
      <c r="J121" s="13">
        <v>0</v>
      </c>
      <c r="K121" s="13">
        <v>0</v>
      </c>
      <c r="L121" s="13">
        <v>0</v>
      </c>
      <c r="M121" s="13">
        <v>1</v>
      </c>
      <c r="N121" s="13">
        <v>0</v>
      </c>
      <c r="O121" s="13">
        <v>0</v>
      </c>
    </row>
    <row r="122" spans="1:15" ht="18">
      <c r="A122" s="13" t="s">
        <v>1516</v>
      </c>
      <c r="B122" s="14">
        <v>45705.416666666664</v>
      </c>
      <c r="C122" s="13" t="s">
        <v>1673</v>
      </c>
      <c r="D122" s="13" t="s">
        <v>1674</v>
      </c>
      <c r="E122" s="13" t="s">
        <v>1675</v>
      </c>
      <c r="F122" s="13" t="s">
        <v>1676</v>
      </c>
      <c r="G122" s="13" t="s">
        <v>1334</v>
      </c>
      <c r="H122" s="13"/>
      <c r="I122" s="13">
        <v>0</v>
      </c>
      <c r="J122" s="13">
        <v>0</v>
      </c>
      <c r="K122" s="13">
        <v>0</v>
      </c>
      <c r="L122" s="13">
        <v>0</v>
      </c>
      <c r="M122" s="13">
        <v>1</v>
      </c>
      <c r="N122" s="13">
        <v>0</v>
      </c>
      <c r="O122" s="13">
        <v>0</v>
      </c>
    </row>
    <row r="123" spans="1:15" ht="18">
      <c r="A123" s="13" t="s">
        <v>1516</v>
      </c>
      <c r="B123" s="14">
        <v>45705.416666666664</v>
      </c>
      <c r="C123" s="13" t="s">
        <v>1677</v>
      </c>
      <c r="D123" s="13" t="s">
        <v>1678</v>
      </c>
      <c r="E123" s="13"/>
      <c r="F123" s="13" t="s">
        <v>1679</v>
      </c>
      <c r="G123" s="13" t="s">
        <v>1334</v>
      </c>
      <c r="H123" s="13"/>
      <c r="I123" s="13">
        <v>0</v>
      </c>
      <c r="J123" s="13">
        <v>0</v>
      </c>
      <c r="K123" s="13">
        <v>0</v>
      </c>
      <c r="L123" s="13">
        <v>0</v>
      </c>
      <c r="M123" s="13">
        <v>1</v>
      </c>
      <c r="N123" s="13">
        <v>0</v>
      </c>
      <c r="O123" s="13">
        <v>0</v>
      </c>
    </row>
    <row r="124" spans="1:15" ht="18">
      <c r="A124" s="13" t="s">
        <v>1516</v>
      </c>
      <c r="B124" s="14">
        <v>45705.416666666664</v>
      </c>
      <c r="C124" s="13" t="s">
        <v>1680</v>
      </c>
      <c r="D124" s="13" t="s">
        <v>1681</v>
      </c>
      <c r="E124" s="13" t="s">
        <v>1682</v>
      </c>
      <c r="F124" s="13" t="s">
        <v>1683</v>
      </c>
      <c r="G124" s="13" t="s">
        <v>1334</v>
      </c>
      <c r="H124" s="13"/>
      <c r="I124" s="13">
        <v>0</v>
      </c>
      <c r="J124" s="13">
        <v>0</v>
      </c>
      <c r="K124" s="13">
        <v>0</v>
      </c>
      <c r="L124" s="13">
        <v>0</v>
      </c>
      <c r="M124" s="13">
        <v>1</v>
      </c>
      <c r="N124" s="13">
        <v>0</v>
      </c>
      <c r="O124" s="13">
        <v>0</v>
      </c>
    </row>
    <row r="125" spans="1:15" ht="18">
      <c r="A125" s="13" t="s">
        <v>1516</v>
      </c>
      <c r="B125" s="14">
        <v>45705.416666666664</v>
      </c>
      <c r="C125" s="13" t="s">
        <v>1684</v>
      </c>
      <c r="D125" s="13" t="s">
        <v>1685</v>
      </c>
      <c r="E125" s="13" t="s">
        <v>1686</v>
      </c>
      <c r="F125" s="13" t="s">
        <v>1687</v>
      </c>
      <c r="G125" s="13" t="s">
        <v>1334</v>
      </c>
      <c r="H125" s="13"/>
      <c r="I125" s="13">
        <v>0</v>
      </c>
      <c r="J125" s="13">
        <v>0</v>
      </c>
      <c r="K125" s="13">
        <v>0</v>
      </c>
      <c r="L125" s="13">
        <v>0</v>
      </c>
      <c r="M125" s="13">
        <v>1</v>
      </c>
      <c r="N125" s="13">
        <v>0</v>
      </c>
      <c r="O125" s="13">
        <v>0</v>
      </c>
    </row>
    <row r="126" spans="1:15" ht="18">
      <c r="A126" s="13" t="s">
        <v>1516</v>
      </c>
      <c r="B126" s="14">
        <v>45705.416666666664</v>
      </c>
      <c r="C126" s="13" t="s">
        <v>1688</v>
      </c>
      <c r="D126" s="13" t="s">
        <v>414</v>
      </c>
      <c r="E126" s="13" t="s">
        <v>1689</v>
      </c>
      <c r="F126" s="13" t="s">
        <v>1690</v>
      </c>
      <c r="G126" s="13" t="s">
        <v>1334</v>
      </c>
      <c r="H126" s="13"/>
      <c r="I126" s="13">
        <v>0</v>
      </c>
      <c r="J126" s="13">
        <v>0</v>
      </c>
      <c r="K126" s="13">
        <v>0</v>
      </c>
      <c r="L126" s="13">
        <v>0</v>
      </c>
      <c r="M126" s="13">
        <v>1</v>
      </c>
      <c r="N126" s="13">
        <v>0</v>
      </c>
      <c r="O126" s="13">
        <v>0</v>
      </c>
    </row>
    <row r="127" spans="1:15" ht="18">
      <c r="A127" s="13" t="s">
        <v>1516</v>
      </c>
      <c r="B127" s="14">
        <v>45705.416666666664</v>
      </c>
      <c r="C127" s="13" t="s">
        <v>1691</v>
      </c>
      <c r="D127" s="13" t="s">
        <v>1692</v>
      </c>
      <c r="E127" s="13"/>
      <c r="F127" s="13" t="s">
        <v>1693</v>
      </c>
      <c r="G127" s="13" t="s">
        <v>1334</v>
      </c>
      <c r="H127" s="13"/>
      <c r="I127" s="13">
        <v>0</v>
      </c>
      <c r="J127" s="13">
        <v>0</v>
      </c>
      <c r="K127" s="13">
        <v>0</v>
      </c>
      <c r="L127" s="13">
        <v>0</v>
      </c>
      <c r="M127" s="13">
        <v>1</v>
      </c>
      <c r="N127" s="13">
        <v>0</v>
      </c>
      <c r="O127" s="13">
        <v>0</v>
      </c>
    </row>
    <row r="128" spans="1:15" ht="18">
      <c r="A128" s="13" t="s">
        <v>1516</v>
      </c>
      <c r="B128" s="14">
        <v>45705.416666666664</v>
      </c>
      <c r="C128" s="13" t="s">
        <v>1694</v>
      </c>
      <c r="D128" s="13" t="s">
        <v>1695</v>
      </c>
      <c r="E128" s="13"/>
      <c r="F128" s="13" t="s">
        <v>1696</v>
      </c>
      <c r="G128" s="13" t="s">
        <v>1334</v>
      </c>
      <c r="H128" s="13"/>
      <c r="I128" s="13">
        <v>0</v>
      </c>
      <c r="J128" s="13">
        <v>0</v>
      </c>
      <c r="K128" s="13">
        <v>0</v>
      </c>
      <c r="L128" s="13">
        <v>0</v>
      </c>
      <c r="M128" s="13">
        <v>1</v>
      </c>
      <c r="N128" s="13">
        <v>0</v>
      </c>
      <c r="O128" s="13">
        <v>0</v>
      </c>
    </row>
    <row r="129" spans="1:15" ht="18">
      <c r="A129" s="13" t="s">
        <v>1516</v>
      </c>
      <c r="B129" s="14">
        <v>45705.416666666664</v>
      </c>
      <c r="C129" s="13" t="s">
        <v>1697</v>
      </c>
      <c r="D129" s="13" t="s">
        <v>271</v>
      </c>
      <c r="E129" s="13" t="s">
        <v>1698</v>
      </c>
      <c r="F129" s="13" t="s">
        <v>1699</v>
      </c>
      <c r="G129" s="13" t="s">
        <v>1334</v>
      </c>
      <c r="H129" s="13"/>
      <c r="I129" s="13">
        <v>0</v>
      </c>
      <c r="J129" s="13">
        <v>0</v>
      </c>
      <c r="K129" s="13">
        <v>0</v>
      </c>
      <c r="L129" s="13">
        <v>0</v>
      </c>
      <c r="M129" s="13">
        <v>1</v>
      </c>
      <c r="N129" s="13">
        <v>0</v>
      </c>
      <c r="O129" s="13">
        <v>0</v>
      </c>
    </row>
    <row r="130" spans="1:15" ht="18">
      <c r="A130" s="13" t="s">
        <v>1516</v>
      </c>
      <c r="B130" s="14">
        <v>45705.416666666664</v>
      </c>
      <c r="C130" s="13" t="s">
        <v>1700</v>
      </c>
      <c r="D130" s="13" t="s">
        <v>10</v>
      </c>
      <c r="E130" s="13" t="s">
        <v>1701</v>
      </c>
      <c r="F130" s="13" t="s">
        <v>1702</v>
      </c>
      <c r="G130" s="13" t="s">
        <v>1334</v>
      </c>
      <c r="H130" s="13"/>
      <c r="I130" s="13">
        <v>0</v>
      </c>
      <c r="J130" s="13">
        <v>0</v>
      </c>
      <c r="K130" s="13">
        <v>0</v>
      </c>
      <c r="L130" s="13">
        <v>0</v>
      </c>
      <c r="M130" s="13">
        <v>1</v>
      </c>
      <c r="N130" s="13">
        <v>0</v>
      </c>
      <c r="O130" s="13">
        <v>0</v>
      </c>
    </row>
    <row r="131" spans="1:15" ht="18">
      <c r="A131" s="13" t="s">
        <v>1516</v>
      </c>
      <c r="B131" s="14">
        <v>45705.416666666664</v>
      </c>
      <c r="C131" s="13" t="s">
        <v>1703</v>
      </c>
      <c r="D131" s="13" t="s">
        <v>1704</v>
      </c>
      <c r="E131" s="13" t="s">
        <v>1705</v>
      </c>
      <c r="F131" s="13" t="s">
        <v>1706</v>
      </c>
      <c r="G131" s="13" t="s">
        <v>1334</v>
      </c>
      <c r="H131" s="13"/>
      <c r="I131" s="13">
        <v>0</v>
      </c>
      <c r="J131" s="13">
        <v>0</v>
      </c>
      <c r="K131" s="13">
        <v>0</v>
      </c>
      <c r="L131" s="13">
        <v>0</v>
      </c>
      <c r="M131" s="13">
        <v>1</v>
      </c>
      <c r="N131" s="13">
        <v>0</v>
      </c>
      <c r="O131" s="13">
        <v>0</v>
      </c>
    </row>
    <row r="132" spans="1:15" ht="18">
      <c r="A132" s="13" t="s">
        <v>1516</v>
      </c>
      <c r="B132" s="14">
        <v>45705.416666666664</v>
      </c>
      <c r="C132" s="13" t="s">
        <v>1707</v>
      </c>
      <c r="D132" s="13" t="s">
        <v>1708</v>
      </c>
      <c r="E132" s="13" t="s">
        <v>1709</v>
      </c>
      <c r="F132" s="13" t="s">
        <v>1710</v>
      </c>
      <c r="G132" s="13" t="s">
        <v>1334</v>
      </c>
      <c r="H132" s="13"/>
      <c r="I132" s="13">
        <v>0</v>
      </c>
      <c r="J132" s="13">
        <v>0</v>
      </c>
      <c r="K132" s="13">
        <v>0</v>
      </c>
      <c r="L132" s="13">
        <v>0</v>
      </c>
      <c r="M132" s="13">
        <v>1</v>
      </c>
      <c r="N132" s="13">
        <v>0</v>
      </c>
      <c r="O132" s="13">
        <v>0</v>
      </c>
    </row>
    <row r="133" spans="1:15" ht="18">
      <c r="A133" s="13" t="s">
        <v>1516</v>
      </c>
      <c r="B133" s="14">
        <v>45705.416666666664</v>
      </c>
      <c r="C133" s="13" t="s">
        <v>1711</v>
      </c>
      <c r="D133" s="13" t="s">
        <v>1712</v>
      </c>
      <c r="E133" s="13" t="s">
        <v>1713</v>
      </c>
      <c r="F133" s="13" t="s">
        <v>1714</v>
      </c>
      <c r="G133" s="13" t="s">
        <v>1334</v>
      </c>
      <c r="H133" s="13"/>
      <c r="I133" s="13">
        <v>0</v>
      </c>
      <c r="J133" s="13">
        <v>0</v>
      </c>
      <c r="K133" s="13">
        <v>0</v>
      </c>
      <c r="L133" s="13">
        <v>0</v>
      </c>
      <c r="M133" s="13">
        <v>1</v>
      </c>
      <c r="N133" s="13">
        <v>0</v>
      </c>
      <c r="O133" s="13">
        <v>0</v>
      </c>
    </row>
    <row r="134" spans="1:15" ht="18">
      <c r="A134" s="13" t="s">
        <v>1516</v>
      </c>
      <c r="B134" s="14">
        <v>45705.416666666664</v>
      </c>
      <c r="C134" s="13" t="s">
        <v>1715</v>
      </c>
      <c r="D134" s="13" t="s">
        <v>1667</v>
      </c>
      <c r="E134" s="13" t="s">
        <v>1716</v>
      </c>
      <c r="F134" s="13" t="s">
        <v>1717</v>
      </c>
      <c r="G134" s="13" t="s">
        <v>1334</v>
      </c>
      <c r="H134" s="13"/>
      <c r="I134" s="13">
        <v>0</v>
      </c>
      <c r="J134" s="13">
        <v>0</v>
      </c>
      <c r="K134" s="13">
        <v>0</v>
      </c>
      <c r="L134" s="13">
        <v>0</v>
      </c>
      <c r="M134" s="13">
        <v>1</v>
      </c>
      <c r="N134" s="13">
        <v>0</v>
      </c>
      <c r="O134" s="13">
        <v>0</v>
      </c>
    </row>
    <row r="135" spans="1:15" ht="18">
      <c r="A135" s="13" t="s">
        <v>1516</v>
      </c>
      <c r="B135" s="14">
        <v>45705.416666666664</v>
      </c>
      <c r="C135" s="13" t="s">
        <v>1718</v>
      </c>
      <c r="D135" s="13" t="s">
        <v>1719</v>
      </c>
      <c r="E135" s="13"/>
      <c r="F135" s="13" t="s">
        <v>1720</v>
      </c>
      <c r="G135" s="13" t="s">
        <v>1334</v>
      </c>
      <c r="H135" s="13"/>
      <c r="I135" s="13">
        <v>0</v>
      </c>
      <c r="J135" s="13">
        <v>0</v>
      </c>
      <c r="K135" s="13">
        <v>0</v>
      </c>
      <c r="L135" s="13">
        <v>0</v>
      </c>
      <c r="M135" s="13">
        <v>1</v>
      </c>
      <c r="N135" s="13">
        <v>0</v>
      </c>
      <c r="O135" s="13">
        <v>0</v>
      </c>
    </row>
    <row r="136" spans="1:15" ht="18">
      <c r="A136" s="13" t="s">
        <v>1516</v>
      </c>
      <c r="B136" s="14">
        <v>45705.416666666664</v>
      </c>
      <c r="C136" s="13" t="s">
        <v>1721</v>
      </c>
      <c r="D136" s="13" t="s">
        <v>1722</v>
      </c>
      <c r="E136" s="13" t="s">
        <v>1723</v>
      </c>
      <c r="F136" s="13" t="s">
        <v>1724</v>
      </c>
      <c r="G136" s="13" t="s">
        <v>1334</v>
      </c>
      <c r="H136" s="13"/>
      <c r="I136" s="13">
        <v>0</v>
      </c>
      <c r="J136" s="13">
        <v>0</v>
      </c>
      <c r="K136" s="13">
        <v>0</v>
      </c>
      <c r="L136" s="13">
        <v>0</v>
      </c>
      <c r="M136" s="13">
        <v>1</v>
      </c>
      <c r="N136" s="13">
        <v>0</v>
      </c>
      <c r="O136" s="13">
        <v>0</v>
      </c>
    </row>
    <row r="137" spans="1:15" ht="18">
      <c r="A137" s="13" t="s">
        <v>1516</v>
      </c>
      <c r="B137" s="14">
        <v>45705.416666666664</v>
      </c>
      <c r="C137" s="13" t="s">
        <v>1725</v>
      </c>
      <c r="D137" s="13" t="s">
        <v>1726</v>
      </c>
      <c r="E137" s="13" t="s">
        <v>1727</v>
      </c>
      <c r="F137" s="13" t="s">
        <v>1728</v>
      </c>
      <c r="G137" s="13" t="s">
        <v>1334</v>
      </c>
      <c r="H137" s="13"/>
      <c r="I137" s="13">
        <v>0</v>
      </c>
      <c r="J137" s="13">
        <v>0</v>
      </c>
      <c r="K137" s="13">
        <v>0</v>
      </c>
      <c r="L137" s="13">
        <v>0</v>
      </c>
      <c r="M137" s="13">
        <v>1</v>
      </c>
      <c r="N137" s="13">
        <v>0</v>
      </c>
      <c r="O137" s="13">
        <v>0</v>
      </c>
    </row>
    <row r="138" spans="1:15" ht="18">
      <c r="A138" s="13" t="s">
        <v>1516</v>
      </c>
      <c r="B138" s="14">
        <v>45705.416666666664</v>
      </c>
      <c r="C138" s="13" t="s">
        <v>1729</v>
      </c>
      <c r="D138" s="13" t="s">
        <v>1455</v>
      </c>
      <c r="E138" s="13" t="s">
        <v>1730</v>
      </c>
      <c r="F138" s="13" t="s">
        <v>1731</v>
      </c>
      <c r="G138" s="13" t="s">
        <v>1334</v>
      </c>
      <c r="H138" s="13"/>
      <c r="I138" s="13">
        <v>0</v>
      </c>
      <c r="J138" s="13">
        <v>0</v>
      </c>
      <c r="K138" s="13">
        <v>0</v>
      </c>
      <c r="L138" s="13">
        <v>0</v>
      </c>
      <c r="M138" s="13">
        <v>1</v>
      </c>
      <c r="N138" s="13">
        <v>0</v>
      </c>
      <c r="O138" s="13">
        <v>0</v>
      </c>
    </row>
    <row r="139" spans="1:15" ht="18">
      <c r="A139" s="13" t="s">
        <v>1516</v>
      </c>
      <c r="B139" s="14">
        <v>45705.416666666664</v>
      </c>
      <c r="C139" s="13" t="s">
        <v>1732</v>
      </c>
      <c r="D139" s="13" t="s">
        <v>1650</v>
      </c>
      <c r="E139" s="13" t="s">
        <v>1733</v>
      </c>
      <c r="F139" s="13" t="s">
        <v>1734</v>
      </c>
      <c r="G139" s="13" t="s">
        <v>1334</v>
      </c>
      <c r="H139" s="13"/>
      <c r="I139" s="13">
        <v>0</v>
      </c>
      <c r="J139" s="13">
        <v>0</v>
      </c>
      <c r="K139" s="13">
        <v>0</v>
      </c>
      <c r="L139" s="13">
        <v>0</v>
      </c>
      <c r="M139" s="13">
        <v>1</v>
      </c>
      <c r="N139" s="13">
        <v>0</v>
      </c>
      <c r="O139" s="13">
        <v>0</v>
      </c>
    </row>
    <row r="140" spans="1:15" ht="18">
      <c r="A140" s="13" t="s">
        <v>1516</v>
      </c>
      <c r="B140" s="14">
        <v>45705.416666666664</v>
      </c>
      <c r="C140" s="13" t="s">
        <v>1735</v>
      </c>
      <c r="D140" s="13" t="s">
        <v>1455</v>
      </c>
      <c r="E140" s="13" t="s">
        <v>1736</v>
      </c>
      <c r="F140" s="13" t="s">
        <v>1737</v>
      </c>
      <c r="G140" s="13" t="s">
        <v>1334</v>
      </c>
      <c r="H140" s="13"/>
      <c r="I140" s="13">
        <v>0</v>
      </c>
      <c r="J140" s="13">
        <v>0</v>
      </c>
      <c r="K140" s="13">
        <v>0</v>
      </c>
      <c r="L140" s="13">
        <v>0</v>
      </c>
      <c r="M140" s="13">
        <v>1</v>
      </c>
      <c r="N140" s="13">
        <v>0</v>
      </c>
      <c r="O140" s="13">
        <v>0</v>
      </c>
    </row>
    <row r="141" spans="1:15" ht="18">
      <c r="A141" s="13" t="s">
        <v>1516</v>
      </c>
      <c r="B141" s="14">
        <v>45705.416666666664</v>
      </c>
      <c r="C141" s="13" t="s">
        <v>1738</v>
      </c>
      <c r="D141" s="13" t="s">
        <v>1739</v>
      </c>
      <c r="E141" s="13" t="s">
        <v>1740</v>
      </c>
      <c r="F141" s="13" t="s">
        <v>1741</v>
      </c>
      <c r="G141" s="13" t="s">
        <v>1334</v>
      </c>
      <c r="H141" s="13"/>
      <c r="I141" s="13">
        <v>0</v>
      </c>
      <c r="J141" s="13">
        <v>0</v>
      </c>
      <c r="K141" s="13">
        <v>0</v>
      </c>
      <c r="L141" s="13">
        <v>0</v>
      </c>
      <c r="M141" s="13">
        <v>1</v>
      </c>
      <c r="N141" s="13">
        <v>0</v>
      </c>
      <c r="O141" s="13">
        <v>0</v>
      </c>
    </row>
    <row r="142" spans="1:15" ht="18">
      <c r="A142" s="13" t="s">
        <v>1516</v>
      </c>
      <c r="B142" s="14">
        <v>45705.416666666664</v>
      </c>
      <c r="C142" s="13" t="s">
        <v>1742</v>
      </c>
      <c r="D142" s="13" t="s">
        <v>252</v>
      </c>
      <c r="E142" s="13" t="s">
        <v>1743</v>
      </c>
      <c r="F142" s="13" t="s">
        <v>1744</v>
      </c>
      <c r="G142" s="13" t="s">
        <v>1334</v>
      </c>
      <c r="H142" s="13"/>
      <c r="I142" s="13">
        <v>0</v>
      </c>
      <c r="J142" s="13">
        <v>0</v>
      </c>
      <c r="K142" s="13">
        <v>0</v>
      </c>
      <c r="L142" s="13">
        <v>0</v>
      </c>
      <c r="M142" s="13">
        <v>1</v>
      </c>
      <c r="N142" s="13">
        <v>0</v>
      </c>
      <c r="O142" s="13">
        <v>0</v>
      </c>
    </row>
    <row r="143" spans="1:15" ht="18">
      <c r="A143" s="13" t="s">
        <v>1516</v>
      </c>
      <c r="B143" s="14">
        <v>45705.416666666664</v>
      </c>
      <c r="C143" s="13" t="s">
        <v>1745</v>
      </c>
      <c r="D143" s="13" t="s">
        <v>1746</v>
      </c>
      <c r="E143" s="13" t="s">
        <v>1747</v>
      </c>
      <c r="F143" s="13" t="s">
        <v>1748</v>
      </c>
      <c r="G143" s="13" t="s">
        <v>1334</v>
      </c>
      <c r="H143" s="13"/>
      <c r="I143" s="13">
        <v>0</v>
      </c>
      <c r="J143" s="13">
        <v>0</v>
      </c>
      <c r="K143" s="13">
        <v>0</v>
      </c>
      <c r="L143" s="13">
        <v>0</v>
      </c>
      <c r="M143" s="13">
        <v>1</v>
      </c>
      <c r="N143" s="13">
        <v>0</v>
      </c>
      <c r="O143" s="13">
        <v>0</v>
      </c>
    </row>
    <row r="144" spans="1:15" ht="18">
      <c r="A144" s="13" t="s">
        <v>1516</v>
      </c>
      <c r="B144" s="14">
        <v>45705.416666666664</v>
      </c>
      <c r="C144" s="13" t="s">
        <v>1749</v>
      </c>
      <c r="D144" s="13" t="s">
        <v>1750</v>
      </c>
      <c r="E144" s="13"/>
      <c r="F144" s="13" t="s">
        <v>1751</v>
      </c>
      <c r="G144" s="13" t="s">
        <v>1334</v>
      </c>
      <c r="H144" s="13"/>
      <c r="I144" s="13">
        <v>0</v>
      </c>
      <c r="J144" s="13">
        <v>0</v>
      </c>
      <c r="K144" s="13">
        <v>0</v>
      </c>
      <c r="L144" s="13">
        <v>0</v>
      </c>
      <c r="M144" s="13">
        <v>1</v>
      </c>
      <c r="N144" s="13">
        <v>0</v>
      </c>
      <c r="O144" s="13">
        <v>0</v>
      </c>
    </row>
    <row r="145" spans="1:15" ht="18">
      <c r="A145" s="13" t="s">
        <v>1516</v>
      </c>
      <c r="B145" s="14">
        <v>45705.416666666664</v>
      </c>
      <c r="C145" s="13" t="s">
        <v>1752</v>
      </c>
      <c r="D145" s="13" t="s">
        <v>1753</v>
      </c>
      <c r="E145" s="13"/>
      <c r="F145" s="13" t="s">
        <v>1754</v>
      </c>
      <c r="G145" s="13" t="s">
        <v>1334</v>
      </c>
      <c r="H145" s="13"/>
      <c r="I145" s="13">
        <v>0</v>
      </c>
      <c r="J145" s="13">
        <v>0</v>
      </c>
      <c r="K145" s="13">
        <v>0</v>
      </c>
      <c r="L145" s="13">
        <v>0</v>
      </c>
      <c r="M145" s="13">
        <v>1</v>
      </c>
      <c r="N145" s="13">
        <v>0</v>
      </c>
      <c r="O145" s="13">
        <v>0</v>
      </c>
    </row>
    <row r="146" spans="1:15" ht="18">
      <c r="A146" s="13" t="s">
        <v>1516</v>
      </c>
      <c r="B146" s="14">
        <v>45705.416666666664</v>
      </c>
      <c r="C146" s="13" t="s">
        <v>1755</v>
      </c>
      <c r="D146" s="13" t="s">
        <v>1756</v>
      </c>
      <c r="E146" s="13" t="s">
        <v>1757</v>
      </c>
      <c r="F146" s="13" t="s">
        <v>1758</v>
      </c>
      <c r="G146" s="13" t="s">
        <v>1334</v>
      </c>
      <c r="H146" s="13"/>
      <c r="I146" s="13">
        <v>0</v>
      </c>
      <c r="J146" s="13">
        <v>0</v>
      </c>
      <c r="K146" s="13">
        <v>0</v>
      </c>
      <c r="L146" s="13">
        <v>0</v>
      </c>
      <c r="M146" s="13">
        <v>1</v>
      </c>
      <c r="N146" s="13">
        <v>0</v>
      </c>
      <c r="O146" s="13">
        <v>0</v>
      </c>
    </row>
    <row r="147" spans="1:15" ht="18">
      <c r="A147" s="13" t="s">
        <v>1516</v>
      </c>
      <c r="B147" s="14">
        <v>45705.416666666664</v>
      </c>
      <c r="C147" s="13" t="s">
        <v>1759</v>
      </c>
      <c r="D147" s="13" t="s">
        <v>1760</v>
      </c>
      <c r="E147" s="13" t="s">
        <v>1761</v>
      </c>
      <c r="F147" s="13" t="s">
        <v>1762</v>
      </c>
      <c r="G147" s="13" t="s">
        <v>1334</v>
      </c>
      <c r="H147" s="13"/>
      <c r="I147" s="13">
        <v>0</v>
      </c>
      <c r="J147" s="13">
        <v>0</v>
      </c>
      <c r="K147" s="13">
        <v>0</v>
      </c>
      <c r="L147" s="13">
        <v>0</v>
      </c>
      <c r="M147" s="13">
        <v>1</v>
      </c>
      <c r="N147" s="13">
        <v>0</v>
      </c>
      <c r="O147" s="13">
        <v>0</v>
      </c>
    </row>
    <row r="148" spans="1:15" ht="18">
      <c r="A148" s="13" t="s">
        <v>1516</v>
      </c>
      <c r="B148" s="14">
        <v>45705.416666666664</v>
      </c>
      <c r="C148" s="13" t="s">
        <v>1763</v>
      </c>
      <c r="D148" s="13" t="s">
        <v>1186</v>
      </c>
      <c r="E148" s="13" t="s">
        <v>1764</v>
      </c>
      <c r="F148" s="13" t="s">
        <v>1765</v>
      </c>
      <c r="G148" s="13" t="s">
        <v>1334</v>
      </c>
      <c r="H148" s="13"/>
      <c r="I148" s="13">
        <v>0</v>
      </c>
      <c r="J148" s="13">
        <v>0</v>
      </c>
      <c r="K148" s="13">
        <v>0</v>
      </c>
      <c r="L148" s="13">
        <v>0</v>
      </c>
      <c r="M148" s="13">
        <v>1</v>
      </c>
      <c r="N148" s="13">
        <v>0</v>
      </c>
      <c r="O148" s="13">
        <v>0</v>
      </c>
    </row>
    <row r="149" spans="1:15" ht="18">
      <c r="A149" s="13" t="s">
        <v>1516</v>
      </c>
      <c r="B149" s="14">
        <v>45705.416666666664</v>
      </c>
      <c r="C149" s="13" t="s">
        <v>1766</v>
      </c>
      <c r="D149" s="13" t="s">
        <v>1767</v>
      </c>
      <c r="E149" s="13"/>
      <c r="F149" s="13" t="s">
        <v>1768</v>
      </c>
      <c r="G149" s="13" t="s">
        <v>1334</v>
      </c>
      <c r="H149" s="13"/>
      <c r="I149" s="13">
        <v>0</v>
      </c>
      <c r="J149" s="13">
        <v>0</v>
      </c>
      <c r="K149" s="13">
        <v>0</v>
      </c>
      <c r="L149" s="13">
        <v>0</v>
      </c>
      <c r="M149" s="13">
        <v>1</v>
      </c>
      <c r="N149" s="13">
        <v>0</v>
      </c>
      <c r="O149" s="13">
        <v>0</v>
      </c>
    </row>
    <row r="150" spans="1:15" ht="18">
      <c r="A150" s="13" t="s">
        <v>1516</v>
      </c>
      <c r="B150" s="14">
        <v>45705.416666666664</v>
      </c>
      <c r="C150" s="13" t="s">
        <v>1769</v>
      </c>
      <c r="D150" s="13" t="s">
        <v>1770</v>
      </c>
      <c r="E150" s="13" t="s">
        <v>1771</v>
      </c>
      <c r="F150" s="13" t="s">
        <v>1772</v>
      </c>
      <c r="G150" s="13" t="s">
        <v>1334</v>
      </c>
      <c r="H150" s="13"/>
      <c r="I150" s="13">
        <v>0</v>
      </c>
      <c r="J150" s="13">
        <v>0</v>
      </c>
      <c r="K150" s="13">
        <v>0</v>
      </c>
      <c r="L150" s="13">
        <v>0</v>
      </c>
      <c r="M150" s="13">
        <v>1</v>
      </c>
      <c r="N150" s="13">
        <v>0</v>
      </c>
      <c r="O150" s="13">
        <v>0</v>
      </c>
    </row>
    <row r="151" spans="1:15" ht="18">
      <c r="A151" s="13" t="s">
        <v>1516</v>
      </c>
      <c r="B151" s="14">
        <v>45705.416666666664</v>
      </c>
      <c r="C151" s="13" t="s">
        <v>1773</v>
      </c>
      <c r="D151" s="13" t="s">
        <v>1774</v>
      </c>
      <c r="E151" s="13" t="s">
        <v>1709</v>
      </c>
      <c r="F151" s="13" t="s">
        <v>1775</v>
      </c>
      <c r="G151" s="13" t="s">
        <v>1334</v>
      </c>
      <c r="H151" s="13"/>
      <c r="I151" s="13">
        <v>0</v>
      </c>
      <c r="J151" s="13">
        <v>0</v>
      </c>
      <c r="K151" s="13">
        <v>0</v>
      </c>
      <c r="L151" s="13">
        <v>0</v>
      </c>
      <c r="M151" s="13">
        <v>1</v>
      </c>
      <c r="N151" s="13">
        <v>0</v>
      </c>
      <c r="O151" s="13">
        <v>0</v>
      </c>
    </row>
    <row r="152" spans="1:15" ht="18">
      <c r="A152" s="13" t="s">
        <v>1516</v>
      </c>
      <c r="B152" s="14">
        <v>45705.416666666664</v>
      </c>
      <c r="C152" s="13" t="s">
        <v>1776</v>
      </c>
      <c r="D152" s="13" t="s">
        <v>1777</v>
      </c>
      <c r="E152" s="13" t="s">
        <v>1709</v>
      </c>
      <c r="F152" s="13" t="s">
        <v>1778</v>
      </c>
      <c r="G152" s="13" t="s">
        <v>1334</v>
      </c>
      <c r="H152" s="13"/>
      <c r="I152" s="13">
        <v>0</v>
      </c>
      <c r="J152" s="13">
        <v>0</v>
      </c>
      <c r="K152" s="13">
        <v>0</v>
      </c>
      <c r="L152" s="13">
        <v>0</v>
      </c>
      <c r="M152" s="13">
        <v>1</v>
      </c>
      <c r="N152" s="13">
        <v>0</v>
      </c>
      <c r="O152" s="13">
        <v>0</v>
      </c>
    </row>
    <row r="153" spans="1:15" ht="18">
      <c r="A153" s="13" t="s">
        <v>1516</v>
      </c>
      <c r="B153" s="14">
        <v>45705.416666666664</v>
      </c>
      <c r="C153" s="13" t="s">
        <v>1779</v>
      </c>
      <c r="D153" s="13" t="s">
        <v>250</v>
      </c>
      <c r="E153" s="13" t="s">
        <v>1780</v>
      </c>
      <c r="F153" s="13" t="s">
        <v>1781</v>
      </c>
      <c r="G153" s="13" t="s">
        <v>1334</v>
      </c>
      <c r="H153" s="13"/>
      <c r="I153" s="13">
        <v>0</v>
      </c>
      <c r="J153" s="13">
        <v>0</v>
      </c>
      <c r="K153" s="13">
        <v>0</v>
      </c>
      <c r="L153" s="13">
        <v>0</v>
      </c>
      <c r="M153" s="13">
        <v>1</v>
      </c>
      <c r="N153" s="13">
        <v>0</v>
      </c>
      <c r="O153" s="13">
        <v>0</v>
      </c>
    </row>
    <row r="154" spans="1:15" ht="18">
      <c r="A154" s="13" t="s">
        <v>1516</v>
      </c>
      <c r="B154" s="14">
        <v>45705.416666666664</v>
      </c>
      <c r="C154" s="13" t="s">
        <v>1782</v>
      </c>
      <c r="D154" s="13" t="s">
        <v>1783</v>
      </c>
      <c r="E154" s="13" t="s">
        <v>1709</v>
      </c>
      <c r="F154" s="13" t="s">
        <v>1784</v>
      </c>
      <c r="G154" s="13" t="s">
        <v>1334</v>
      </c>
      <c r="H154" s="13"/>
      <c r="I154" s="13">
        <v>0</v>
      </c>
      <c r="J154" s="13">
        <v>0</v>
      </c>
      <c r="K154" s="13">
        <v>0</v>
      </c>
      <c r="L154" s="13">
        <v>0</v>
      </c>
      <c r="M154" s="13">
        <v>1</v>
      </c>
      <c r="N154" s="13">
        <v>0</v>
      </c>
      <c r="O154" s="13">
        <v>0</v>
      </c>
    </row>
    <row r="155" spans="1:15" ht="18">
      <c r="A155" s="13" t="s">
        <v>1516</v>
      </c>
      <c r="B155" s="14">
        <v>45705.416666666664</v>
      </c>
      <c r="C155" s="13" t="s">
        <v>1785</v>
      </c>
      <c r="D155" s="13" t="s">
        <v>1786</v>
      </c>
      <c r="E155" s="13"/>
      <c r="F155" s="13" t="s">
        <v>1787</v>
      </c>
      <c r="G155" s="13" t="s">
        <v>1334</v>
      </c>
      <c r="H155" s="13"/>
      <c r="I155" s="13">
        <v>0</v>
      </c>
      <c r="J155" s="13">
        <v>0</v>
      </c>
      <c r="K155" s="13">
        <v>0</v>
      </c>
      <c r="L155" s="13">
        <v>0</v>
      </c>
      <c r="M155" s="13">
        <v>1</v>
      </c>
      <c r="N155" s="13">
        <v>0</v>
      </c>
      <c r="O155" s="13">
        <v>0</v>
      </c>
    </row>
    <row r="156" spans="1:15" ht="18">
      <c r="A156" s="13" t="s">
        <v>1516</v>
      </c>
      <c r="B156" s="14">
        <v>45705.416666666664</v>
      </c>
      <c r="C156" s="13" t="s">
        <v>1788</v>
      </c>
      <c r="D156" s="13" t="s">
        <v>1789</v>
      </c>
      <c r="E156" s="13" t="s">
        <v>1790</v>
      </c>
      <c r="F156" s="13" t="s">
        <v>1791</v>
      </c>
      <c r="G156" s="13" t="s">
        <v>1334</v>
      </c>
      <c r="H156" s="13"/>
      <c r="I156" s="13">
        <v>0</v>
      </c>
      <c r="J156" s="13">
        <v>0</v>
      </c>
      <c r="K156" s="13">
        <v>0</v>
      </c>
      <c r="L156" s="13">
        <v>0</v>
      </c>
      <c r="M156" s="13">
        <v>1</v>
      </c>
      <c r="N156" s="13">
        <v>0</v>
      </c>
      <c r="O156" s="13">
        <v>0</v>
      </c>
    </row>
    <row r="157" spans="1:15" ht="18">
      <c r="A157" s="13" t="s">
        <v>1516</v>
      </c>
      <c r="B157" s="14">
        <v>45705.416666666664</v>
      </c>
      <c r="C157" s="13" t="s">
        <v>1792</v>
      </c>
      <c r="D157" s="13" t="s">
        <v>1793</v>
      </c>
      <c r="E157" s="13" t="s">
        <v>1794</v>
      </c>
      <c r="F157" s="13" t="s">
        <v>1795</v>
      </c>
      <c r="G157" s="13" t="s">
        <v>1334</v>
      </c>
      <c r="H157" s="13"/>
      <c r="I157" s="13">
        <v>0</v>
      </c>
      <c r="J157" s="13">
        <v>0</v>
      </c>
      <c r="K157" s="13">
        <v>0</v>
      </c>
      <c r="L157" s="13">
        <v>0</v>
      </c>
      <c r="M157" s="13">
        <v>1</v>
      </c>
      <c r="N157" s="13">
        <v>0</v>
      </c>
      <c r="O157" s="13">
        <v>0</v>
      </c>
    </row>
    <row r="158" spans="1:15" ht="18">
      <c r="A158" s="13" t="s">
        <v>1516</v>
      </c>
      <c r="B158" s="14">
        <v>45705.416666666664</v>
      </c>
      <c r="C158" s="13" t="s">
        <v>1796</v>
      </c>
      <c r="D158" s="13" t="s">
        <v>1455</v>
      </c>
      <c r="E158" s="13" t="s">
        <v>1797</v>
      </c>
      <c r="F158" s="13" t="s">
        <v>1798</v>
      </c>
      <c r="G158" s="13" t="s">
        <v>1334</v>
      </c>
      <c r="H158" s="13"/>
      <c r="I158" s="13">
        <v>0</v>
      </c>
      <c r="J158" s="13">
        <v>0</v>
      </c>
      <c r="K158" s="13">
        <v>0</v>
      </c>
      <c r="L158" s="13">
        <v>0</v>
      </c>
      <c r="M158" s="13">
        <v>1</v>
      </c>
      <c r="N158" s="13">
        <v>0</v>
      </c>
      <c r="O158" s="13">
        <v>0</v>
      </c>
    </row>
    <row r="159" spans="1:15" ht="18">
      <c r="A159" s="13" t="s">
        <v>1516</v>
      </c>
      <c r="B159" s="14">
        <v>45705.416666666664</v>
      </c>
      <c r="C159" s="13" t="s">
        <v>1799</v>
      </c>
      <c r="D159" s="13" t="s">
        <v>1016</v>
      </c>
      <c r="E159" s="13" t="s">
        <v>1800</v>
      </c>
      <c r="F159" s="13" t="s">
        <v>1801</v>
      </c>
      <c r="G159" s="13" t="s">
        <v>1334</v>
      </c>
      <c r="H159" s="13"/>
      <c r="I159" s="13">
        <v>0</v>
      </c>
      <c r="J159" s="13">
        <v>0</v>
      </c>
      <c r="K159" s="13">
        <v>0</v>
      </c>
      <c r="L159" s="13">
        <v>0</v>
      </c>
      <c r="M159" s="13">
        <v>1</v>
      </c>
      <c r="N159" s="13">
        <v>0</v>
      </c>
      <c r="O159" s="13">
        <v>0</v>
      </c>
    </row>
    <row r="160" spans="1:15" ht="18">
      <c r="A160" s="13" t="s">
        <v>1516</v>
      </c>
      <c r="B160" s="14">
        <v>45705.416666666664</v>
      </c>
      <c r="C160" s="13" t="s">
        <v>1802</v>
      </c>
      <c r="D160" s="13" t="s">
        <v>1803</v>
      </c>
      <c r="E160" s="13" t="s">
        <v>1804</v>
      </c>
      <c r="F160" s="13" t="s">
        <v>1805</v>
      </c>
      <c r="G160" s="13" t="s">
        <v>1334</v>
      </c>
      <c r="H160" s="13"/>
      <c r="I160" s="13">
        <v>0</v>
      </c>
      <c r="J160" s="13">
        <v>0</v>
      </c>
      <c r="K160" s="13">
        <v>0</v>
      </c>
      <c r="L160" s="13">
        <v>0</v>
      </c>
      <c r="M160" s="13">
        <v>1</v>
      </c>
      <c r="N160" s="13">
        <v>0</v>
      </c>
      <c r="O160" s="13">
        <v>0</v>
      </c>
    </row>
    <row r="161" spans="1:15" ht="18" hidden="1">
      <c r="A161" s="13" t="s">
        <v>1516</v>
      </c>
      <c r="B161" s="14">
        <v>45706.497916666667</v>
      </c>
      <c r="C161" s="13" t="s">
        <v>1806</v>
      </c>
      <c r="D161" s="13" t="s">
        <v>1807</v>
      </c>
      <c r="E161" s="13"/>
      <c r="F161" s="13" t="s">
        <v>1808</v>
      </c>
      <c r="G161" s="13" t="s">
        <v>1333</v>
      </c>
      <c r="H161" s="13"/>
      <c r="I161" s="13">
        <v>0</v>
      </c>
      <c r="J161" s="13">
        <v>0</v>
      </c>
      <c r="K161" s="13">
        <v>0</v>
      </c>
      <c r="L161" s="13">
        <v>1</v>
      </c>
      <c r="M161" s="13">
        <v>0</v>
      </c>
      <c r="N161" s="13">
        <v>0</v>
      </c>
      <c r="O161" s="13">
        <v>0</v>
      </c>
    </row>
    <row r="162" spans="1:15" ht="18" hidden="1">
      <c r="A162" s="13" t="s">
        <v>1516</v>
      </c>
      <c r="B162" s="14">
        <v>45706.970833333333</v>
      </c>
      <c r="C162" s="13" t="s">
        <v>1399</v>
      </c>
      <c r="D162" s="13" t="s">
        <v>1400</v>
      </c>
      <c r="E162" s="13"/>
      <c r="F162" s="13" t="s">
        <v>1809</v>
      </c>
      <c r="G162" s="13" t="s">
        <v>1333</v>
      </c>
      <c r="H162" s="13"/>
      <c r="I162" s="13">
        <v>0</v>
      </c>
      <c r="J162" s="13">
        <v>0</v>
      </c>
      <c r="K162" s="13">
        <v>0</v>
      </c>
      <c r="L162" s="13">
        <v>1</v>
      </c>
      <c r="M162" s="13">
        <v>0</v>
      </c>
      <c r="N162" s="13">
        <v>0</v>
      </c>
      <c r="O162" s="13">
        <v>0</v>
      </c>
    </row>
    <row r="163" spans="1:15" ht="18" hidden="1">
      <c r="A163" s="13" t="s">
        <v>1516</v>
      </c>
      <c r="B163" s="14">
        <v>45719.45</v>
      </c>
      <c r="C163" s="13" t="s">
        <v>1810</v>
      </c>
      <c r="D163" s="13" t="s">
        <v>1811</v>
      </c>
      <c r="E163" s="13"/>
      <c r="F163" s="13" t="s">
        <v>1812</v>
      </c>
      <c r="G163" s="13" t="s">
        <v>1333</v>
      </c>
      <c r="H163" s="13"/>
      <c r="I163" s="13">
        <v>0</v>
      </c>
      <c r="J163" s="13">
        <v>0</v>
      </c>
      <c r="K163" s="13">
        <v>0</v>
      </c>
      <c r="L163" s="13">
        <v>1</v>
      </c>
      <c r="M163" s="13">
        <v>0</v>
      </c>
      <c r="N163" s="13">
        <v>0</v>
      </c>
      <c r="O163" s="13">
        <v>0</v>
      </c>
    </row>
    <row r="164" spans="1:15" ht="18" hidden="1">
      <c r="A164" s="13" t="s">
        <v>1516</v>
      </c>
      <c r="B164" s="14">
        <v>45723.597916666666</v>
      </c>
      <c r="C164" s="13" t="s">
        <v>1813</v>
      </c>
      <c r="D164" s="13" t="s">
        <v>1814</v>
      </c>
      <c r="E164" s="13"/>
      <c r="F164" s="13" t="s">
        <v>1815</v>
      </c>
      <c r="G164" s="13" t="s">
        <v>1331</v>
      </c>
      <c r="H164" s="13"/>
      <c r="I164" s="13">
        <v>0</v>
      </c>
      <c r="J164" s="13">
        <v>1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ht="18" hidden="1">
      <c r="A165" s="13" t="s">
        <v>1516</v>
      </c>
      <c r="B165" s="14">
        <v>45723.597916666666</v>
      </c>
      <c r="C165" s="13" t="s">
        <v>1813</v>
      </c>
      <c r="D165" s="13" t="s">
        <v>1814</v>
      </c>
      <c r="E165" s="13"/>
      <c r="F165" s="13" t="s">
        <v>1815</v>
      </c>
      <c r="G165" s="13" t="s">
        <v>1333</v>
      </c>
      <c r="H165" s="13"/>
      <c r="I165" s="13">
        <v>0</v>
      </c>
      <c r="J165" s="13">
        <v>0</v>
      </c>
      <c r="K165" s="13">
        <v>0</v>
      </c>
      <c r="L165" s="13">
        <v>1</v>
      </c>
      <c r="M165" s="13">
        <v>0</v>
      </c>
      <c r="N165" s="13">
        <v>0</v>
      </c>
      <c r="O165" s="13">
        <v>0</v>
      </c>
    </row>
    <row r="166" spans="1:15" ht="18" hidden="1">
      <c r="A166" s="22" t="s">
        <v>1337</v>
      </c>
      <c r="B166" s="14">
        <v>45749.706250000003</v>
      </c>
      <c r="C166" s="13" t="s">
        <v>1816</v>
      </c>
      <c r="D166" s="13" t="s">
        <v>1817</v>
      </c>
      <c r="E166" s="13" t="s">
        <v>1818</v>
      </c>
      <c r="F166" s="13" t="s">
        <v>1819</v>
      </c>
      <c r="G166" s="13" t="s">
        <v>1333</v>
      </c>
      <c r="H166" s="13"/>
      <c r="I166">
        <v>0</v>
      </c>
      <c r="J166">
        <v>0</v>
      </c>
      <c r="K166" s="13">
        <v>0</v>
      </c>
      <c r="L166" s="13">
        <v>1</v>
      </c>
      <c r="M166" s="13">
        <v>0</v>
      </c>
      <c r="N166">
        <v>0</v>
      </c>
      <c r="O166">
        <v>0</v>
      </c>
    </row>
    <row r="167" spans="1:15" ht="18">
      <c r="A167" s="13" t="s">
        <v>1516</v>
      </c>
      <c r="B167" s="14">
        <v>45749.416666666664</v>
      </c>
      <c r="C167" s="13" t="s">
        <v>1820</v>
      </c>
      <c r="D167" s="13" t="s">
        <v>880</v>
      </c>
      <c r="E167" s="13" t="s">
        <v>1821</v>
      </c>
      <c r="F167" s="13" t="s">
        <v>1822</v>
      </c>
      <c r="G167" s="13" t="s">
        <v>1334</v>
      </c>
      <c r="H167" s="13"/>
      <c r="I167">
        <v>0</v>
      </c>
      <c r="J167">
        <v>0</v>
      </c>
      <c r="K167" s="13">
        <v>0</v>
      </c>
      <c r="L167" s="13">
        <v>0</v>
      </c>
      <c r="M167" s="13">
        <v>1</v>
      </c>
      <c r="N167">
        <v>0</v>
      </c>
      <c r="O167">
        <v>0</v>
      </c>
    </row>
    <row r="168" spans="1:15" ht="18" hidden="1">
      <c r="A168" s="13" t="s">
        <v>1516</v>
      </c>
      <c r="B168" s="14">
        <v>45749.756944444445</v>
      </c>
      <c r="C168" s="13" t="s">
        <v>1823</v>
      </c>
      <c r="D168" s="13" t="s">
        <v>1824</v>
      </c>
      <c r="E168" s="13"/>
      <c r="F168" s="13" t="s">
        <v>1825</v>
      </c>
      <c r="G168" s="13" t="s">
        <v>1332</v>
      </c>
      <c r="H168" s="13"/>
      <c r="I168">
        <v>0</v>
      </c>
      <c r="J168">
        <v>0</v>
      </c>
      <c r="K168" s="13">
        <v>1</v>
      </c>
      <c r="L168" s="13">
        <v>0</v>
      </c>
      <c r="M168" s="13">
        <v>0</v>
      </c>
      <c r="N168">
        <v>0</v>
      </c>
      <c r="O168">
        <v>0</v>
      </c>
    </row>
    <row r="169" spans="1:15" ht="18" hidden="1">
      <c r="A169" s="13" t="s">
        <v>1516</v>
      </c>
      <c r="B169" s="14">
        <v>45749.788194444445</v>
      </c>
      <c r="C169" s="13" t="s">
        <v>1826</v>
      </c>
      <c r="D169" s="13" t="s">
        <v>1827</v>
      </c>
      <c r="E169" s="13"/>
      <c r="F169" s="13" t="s">
        <v>1828</v>
      </c>
      <c r="G169" s="13" t="s">
        <v>1333</v>
      </c>
      <c r="H169" s="13"/>
      <c r="I169">
        <v>0</v>
      </c>
      <c r="J169">
        <v>0</v>
      </c>
      <c r="K169" s="13">
        <v>0</v>
      </c>
      <c r="L169" s="13">
        <v>1</v>
      </c>
      <c r="M169" s="13">
        <v>0</v>
      </c>
      <c r="N169">
        <v>0</v>
      </c>
      <c r="O169">
        <v>0</v>
      </c>
    </row>
    <row r="170" spans="1:15" ht="18" hidden="1">
      <c r="A170" s="13" t="s">
        <v>1516</v>
      </c>
      <c r="B170" s="14">
        <v>45757.556944444441</v>
      </c>
      <c r="C170" s="13" t="s">
        <v>1829</v>
      </c>
      <c r="D170" s="13" t="s">
        <v>1830</v>
      </c>
      <c r="E170" s="13"/>
      <c r="F170" s="13" t="s">
        <v>1831</v>
      </c>
      <c r="G170" s="13" t="s">
        <v>1333</v>
      </c>
      <c r="H170" s="13"/>
      <c r="I170">
        <v>0</v>
      </c>
      <c r="J170">
        <v>0</v>
      </c>
      <c r="K170" s="13">
        <v>0</v>
      </c>
      <c r="L170" s="13">
        <v>1</v>
      </c>
      <c r="M170" s="13">
        <v>0</v>
      </c>
      <c r="N170">
        <v>0</v>
      </c>
      <c r="O170">
        <v>0</v>
      </c>
    </row>
    <row r="171" spans="1:15" ht="18" hidden="1">
      <c r="A171" s="13" t="s">
        <v>1516</v>
      </c>
      <c r="B171" s="14">
        <v>45762.599305555559</v>
      </c>
      <c r="C171" s="13" t="s">
        <v>1832</v>
      </c>
      <c r="D171" s="13" t="s">
        <v>1833</v>
      </c>
      <c r="E171" s="13"/>
      <c r="F171" s="13" t="s">
        <v>1834</v>
      </c>
      <c r="G171" s="13" t="s">
        <v>1333</v>
      </c>
      <c r="H171" s="13"/>
      <c r="I171">
        <v>0</v>
      </c>
      <c r="J171">
        <v>0</v>
      </c>
      <c r="K171" s="13">
        <v>0</v>
      </c>
      <c r="L171" s="13">
        <v>1</v>
      </c>
      <c r="M171" s="13">
        <v>0</v>
      </c>
      <c r="N171">
        <v>0</v>
      </c>
      <c r="O171">
        <v>0</v>
      </c>
    </row>
    <row r="172" spans="1:15" ht="18" hidden="1">
      <c r="A172" s="13" t="s">
        <v>1337</v>
      </c>
      <c r="B172" s="14">
        <v>45807.545138888891</v>
      </c>
      <c r="C172" s="13" t="s">
        <v>1835</v>
      </c>
      <c r="D172" s="13" t="s">
        <v>1836</v>
      </c>
      <c r="E172" s="13" t="s">
        <v>1837</v>
      </c>
      <c r="F172" s="13" t="s">
        <v>1838</v>
      </c>
      <c r="G172" s="13" t="s">
        <v>1333</v>
      </c>
      <c r="H172">
        <v>0</v>
      </c>
      <c r="I172">
        <v>0</v>
      </c>
      <c r="J172">
        <v>0</v>
      </c>
      <c r="K172" s="13">
        <v>0</v>
      </c>
      <c r="L172" s="13">
        <v>1</v>
      </c>
      <c r="M172" s="13">
        <v>0</v>
      </c>
      <c r="N172">
        <v>0</v>
      </c>
      <c r="O172">
        <v>0</v>
      </c>
    </row>
    <row r="173" spans="1:15" ht="15.75" customHeight="1">
      <c r="A173" s="13" t="s">
        <v>1516</v>
      </c>
      <c r="B173" s="14">
        <v>45807.416666666664</v>
      </c>
      <c r="C173" s="13" t="s">
        <v>1839</v>
      </c>
      <c r="D173" s="13" t="s">
        <v>1840</v>
      </c>
      <c r="E173" s="13" t="s">
        <v>1841</v>
      </c>
      <c r="F173" s="13" t="s">
        <v>1842</v>
      </c>
      <c r="G173" s="13" t="s">
        <v>1334</v>
      </c>
      <c r="H173">
        <v>0</v>
      </c>
      <c r="I173">
        <v>0</v>
      </c>
      <c r="J173">
        <v>0</v>
      </c>
      <c r="K173" s="13">
        <v>0</v>
      </c>
      <c r="L173" s="13">
        <v>0</v>
      </c>
      <c r="M173" s="13">
        <v>1</v>
      </c>
      <c r="N173">
        <v>0</v>
      </c>
      <c r="O173">
        <v>0</v>
      </c>
    </row>
    <row r="174" spans="1:15" ht="15.75" customHeight="1">
      <c r="A174" s="13" t="s">
        <v>1516</v>
      </c>
      <c r="B174" s="14">
        <v>45807.416666666664</v>
      </c>
      <c r="C174" s="13" t="s">
        <v>1715</v>
      </c>
      <c r="D174" s="13" t="s">
        <v>1667</v>
      </c>
      <c r="E174" s="13" t="s">
        <v>1716</v>
      </c>
      <c r="F174" s="13" t="s">
        <v>1717</v>
      </c>
      <c r="G174" s="13" t="s">
        <v>1334</v>
      </c>
      <c r="H174">
        <v>0</v>
      </c>
      <c r="I174">
        <v>0</v>
      </c>
      <c r="J174">
        <v>0</v>
      </c>
      <c r="K174" s="13">
        <v>0</v>
      </c>
      <c r="L174" s="13">
        <v>0</v>
      </c>
      <c r="M174" s="13">
        <v>1</v>
      </c>
      <c r="N174">
        <v>0</v>
      </c>
      <c r="O174">
        <v>0</v>
      </c>
    </row>
    <row r="175" spans="1:15" ht="15.75" customHeight="1">
      <c r="A175" s="13" t="s">
        <v>1516</v>
      </c>
      <c r="B175" s="14">
        <v>45807.416666666664</v>
      </c>
      <c r="C175" s="13" t="s">
        <v>1495</v>
      </c>
      <c r="D175" s="13" t="s">
        <v>149</v>
      </c>
      <c r="E175" s="13" t="s">
        <v>1496</v>
      </c>
      <c r="F175" s="13" t="s">
        <v>1497</v>
      </c>
      <c r="G175" s="13" t="s">
        <v>1334</v>
      </c>
      <c r="H175">
        <v>0</v>
      </c>
      <c r="I175">
        <v>0</v>
      </c>
      <c r="J175">
        <v>0</v>
      </c>
      <c r="K175" s="13">
        <v>0</v>
      </c>
      <c r="L175" s="13">
        <v>0</v>
      </c>
      <c r="M175" s="13">
        <v>1</v>
      </c>
      <c r="N175">
        <v>0</v>
      </c>
      <c r="O175">
        <v>0</v>
      </c>
    </row>
    <row r="176" spans="1:15" ht="15.75" hidden="1" customHeight="1">
      <c r="A176" s="13" t="s">
        <v>1516</v>
      </c>
      <c r="B176" s="14">
        <v>45807.75</v>
      </c>
      <c r="C176" s="13" t="s">
        <v>1843</v>
      </c>
      <c r="D176" s="13" t="s">
        <v>167</v>
      </c>
      <c r="E176" s="13"/>
      <c r="F176" s="13" t="s">
        <v>1844</v>
      </c>
      <c r="G176" s="13" t="s">
        <v>1332</v>
      </c>
      <c r="H176">
        <v>0</v>
      </c>
      <c r="I176">
        <v>0</v>
      </c>
      <c r="J176">
        <v>0</v>
      </c>
      <c r="K176" s="13">
        <v>1</v>
      </c>
      <c r="L176" s="13">
        <v>0</v>
      </c>
      <c r="M176" s="13">
        <v>0</v>
      </c>
      <c r="N176">
        <v>0</v>
      </c>
      <c r="O176">
        <v>0</v>
      </c>
    </row>
    <row r="177" spans="1:15" ht="15.75" hidden="1" customHeight="1">
      <c r="A177" s="13" t="s">
        <v>1337</v>
      </c>
      <c r="B177" s="14">
        <v>45817.577777777777</v>
      </c>
      <c r="C177" s="13" t="s">
        <v>1845</v>
      </c>
      <c r="D177" s="13" t="s">
        <v>1846</v>
      </c>
      <c r="E177" s="13" t="s">
        <v>1847</v>
      </c>
      <c r="F177" s="13" t="s">
        <v>1848</v>
      </c>
      <c r="G177" s="13" t="s">
        <v>1336</v>
      </c>
      <c r="H177">
        <v>0</v>
      </c>
      <c r="I177">
        <v>0</v>
      </c>
      <c r="J177">
        <v>0</v>
      </c>
      <c r="K177">
        <v>0</v>
      </c>
      <c r="L177">
        <v>0</v>
      </c>
      <c r="M177" s="13">
        <v>0</v>
      </c>
      <c r="N177">
        <v>0</v>
      </c>
      <c r="O177" s="13">
        <v>1</v>
      </c>
    </row>
    <row r="178" spans="1:15" ht="15.75" customHeight="1">
      <c r="A178" s="13" t="s">
        <v>1516</v>
      </c>
      <c r="B178" s="14">
        <v>45824.416666666664</v>
      </c>
      <c r="C178" s="13" t="s">
        <v>1839</v>
      </c>
      <c r="D178" s="13" t="s">
        <v>1840</v>
      </c>
      <c r="E178" s="13" t="s">
        <v>1841</v>
      </c>
      <c r="F178" s="13" t="s">
        <v>1842</v>
      </c>
      <c r="G178" s="13" t="s">
        <v>1334</v>
      </c>
      <c r="H178">
        <v>0</v>
      </c>
      <c r="I178">
        <v>0</v>
      </c>
      <c r="J178">
        <v>0</v>
      </c>
      <c r="K178">
        <v>0</v>
      </c>
      <c r="L178">
        <v>0</v>
      </c>
      <c r="M178" s="13">
        <v>1</v>
      </c>
      <c r="N178">
        <v>0</v>
      </c>
      <c r="O178" s="13">
        <v>0</v>
      </c>
    </row>
    <row r="179" spans="1:15" ht="15.75" customHeight="1">
      <c r="A179" s="13" t="s">
        <v>1516</v>
      </c>
      <c r="B179" s="14">
        <v>45824.416666666664</v>
      </c>
      <c r="C179" s="13" t="s">
        <v>1849</v>
      </c>
      <c r="D179" s="13" t="s">
        <v>1850</v>
      </c>
      <c r="E179" s="13" t="s">
        <v>1851</v>
      </c>
      <c r="F179" s="13" t="s">
        <v>1852</v>
      </c>
      <c r="G179" s="13" t="s">
        <v>1334</v>
      </c>
      <c r="H179">
        <v>0</v>
      </c>
      <c r="I179">
        <v>0</v>
      </c>
      <c r="J179">
        <v>0</v>
      </c>
      <c r="K179">
        <v>0</v>
      </c>
      <c r="L179">
        <v>0</v>
      </c>
      <c r="M179" s="13">
        <v>1</v>
      </c>
      <c r="N179">
        <v>0</v>
      </c>
      <c r="O179" s="13">
        <v>0</v>
      </c>
    </row>
    <row r="180" spans="1:15" ht="15.75" hidden="1" customHeight="1">
      <c r="A180" s="13" t="s">
        <v>1337</v>
      </c>
      <c r="B180" s="14">
        <v>45827.407638888886</v>
      </c>
      <c r="C180" s="13" t="s">
        <v>1853</v>
      </c>
      <c r="D180" s="13" t="s">
        <v>1854</v>
      </c>
      <c r="E180" s="13" t="s">
        <v>1855</v>
      </c>
      <c r="F180" s="13" t="s">
        <v>1856</v>
      </c>
      <c r="G180" s="13" t="s">
        <v>1336</v>
      </c>
      <c r="H180" s="13">
        <v>0</v>
      </c>
      <c r="I180">
        <v>0</v>
      </c>
      <c r="J180">
        <v>0</v>
      </c>
      <c r="K180" s="13">
        <v>0</v>
      </c>
      <c r="L180" s="13">
        <v>0</v>
      </c>
      <c r="M180" s="13">
        <v>0</v>
      </c>
      <c r="N180" s="13">
        <v>0</v>
      </c>
      <c r="O180" s="13">
        <v>1</v>
      </c>
    </row>
    <row r="181" spans="1:15" ht="15.75" hidden="1" customHeight="1">
      <c r="A181" s="13" t="s">
        <v>1337</v>
      </c>
      <c r="B181" s="14">
        <v>45832.625</v>
      </c>
      <c r="C181" s="13" t="s">
        <v>1857</v>
      </c>
      <c r="D181" s="13" t="s">
        <v>1858</v>
      </c>
      <c r="E181" s="13" t="s">
        <v>1858</v>
      </c>
      <c r="F181" s="13" t="s">
        <v>1859</v>
      </c>
      <c r="G181" s="13" t="s">
        <v>1329</v>
      </c>
      <c r="H181" s="13">
        <v>1</v>
      </c>
      <c r="I181">
        <v>0</v>
      </c>
      <c r="J181">
        <v>0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ht="15.75" hidden="1" customHeight="1">
      <c r="A182" s="13" t="s">
        <v>1337</v>
      </c>
      <c r="B182" s="14">
        <v>45832.625</v>
      </c>
      <c r="C182" s="13" t="s">
        <v>1857</v>
      </c>
      <c r="D182" s="13" t="s">
        <v>1858</v>
      </c>
      <c r="E182" s="13" t="s">
        <v>1858</v>
      </c>
      <c r="F182" s="13" t="s">
        <v>1859</v>
      </c>
      <c r="G182" s="13" t="s">
        <v>1332</v>
      </c>
      <c r="H182" s="13">
        <v>0</v>
      </c>
      <c r="I182">
        <v>0</v>
      </c>
      <c r="J182">
        <v>0</v>
      </c>
      <c r="K182" s="13">
        <v>1</v>
      </c>
      <c r="L182" s="13">
        <v>0</v>
      </c>
      <c r="M182" s="13">
        <v>0</v>
      </c>
      <c r="N182" s="13">
        <v>0</v>
      </c>
      <c r="O182" s="13">
        <v>0</v>
      </c>
    </row>
    <row r="183" spans="1:15" ht="15.75" hidden="1" customHeight="1">
      <c r="A183" s="13" t="s">
        <v>1337</v>
      </c>
      <c r="B183" s="14">
        <v>45832.625</v>
      </c>
      <c r="C183" s="13" t="s">
        <v>1857</v>
      </c>
      <c r="D183" s="13" t="s">
        <v>1858</v>
      </c>
      <c r="E183" s="13" t="s">
        <v>1858</v>
      </c>
      <c r="F183" s="13" t="s">
        <v>1859</v>
      </c>
      <c r="G183" s="13" t="s">
        <v>1333</v>
      </c>
      <c r="H183" s="13">
        <v>0</v>
      </c>
      <c r="I183">
        <v>0</v>
      </c>
      <c r="J183">
        <v>0</v>
      </c>
      <c r="K183" s="13">
        <v>0</v>
      </c>
      <c r="L183" s="13">
        <v>1</v>
      </c>
      <c r="M183" s="13">
        <v>0</v>
      </c>
      <c r="N183" s="13">
        <v>0</v>
      </c>
      <c r="O183" s="13">
        <v>0</v>
      </c>
    </row>
    <row r="184" spans="1:15" ht="15.75" hidden="1" customHeight="1">
      <c r="A184" s="13" t="s">
        <v>1337</v>
      </c>
      <c r="B184" s="14">
        <v>45832.625</v>
      </c>
      <c r="C184" s="13" t="s">
        <v>1857</v>
      </c>
      <c r="D184" s="13" t="s">
        <v>1858</v>
      </c>
      <c r="E184" s="13" t="s">
        <v>1858</v>
      </c>
      <c r="F184" s="13" t="s">
        <v>1859</v>
      </c>
      <c r="G184" s="13" t="s">
        <v>1335</v>
      </c>
      <c r="H184" s="13">
        <v>0</v>
      </c>
      <c r="I184">
        <v>0</v>
      </c>
      <c r="J184">
        <v>0</v>
      </c>
      <c r="K184" s="13">
        <v>0</v>
      </c>
      <c r="L184" s="13">
        <v>0</v>
      </c>
      <c r="M184" s="13">
        <v>0</v>
      </c>
      <c r="N184" s="13">
        <v>1</v>
      </c>
      <c r="O184" s="13">
        <v>0</v>
      </c>
    </row>
    <row r="185" spans="1:15" ht="15.75" customHeight="1">
      <c r="A185" s="13" t="s">
        <v>1516</v>
      </c>
      <c r="B185" s="14">
        <v>45824.416666666664</v>
      </c>
      <c r="C185" s="13" t="s">
        <v>1839</v>
      </c>
      <c r="D185" s="13" t="s">
        <v>1840</v>
      </c>
      <c r="E185" s="13" t="s">
        <v>1841</v>
      </c>
      <c r="F185" s="13" t="s">
        <v>1842</v>
      </c>
      <c r="G185" s="13" t="s">
        <v>1334</v>
      </c>
      <c r="H185" s="13">
        <v>0</v>
      </c>
      <c r="I185">
        <v>0</v>
      </c>
      <c r="J185">
        <v>0</v>
      </c>
      <c r="K185" s="13">
        <v>0</v>
      </c>
      <c r="L185" s="13">
        <v>0</v>
      </c>
      <c r="M185" s="13">
        <v>1</v>
      </c>
      <c r="N185" s="13">
        <v>0</v>
      </c>
      <c r="O185" s="13">
        <v>0</v>
      </c>
    </row>
    <row r="186" spans="1:15" ht="15.75" customHeight="1">
      <c r="A186" s="13" t="s">
        <v>1516</v>
      </c>
      <c r="B186" s="14">
        <v>45824.416666666664</v>
      </c>
      <c r="C186" s="13" t="s">
        <v>1849</v>
      </c>
      <c r="D186" s="13" t="s">
        <v>1850</v>
      </c>
      <c r="E186" s="13" t="s">
        <v>1851</v>
      </c>
      <c r="F186" s="13" t="s">
        <v>1852</v>
      </c>
      <c r="G186" s="13" t="s">
        <v>1334</v>
      </c>
      <c r="H186" s="13">
        <v>0</v>
      </c>
      <c r="I186">
        <v>0</v>
      </c>
      <c r="J186">
        <v>0</v>
      </c>
      <c r="K186" s="13">
        <v>0</v>
      </c>
      <c r="L186" s="13">
        <v>0</v>
      </c>
      <c r="M186" s="13">
        <v>1</v>
      </c>
      <c r="N186" s="13">
        <v>0</v>
      </c>
      <c r="O186" s="13">
        <v>0</v>
      </c>
    </row>
    <row r="187" spans="1:15" ht="15.75" customHeight="1">
      <c r="A187" s="13" t="s">
        <v>1516</v>
      </c>
      <c r="B187" s="14">
        <v>45831.416666666664</v>
      </c>
      <c r="C187" s="13" t="s">
        <v>1860</v>
      </c>
      <c r="D187" s="13" t="s">
        <v>1861</v>
      </c>
      <c r="E187" s="13" t="s">
        <v>1862</v>
      </c>
      <c r="F187" s="13" t="s">
        <v>1863</v>
      </c>
      <c r="G187" s="13" t="s">
        <v>1334</v>
      </c>
      <c r="H187" s="13">
        <v>0</v>
      </c>
      <c r="I187">
        <v>0</v>
      </c>
      <c r="J187">
        <v>0</v>
      </c>
      <c r="K187" s="13">
        <v>0</v>
      </c>
      <c r="L187" s="13">
        <v>0</v>
      </c>
      <c r="M187" s="13">
        <v>1</v>
      </c>
      <c r="N187" s="13">
        <v>0</v>
      </c>
      <c r="O187" s="13">
        <v>0</v>
      </c>
    </row>
    <row r="188" spans="1:15" ht="15.75" customHeight="1">
      <c r="A188" s="13" t="s">
        <v>1516</v>
      </c>
      <c r="B188" s="14">
        <v>45831.416666666664</v>
      </c>
      <c r="C188" s="13" t="s">
        <v>1642</v>
      </c>
      <c r="D188" s="13" t="s">
        <v>252</v>
      </c>
      <c r="E188" s="13" t="s">
        <v>1643</v>
      </c>
      <c r="F188" s="13" t="s">
        <v>1644</v>
      </c>
      <c r="G188" s="13" t="s">
        <v>1334</v>
      </c>
      <c r="H188" s="13">
        <v>0</v>
      </c>
      <c r="I188">
        <v>0</v>
      </c>
      <c r="J188">
        <v>0</v>
      </c>
      <c r="K188" s="13">
        <v>0</v>
      </c>
      <c r="L188" s="13">
        <v>0</v>
      </c>
      <c r="M188" s="13">
        <v>1</v>
      </c>
      <c r="N188" s="13">
        <v>0</v>
      </c>
      <c r="O188" s="13">
        <v>0</v>
      </c>
    </row>
    <row r="189" spans="1:15" ht="15.75" customHeight="1">
      <c r="A189" s="13" t="s">
        <v>1516</v>
      </c>
      <c r="B189" s="14">
        <v>45831.416666666664</v>
      </c>
      <c r="C189" s="13" t="s">
        <v>1447</v>
      </c>
      <c r="D189" s="13" t="s">
        <v>1864</v>
      </c>
      <c r="E189" s="13" t="s">
        <v>1865</v>
      </c>
      <c r="F189" s="13" t="s">
        <v>1866</v>
      </c>
      <c r="G189" s="13" t="s">
        <v>1334</v>
      </c>
      <c r="H189" s="13">
        <v>0</v>
      </c>
      <c r="I189">
        <v>0</v>
      </c>
      <c r="J189">
        <v>0</v>
      </c>
      <c r="K189" s="13">
        <v>0</v>
      </c>
      <c r="L189" s="13">
        <v>0</v>
      </c>
      <c r="M189" s="13">
        <v>1</v>
      </c>
      <c r="N189" s="13">
        <v>0</v>
      </c>
      <c r="O189" s="13">
        <v>0</v>
      </c>
    </row>
    <row r="190" spans="1:15" ht="15.75" customHeight="1">
      <c r="A190" s="13" t="s">
        <v>1516</v>
      </c>
      <c r="B190" s="14">
        <v>45831.416666666664</v>
      </c>
      <c r="C190" s="13" t="s">
        <v>1867</v>
      </c>
      <c r="D190" s="13" t="s">
        <v>1868</v>
      </c>
      <c r="E190" s="13" t="s">
        <v>1869</v>
      </c>
      <c r="F190" s="13" t="s">
        <v>1870</v>
      </c>
      <c r="G190" s="13" t="s">
        <v>1334</v>
      </c>
      <c r="H190" s="13">
        <v>0</v>
      </c>
      <c r="I190">
        <v>0</v>
      </c>
      <c r="J190">
        <v>0</v>
      </c>
      <c r="K190" s="13">
        <v>0</v>
      </c>
      <c r="L190" s="13">
        <v>0</v>
      </c>
      <c r="M190" s="13">
        <v>1</v>
      </c>
      <c r="N190" s="13">
        <v>0</v>
      </c>
      <c r="O190" s="13">
        <v>0</v>
      </c>
    </row>
    <row r="191" spans="1:15" ht="15.75" customHeight="1">
      <c r="A191" s="13" t="s">
        <v>1516</v>
      </c>
      <c r="B191" s="14">
        <v>45831.416666666664</v>
      </c>
      <c r="C191" s="13" t="s">
        <v>1763</v>
      </c>
      <c r="D191" s="13" t="s">
        <v>1186</v>
      </c>
      <c r="E191" s="13" t="s">
        <v>1764</v>
      </c>
      <c r="F191" s="13" t="s">
        <v>1765</v>
      </c>
      <c r="G191" s="13" t="s">
        <v>1334</v>
      </c>
      <c r="H191" s="13">
        <v>0</v>
      </c>
      <c r="I191">
        <v>0</v>
      </c>
      <c r="J191">
        <v>0</v>
      </c>
      <c r="K191" s="13">
        <v>0</v>
      </c>
      <c r="L191" s="13">
        <v>0</v>
      </c>
      <c r="M191" s="13">
        <v>1</v>
      </c>
      <c r="N191" s="13">
        <v>0</v>
      </c>
      <c r="O191" s="13">
        <v>0</v>
      </c>
    </row>
    <row r="192" spans="1:15" ht="15.75" customHeight="1">
      <c r="A192" s="13" t="s">
        <v>1516</v>
      </c>
      <c r="B192" s="14">
        <v>45831.416666666664</v>
      </c>
      <c r="C192" s="13" t="s">
        <v>1871</v>
      </c>
      <c r="D192" s="13" t="s">
        <v>1872</v>
      </c>
      <c r="E192" s="13" t="s">
        <v>1873</v>
      </c>
      <c r="F192" s="13" t="s">
        <v>1874</v>
      </c>
      <c r="G192" s="13" t="s">
        <v>1334</v>
      </c>
      <c r="H192" s="13">
        <v>0</v>
      </c>
      <c r="I192">
        <v>0</v>
      </c>
      <c r="J192">
        <v>0</v>
      </c>
      <c r="K192" s="13">
        <v>0</v>
      </c>
      <c r="L192" s="13">
        <v>0</v>
      </c>
      <c r="M192" s="13">
        <v>1</v>
      </c>
      <c r="N192" s="13">
        <v>0</v>
      </c>
      <c r="O192" s="13">
        <v>0</v>
      </c>
    </row>
    <row r="193" spans="1:15" ht="15.75" hidden="1" customHeight="1">
      <c r="A193" s="13" t="s">
        <v>1516</v>
      </c>
      <c r="B193" s="14">
        <v>45832.63958333333</v>
      </c>
      <c r="C193" s="13" t="s">
        <v>1875</v>
      </c>
      <c r="D193" s="13" t="s">
        <v>1876</v>
      </c>
      <c r="E193" s="13"/>
      <c r="F193" s="13" t="s">
        <v>1877</v>
      </c>
      <c r="G193" s="13" t="s">
        <v>1332</v>
      </c>
      <c r="H193" s="13">
        <v>0</v>
      </c>
      <c r="I193">
        <v>0</v>
      </c>
      <c r="J193">
        <v>0</v>
      </c>
      <c r="K193" s="13">
        <v>1</v>
      </c>
      <c r="L193" s="13">
        <v>0</v>
      </c>
      <c r="M193" s="13">
        <v>0</v>
      </c>
      <c r="N193" s="13">
        <v>0</v>
      </c>
      <c r="O193" s="13">
        <v>0</v>
      </c>
    </row>
    <row r="194" spans="1:15" ht="15.75" hidden="1" customHeight="1">
      <c r="A194" s="13" t="s">
        <v>1516</v>
      </c>
      <c r="B194" s="14">
        <v>45832.643750000003</v>
      </c>
      <c r="C194" s="13" t="s">
        <v>1875</v>
      </c>
      <c r="D194" s="13" t="s">
        <v>1876</v>
      </c>
      <c r="E194" s="13"/>
      <c r="F194" s="13" t="s">
        <v>1877</v>
      </c>
      <c r="G194" s="13" t="s">
        <v>1332</v>
      </c>
      <c r="H194" s="13">
        <v>0</v>
      </c>
      <c r="I194">
        <v>0</v>
      </c>
      <c r="J194">
        <v>0</v>
      </c>
      <c r="K194" s="13">
        <v>1</v>
      </c>
      <c r="L194" s="13">
        <v>0</v>
      </c>
      <c r="M194" s="13">
        <v>0</v>
      </c>
      <c r="N194" s="13">
        <v>0</v>
      </c>
      <c r="O194" s="13">
        <v>0</v>
      </c>
    </row>
    <row r="195" spans="1:15" ht="15.75" hidden="1" customHeight="1">
      <c r="A195" s="13" t="s">
        <v>1337</v>
      </c>
      <c r="B195" s="14">
        <v>45834.584027777775</v>
      </c>
      <c r="C195" s="13" t="s">
        <v>1878</v>
      </c>
      <c r="D195" s="13" t="s">
        <v>1879</v>
      </c>
      <c r="E195" s="13" t="s">
        <v>1880</v>
      </c>
      <c r="F195" s="13" t="s">
        <v>1881</v>
      </c>
      <c r="G195" s="13" t="s">
        <v>1335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1</v>
      </c>
      <c r="O195">
        <v>0</v>
      </c>
    </row>
    <row r="196" spans="1:15" ht="15.75" hidden="1" customHeight="1">
      <c r="A196" t="s">
        <v>1882</v>
      </c>
    </row>
  </sheetData>
  <autoFilter ref="A1:O196" xr:uid="{8333177E-AEE4-4054-9DA2-CEAC81DF8B42}">
    <filterColumn colId="6">
      <filters>
        <filter val="mail"/>
      </filters>
    </filterColumn>
  </autoFilter>
  <phoneticPr fontId="18"/>
  <conditionalFormatting sqref="D196:D1048576 D1:D17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8CD3-C423-4833-AFB9-8FE55B50F2ED}">
  <sheetPr>
    <tabColor theme="5" tint="0.59999389629810485"/>
  </sheetPr>
  <dimension ref="A1:W360"/>
  <sheetViews>
    <sheetView tabSelected="1" zoomScale="70" zoomScaleNormal="70" workbookViewId="0">
      <pane ySplit="1" topLeftCell="A312" activePane="bottomLeft" state="frozen"/>
      <selection pane="bottomLeft" activeCell="E350" sqref="E350"/>
    </sheetView>
  </sheetViews>
  <sheetFormatPr defaultColWidth="9" defaultRowHeight="15.75" customHeight="1"/>
  <cols>
    <col min="1" max="1" width="4.25" style="73" customWidth="1"/>
    <col min="2" max="2" width="38" style="73" customWidth="1"/>
    <col min="3" max="3" width="19.375" style="78" customWidth="1"/>
    <col min="4" max="4" width="26.875" style="73" customWidth="1"/>
    <col min="5" max="5" width="33.125" style="73" customWidth="1"/>
    <col min="6" max="6" width="17.375" style="73" customWidth="1"/>
    <col min="7" max="7" width="9" style="73"/>
    <col min="8" max="8" width="18.875" style="73" customWidth="1"/>
    <col min="9" max="16" width="9" style="73" hidden="1" customWidth="1"/>
    <col min="17" max="17" width="11.625" style="73" hidden="1" customWidth="1"/>
    <col min="18" max="18" width="17" style="75" customWidth="1"/>
    <col min="19" max="20" width="24.5" style="75" customWidth="1"/>
    <col min="21" max="21" width="10.25" style="73" bestFit="1" customWidth="1"/>
    <col min="22" max="22" width="11.5" style="73" customWidth="1"/>
    <col min="23" max="23" width="12.625" style="73" customWidth="1"/>
    <col min="24" max="16384" width="9" style="73"/>
  </cols>
  <sheetData>
    <row r="1" spans="2:23" ht="15" customHeight="1">
      <c r="B1" s="70" t="s">
        <v>1322</v>
      </c>
      <c r="C1" s="71" t="s">
        <v>1323</v>
      </c>
      <c r="D1" s="70" t="s">
        <v>1324</v>
      </c>
      <c r="E1" s="70" t="s">
        <v>1325</v>
      </c>
      <c r="F1" s="70" t="s">
        <v>1327</v>
      </c>
      <c r="G1" s="70" t="s">
        <v>1883</v>
      </c>
      <c r="H1" s="70" t="s">
        <v>1328</v>
      </c>
      <c r="I1" s="72" t="s">
        <v>1329</v>
      </c>
      <c r="J1" s="70" t="s">
        <v>1330</v>
      </c>
      <c r="K1" s="70" t="s">
        <v>1331</v>
      </c>
      <c r="L1" s="70" t="s">
        <v>1332</v>
      </c>
      <c r="M1" s="70" t="s">
        <v>1333</v>
      </c>
      <c r="N1" s="70" t="s">
        <v>1334</v>
      </c>
      <c r="O1" s="70" t="s">
        <v>1335</v>
      </c>
      <c r="P1" s="70" t="s">
        <v>1336</v>
      </c>
      <c r="R1" s="74" t="s">
        <v>1884</v>
      </c>
      <c r="S1" s="74" t="s">
        <v>1885</v>
      </c>
      <c r="T1" s="74" t="s">
        <v>1886</v>
      </c>
      <c r="U1" s="74" t="s">
        <v>1887</v>
      </c>
      <c r="V1" s="70" t="s">
        <v>1327</v>
      </c>
      <c r="W1" s="73" t="s">
        <v>1888</v>
      </c>
    </row>
    <row r="2" spans="2:23" ht="12.95">
      <c r="B2" s="70" t="s">
        <v>1420</v>
      </c>
      <c r="C2" s="71">
        <v>45481.550694444442</v>
      </c>
      <c r="D2" s="70" t="s">
        <v>1421</v>
      </c>
      <c r="E2" s="70" t="s">
        <v>1422</v>
      </c>
      <c r="F2" s="70" t="s">
        <v>1424</v>
      </c>
      <c r="G2" s="70"/>
      <c r="H2" s="70" t="s">
        <v>1332</v>
      </c>
      <c r="I2" s="70"/>
      <c r="J2" s="70">
        <v>0</v>
      </c>
      <c r="K2" s="70">
        <v>0</v>
      </c>
      <c r="L2" s="70">
        <v>1</v>
      </c>
      <c r="M2" s="70">
        <v>0</v>
      </c>
      <c r="N2" s="70">
        <v>0</v>
      </c>
      <c r="O2" s="70">
        <v>0</v>
      </c>
      <c r="P2" s="70">
        <v>0</v>
      </c>
      <c r="Q2" s="73" t="str">
        <f t="shared" ref="Q2:Q33" si="0">TEXT(C2, "yyyy-mm")</f>
        <v>2024-07</v>
      </c>
      <c r="V2" s="70" t="s">
        <v>1423</v>
      </c>
      <c r="W2" s="73">
        <f>COUNTIF('IS｜CVレポート'!H:H,流入チャネル別顧客一覧_ユニーク!D2)</f>
        <v>0</v>
      </c>
    </row>
    <row r="3" spans="2:23" ht="12.95">
      <c r="B3" s="70" t="s">
        <v>1337</v>
      </c>
      <c r="C3" s="71">
        <v>45498.727777777778</v>
      </c>
      <c r="D3" s="70" t="s">
        <v>1338</v>
      </c>
      <c r="E3" s="70" t="s">
        <v>1339</v>
      </c>
      <c r="F3" s="70" t="s">
        <v>1341</v>
      </c>
      <c r="G3" s="70"/>
      <c r="H3" s="70" t="s">
        <v>1331</v>
      </c>
      <c r="I3" s="70"/>
      <c r="J3" s="70">
        <v>0</v>
      </c>
      <c r="K3" s="70">
        <v>1</v>
      </c>
      <c r="L3" s="70">
        <v>0</v>
      </c>
      <c r="M3" s="70">
        <v>0</v>
      </c>
      <c r="N3" s="70">
        <v>0</v>
      </c>
      <c r="O3" s="70">
        <v>0</v>
      </c>
      <c r="P3" s="70">
        <v>0</v>
      </c>
      <c r="Q3" s="73" t="str">
        <f t="shared" si="0"/>
        <v>2024-07</v>
      </c>
      <c r="V3" s="70" t="s">
        <v>1340</v>
      </c>
      <c r="W3" s="73">
        <f>COUNTIF('IS｜CVレポート'!H:H,流入チャネル別顧客一覧_ユニーク!D3)</f>
        <v>0</v>
      </c>
    </row>
    <row r="4" spans="2:23" ht="12.95">
      <c r="B4" s="70" t="s">
        <v>1337</v>
      </c>
      <c r="C4" s="71">
        <v>45503.171527777777</v>
      </c>
      <c r="D4" s="70" t="s">
        <v>1342</v>
      </c>
      <c r="E4" s="70" t="s">
        <v>1343</v>
      </c>
      <c r="F4" s="70" t="s">
        <v>1344</v>
      </c>
      <c r="G4" s="70"/>
      <c r="H4" s="70" t="s">
        <v>1331</v>
      </c>
      <c r="I4" s="70"/>
      <c r="J4" s="70">
        <v>0</v>
      </c>
      <c r="K4" s="70">
        <v>1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3" t="str">
        <f t="shared" si="0"/>
        <v>2024-07</v>
      </c>
      <c r="V4" s="70" t="s">
        <v>1340</v>
      </c>
      <c r="W4" s="73">
        <f>COUNTIF('IS｜CVレポート'!H:H,流入チャネル別顧客一覧_ユニーク!D4)</f>
        <v>0</v>
      </c>
    </row>
    <row r="5" spans="2:23" ht="12.95">
      <c r="B5" s="70" t="s">
        <v>1337</v>
      </c>
      <c r="C5" s="71">
        <v>45512.370138888888</v>
      </c>
      <c r="D5" s="70" t="s">
        <v>1345</v>
      </c>
      <c r="E5" s="70" t="s">
        <v>1346</v>
      </c>
      <c r="F5" s="70" t="s">
        <v>1347</v>
      </c>
      <c r="G5" s="70"/>
      <c r="H5" s="70" t="s">
        <v>1331</v>
      </c>
      <c r="I5" s="70"/>
      <c r="J5" s="70">
        <v>0</v>
      </c>
      <c r="K5" s="70">
        <v>1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3" t="str">
        <f t="shared" si="0"/>
        <v>2024-08</v>
      </c>
      <c r="V5" s="70" t="s">
        <v>1340</v>
      </c>
      <c r="W5" s="73">
        <f>COUNTIF('IS｜CVレポート'!H:H,流入チャネル別顧客一覧_ユニーク!D5)</f>
        <v>0</v>
      </c>
    </row>
    <row r="6" spans="2:23" ht="12.95">
      <c r="B6" s="70" t="s">
        <v>1337</v>
      </c>
      <c r="C6" s="71">
        <v>45512.493055555555</v>
      </c>
      <c r="D6" s="70" t="s">
        <v>1348</v>
      </c>
      <c r="E6" s="70" t="s">
        <v>1349</v>
      </c>
      <c r="F6" s="70" t="s">
        <v>1351</v>
      </c>
      <c r="G6" s="70"/>
      <c r="H6" s="70" t="s">
        <v>1332</v>
      </c>
      <c r="I6" s="70"/>
      <c r="J6" s="70">
        <v>0</v>
      </c>
      <c r="K6" s="70">
        <v>0</v>
      </c>
      <c r="L6" s="70">
        <v>1</v>
      </c>
      <c r="M6" s="70">
        <v>0</v>
      </c>
      <c r="N6" s="70">
        <v>0</v>
      </c>
      <c r="O6" s="70">
        <v>0</v>
      </c>
      <c r="P6" s="70">
        <v>0</v>
      </c>
      <c r="Q6" s="73" t="str">
        <f t="shared" si="0"/>
        <v>2024-08</v>
      </c>
      <c r="V6" s="70" t="s">
        <v>1350</v>
      </c>
      <c r="W6" s="73">
        <f>COUNTIF('IS｜CVレポート'!H:H,流入チャネル別顧客一覧_ユニーク!D6)</f>
        <v>0</v>
      </c>
    </row>
    <row r="7" spans="2:23" ht="12.95">
      <c r="B7" s="70" t="s">
        <v>1516</v>
      </c>
      <c r="C7" s="71">
        <v>45530.356249999997</v>
      </c>
      <c r="D7" s="70" t="s">
        <v>1517</v>
      </c>
      <c r="E7" s="70" t="s">
        <v>1518</v>
      </c>
      <c r="F7" s="70" t="s">
        <v>1520</v>
      </c>
      <c r="G7" s="70"/>
      <c r="H7" s="70" t="s">
        <v>1335</v>
      </c>
      <c r="I7" s="70"/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1</v>
      </c>
      <c r="P7" s="70">
        <v>0</v>
      </c>
      <c r="Q7" s="73" t="str">
        <f t="shared" si="0"/>
        <v>2024-08</v>
      </c>
      <c r="R7" s="75">
        <v>45530</v>
      </c>
      <c r="S7" s="75">
        <v>45539</v>
      </c>
      <c r="V7" s="70" t="s">
        <v>1519</v>
      </c>
      <c r="W7" s="73">
        <f>COUNTIF('IS｜CVレポート'!H:H,流入チャネル別顧客一覧_ユニーク!D7)</f>
        <v>0</v>
      </c>
    </row>
    <row r="8" spans="2:23" ht="12.95">
      <c r="B8" s="70" t="s">
        <v>1516</v>
      </c>
      <c r="C8" s="71">
        <v>45530.98333333333</v>
      </c>
      <c r="D8" s="70" t="s">
        <v>1521</v>
      </c>
      <c r="E8" s="70" t="s">
        <v>1522</v>
      </c>
      <c r="F8" s="70" t="s">
        <v>1524</v>
      </c>
      <c r="G8" s="70"/>
      <c r="H8" s="70" t="s">
        <v>1332</v>
      </c>
      <c r="I8" s="70"/>
      <c r="J8" s="70">
        <v>0</v>
      </c>
      <c r="K8" s="70">
        <v>0</v>
      </c>
      <c r="L8" s="70">
        <v>1</v>
      </c>
      <c r="M8" s="70">
        <v>0</v>
      </c>
      <c r="N8" s="70">
        <v>0</v>
      </c>
      <c r="O8" s="70">
        <v>0</v>
      </c>
      <c r="P8" s="70">
        <v>0</v>
      </c>
      <c r="Q8" s="73" t="str">
        <f t="shared" si="0"/>
        <v>2024-08</v>
      </c>
      <c r="V8" s="70" t="s">
        <v>1523</v>
      </c>
      <c r="W8" s="73">
        <f>COUNTIF('IS｜CVレポート'!H:H,流入チャネル別顧客一覧_ユニーク!D8)</f>
        <v>0</v>
      </c>
    </row>
    <row r="9" spans="2:23" ht="12.95">
      <c r="B9" s="70" t="s">
        <v>1337</v>
      </c>
      <c r="C9" s="71">
        <v>45534.826388888891</v>
      </c>
      <c r="D9" s="70" t="s">
        <v>1352</v>
      </c>
      <c r="E9" s="70" t="s">
        <v>1353</v>
      </c>
      <c r="F9" s="70" t="s">
        <v>1354</v>
      </c>
      <c r="G9" s="70"/>
      <c r="H9" s="70" t="s">
        <v>1331</v>
      </c>
      <c r="I9" s="70"/>
      <c r="J9" s="70">
        <v>0</v>
      </c>
      <c r="K9" s="70">
        <v>1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3" t="str">
        <f t="shared" si="0"/>
        <v>2024-08</v>
      </c>
      <c r="V9" s="70" t="s">
        <v>1340</v>
      </c>
      <c r="W9" s="73">
        <f>COUNTIF('IS｜CVレポート'!H:H,流入チャネル別顧客一覧_ユニーク!D9)</f>
        <v>0</v>
      </c>
    </row>
    <row r="10" spans="2:23" ht="12.95">
      <c r="B10" s="70" t="s">
        <v>1420</v>
      </c>
      <c r="C10" s="71">
        <v>45546.429166666669</v>
      </c>
      <c r="D10" s="70" t="s">
        <v>1425</v>
      </c>
      <c r="E10" s="70" t="s">
        <v>1426</v>
      </c>
      <c r="F10" s="70" t="s">
        <v>1428</v>
      </c>
      <c r="G10" s="70"/>
      <c r="H10" s="70" t="s">
        <v>1334</v>
      </c>
      <c r="I10" s="70"/>
      <c r="J10" s="70">
        <v>0</v>
      </c>
      <c r="K10" s="70">
        <v>0</v>
      </c>
      <c r="L10" s="70">
        <v>0</v>
      </c>
      <c r="M10" s="70">
        <v>0</v>
      </c>
      <c r="N10" s="70">
        <v>1</v>
      </c>
      <c r="O10" s="70">
        <v>0</v>
      </c>
      <c r="P10" s="70">
        <v>0</v>
      </c>
      <c r="Q10" s="73" t="str">
        <f t="shared" si="0"/>
        <v>2024-09</v>
      </c>
      <c r="V10" s="70" t="s">
        <v>1427</v>
      </c>
      <c r="W10" s="73">
        <f>COUNTIF('IS｜CVレポート'!H:H,流入チャネル別顧客一覧_ユニーク!D10)</f>
        <v>0</v>
      </c>
    </row>
    <row r="11" spans="2:23" ht="12.95">
      <c r="B11" s="70" t="s">
        <v>1420</v>
      </c>
      <c r="C11" s="71">
        <v>45546.447222222225</v>
      </c>
      <c r="D11" s="70" t="s">
        <v>1429</v>
      </c>
      <c r="E11" s="70" t="s">
        <v>1430</v>
      </c>
      <c r="F11" s="70" t="s">
        <v>1432</v>
      </c>
      <c r="G11" s="70"/>
      <c r="H11" s="70" t="s">
        <v>1330</v>
      </c>
      <c r="I11" s="70"/>
      <c r="J11" s="70">
        <v>1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3" t="str">
        <f t="shared" si="0"/>
        <v>2024-09</v>
      </c>
      <c r="R11" s="75">
        <v>45546</v>
      </c>
      <c r="V11" s="70" t="s">
        <v>1431</v>
      </c>
      <c r="W11" s="73">
        <f>COUNTIF('IS｜CVレポート'!H:H,流入チャネル別顧客一覧_ユニーク!D11)</f>
        <v>0</v>
      </c>
    </row>
    <row r="12" spans="2:23" ht="12.95">
      <c r="B12" s="70" t="s">
        <v>1420</v>
      </c>
      <c r="C12" s="71">
        <v>45546.623611111114</v>
      </c>
      <c r="D12" s="70" t="s">
        <v>1433</v>
      </c>
      <c r="E12" s="70" t="s">
        <v>1434</v>
      </c>
      <c r="F12" s="70" t="s">
        <v>1436</v>
      </c>
      <c r="G12" s="70"/>
      <c r="H12" s="70" t="s">
        <v>1334</v>
      </c>
      <c r="I12" s="70"/>
      <c r="J12" s="70">
        <v>0</v>
      </c>
      <c r="K12" s="70">
        <v>0</v>
      </c>
      <c r="L12" s="70">
        <v>0</v>
      </c>
      <c r="M12" s="70">
        <v>0</v>
      </c>
      <c r="N12" s="70">
        <v>1</v>
      </c>
      <c r="O12" s="70">
        <v>0</v>
      </c>
      <c r="P12" s="70">
        <v>0</v>
      </c>
      <c r="Q12" s="73" t="str">
        <f t="shared" si="0"/>
        <v>2024-09</v>
      </c>
      <c r="V12" s="70" t="s">
        <v>1434</v>
      </c>
      <c r="W12" s="73">
        <f>COUNTIF('IS｜CVレポート'!H:H,流入チャネル別顧客一覧_ユニーク!D12)</f>
        <v>0</v>
      </c>
    </row>
    <row r="13" spans="2:23" ht="12.95">
      <c r="B13" s="70" t="s">
        <v>1420</v>
      </c>
      <c r="C13" s="71">
        <v>45546.718055555553</v>
      </c>
      <c r="D13" s="70" t="s">
        <v>1437</v>
      </c>
      <c r="E13" s="70" t="s">
        <v>90</v>
      </c>
      <c r="F13" s="70" t="s">
        <v>1439</v>
      </c>
      <c r="G13" s="70"/>
      <c r="H13" s="70" t="s">
        <v>1332</v>
      </c>
      <c r="I13" s="70"/>
      <c r="J13" s="70">
        <v>0</v>
      </c>
      <c r="K13" s="70">
        <v>0</v>
      </c>
      <c r="L13" s="70">
        <v>1</v>
      </c>
      <c r="M13" s="70">
        <v>0</v>
      </c>
      <c r="N13" s="70">
        <v>0</v>
      </c>
      <c r="O13" s="70">
        <v>0</v>
      </c>
      <c r="P13" s="70">
        <v>0</v>
      </c>
      <c r="Q13" s="73" t="str">
        <f t="shared" si="0"/>
        <v>2024-09</v>
      </c>
      <c r="V13" s="70" t="s">
        <v>1438</v>
      </c>
      <c r="W13" s="73">
        <f>COUNTIF('IS｜CVレポート'!H:H,流入チャネル別顧客一覧_ユニーク!D13)</f>
        <v>0</v>
      </c>
    </row>
    <row r="14" spans="2:23" ht="12.95">
      <c r="B14" s="70" t="s">
        <v>1516</v>
      </c>
      <c r="C14" s="71">
        <v>45552.464583333334</v>
      </c>
      <c r="D14" s="70" t="s">
        <v>1525</v>
      </c>
      <c r="E14" s="70" t="s">
        <v>1526</v>
      </c>
      <c r="F14" s="70" t="s">
        <v>1527</v>
      </c>
      <c r="G14" s="70"/>
      <c r="H14" s="70" t="s">
        <v>1332</v>
      </c>
      <c r="I14" s="70"/>
      <c r="J14" s="70">
        <v>0</v>
      </c>
      <c r="K14" s="70">
        <v>0</v>
      </c>
      <c r="L14" s="70">
        <v>1</v>
      </c>
      <c r="M14" s="70">
        <v>0</v>
      </c>
      <c r="N14" s="70">
        <v>0</v>
      </c>
      <c r="O14" s="70">
        <v>0</v>
      </c>
      <c r="P14" s="70">
        <v>0</v>
      </c>
      <c r="Q14" s="73" t="str">
        <f t="shared" si="0"/>
        <v>2024-09</v>
      </c>
      <c r="V14" s="70" t="s">
        <v>1363</v>
      </c>
      <c r="W14" s="73">
        <f>COUNTIF('IS｜CVレポート'!H:H,流入チャネル別顧客一覧_ユニーク!D14)</f>
        <v>0</v>
      </c>
    </row>
    <row r="15" spans="2:23" ht="12.95">
      <c r="B15" s="70" t="s">
        <v>1337</v>
      </c>
      <c r="C15" s="71">
        <v>45553.4</v>
      </c>
      <c r="D15" s="70" t="s">
        <v>1355</v>
      </c>
      <c r="E15" s="70" t="s">
        <v>1356</v>
      </c>
      <c r="F15" s="70" t="s">
        <v>1358</v>
      </c>
      <c r="G15" s="70"/>
      <c r="H15" s="70" t="s">
        <v>1335</v>
      </c>
      <c r="I15" s="70"/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1</v>
      </c>
      <c r="P15" s="70">
        <v>0</v>
      </c>
      <c r="Q15" s="73" t="str">
        <f t="shared" si="0"/>
        <v>2024-09</v>
      </c>
      <c r="V15" s="70" t="s">
        <v>1357</v>
      </c>
      <c r="W15" s="73">
        <f>COUNTIF('IS｜CVレポート'!H:H,流入チャネル別顧客一覧_ユニーク!D15)</f>
        <v>0</v>
      </c>
    </row>
    <row r="16" spans="2:23" ht="12.95">
      <c r="B16" s="70" t="s">
        <v>1420</v>
      </c>
      <c r="C16" s="71">
        <v>45573.43472222222</v>
      </c>
      <c r="D16" s="70" t="s">
        <v>1440</v>
      </c>
      <c r="E16" s="70" t="s">
        <v>1186</v>
      </c>
      <c r="F16" s="70" t="s">
        <v>1442</v>
      </c>
      <c r="G16" s="70"/>
      <c r="H16" s="70" t="s">
        <v>1334</v>
      </c>
      <c r="I16" s="70"/>
      <c r="J16" s="70">
        <v>0</v>
      </c>
      <c r="K16" s="70">
        <v>0</v>
      </c>
      <c r="L16" s="70">
        <v>0</v>
      </c>
      <c r="M16" s="70">
        <v>0</v>
      </c>
      <c r="N16" s="70">
        <v>1</v>
      </c>
      <c r="O16" s="70">
        <v>0</v>
      </c>
      <c r="P16" s="70">
        <v>0</v>
      </c>
      <c r="Q16" s="73" t="str">
        <f t="shared" si="0"/>
        <v>2024-10</v>
      </c>
      <c r="V16" s="70" t="s">
        <v>1441</v>
      </c>
      <c r="W16" s="73">
        <f>COUNTIF('IS｜CVレポート'!H:H,流入チャネル別顧客一覧_ユニーク!D16)</f>
        <v>0</v>
      </c>
    </row>
    <row r="17" spans="2:23" ht="12.95">
      <c r="B17" s="70" t="s">
        <v>1337</v>
      </c>
      <c r="C17" s="71">
        <v>45575.531944444447</v>
      </c>
      <c r="D17" s="70" t="s">
        <v>1361</v>
      </c>
      <c r="E17" s="70" t="s">
        <v>1362</v>
      </c>
      <c r="F17" s="70" t="s">
        <v>1364</v>
      </c>
      <c r="G17" s="70"/>
      <c r="H17" s="70" t="s">
        <v>1331</v>
      </c>
      <c r="I17" s="70"/>
      <c r="J17" s="70">
        <v>0</v>
      </c>
      <c r="K17" s="70">
        <v>1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3" t="str">
        <f t="shared" si="0"/>
        <v>2024-10</v>
      </c>
      <c r="R17" s="75">
        <v>45575</v>
      </c>
      <c r="S17" s="75">
        <v>45587</v>
      </c>
      <c r="V17" s="70" t="s">
        <v>1363</v>
      </c>
      <c r="W17" s="73">
        <f>COUNTIF('IS｜CVレポート'!H:H,流入チャネル別顧客一覧_ユニーク!D17)</f>
        <v>0</v>
      </c>
    </row>
    <row r="18" spans="2:23" ht="12.95">
      <c r="B18" s="70" t="s">
        <v>1337</v>
      </c>
      <c r="C18" s="71">
        <v>45593.602083333331</v>
      </c>
      <c r="D18" s="70" t="s">
        <v>1368</v>
      </c>
      <c r="E18" s="70" t="s">
        <v>1369</v>
      </c>
      <c r="F18" s="70" t="s">
        <v>1371</v>
      </c>
      <c r="G18" s="70"/>
      <c r="H18" s="70" t="s">
        <v>1332</v>
      </c>
      <c r="I18" s="70"/>
      <c r="J18" s="70">
        <v>0</v>
      </c>
      <c r="K18" s="70">
        <v>0</v>
      </c>
      <c r="L18" s="70">
        <v>1</v>
      </c>
      <c r="M18" s="70">
        <v>0</v>
      </c>
      <c r="N18" s="70">
        <v>0</v>
      </c>
      <c r="O18" s="70">
        <v>0</v>
      </c>
      <c r="P18" s="70">
        <v>0</v>
      </c>
      <c r="Q18" s="73" t="str">
        <f t="shared" si="0"/>
        <v>2024-10</v>
      </c>
      <c r="V18" s="70" t="s">
        <v>1370</v>
      </c>
      <c r="W18" s="73">
        <f>COUNTIF('IS｜CVレポート'!H:H,流入チャネル別顧客一覧_ユニーク!D18)</f>
        <v>0</v>
      </c>
    </row>
    <row r="19" spans="2:23" ht="12.95">
      <c r="B19" s="70" t="s">
        <v>1420</v>
      </c>
      <c r="C19" s="71">
        <v>45601.454861111109</v>
      </c>
      <c r="D19" s="70" t="s">
        <v>1443</v>
      </c>
      <c r="E19" s="70" t="s">
        <v>1444</v>
      </c>
      <c r="F19" s="70" t="s">
        <v>1446</v>
      </c>
      <c r="G19" s="70"/>
      <c r="H19" s="70" t="s">
        <v>1331</v>
      </c>
      <c r="I19" s="70"/>
      <c r="J19" s="70">
        <v>0</v>
      </c>
      <c r="K19" s="70">
        <v>1</v>
      </c>
      <c r="L19" s="70">
        <v>0</v>
      </c>
      <c r="M19" s="70">
        <v>0</v>
      </c>
      <c r="N19" s="70">
        <v>0</v>
      </c>
      <c r="O19" s="70">
        <v>0</v>
      </c>
      <c r="P19" s="70">
        <v>0</v>
      </c>
      <c r="Q19" s="73" t="str">
        <f t="shared" si="0"/>
        <v>2024-11</v>
      </c>
      <c r="V19" s="70" t="s">
        <v>1445</v>
      </c>
      <c r="W19" s="73">
        <f>COUNTIF('IS｜CVレポート'!H:H,流入チャネル別顧客一覧_ユニーク!D19)</f>
        <v>0</v>
      </c>
    </row>
    <row r="20" spans="2:23" ht="12.95">
      <c r="B20" s="70" t="s">
        <v>1420</v>
      </c>
      <c r="C20" s="71">
        <v>45603.5</v>
      </c>
      <c r="D20" s="70" t="s">
        <v>1447</v>
      </c>
      <c r="E20" s="70" t="s">
        <v>1448</v>
      </c>
      <c r="F20" s="70" t="s">
        <v>1450</v>
      </c>
      <c r="G20" s="70"/>
      <c r="H20" s="70" t="s">
        <v>1334</v>
      </c>
      <c r="I20" s="70"/>
      <c r="J20" s="70">
        <v>0</v>
      </c>
      <c r="K20" s="70">
        <v>0</v>
      </c>
      <c r="L20" s="70">
        <v>0</v>
      </c>
      <c r="M20" s="70">
        <v>0</v>
      </c>
      <c r="N20" s="70">
        <v>1</v>
      </c>
      <c r="O20" s="70">
        <v>0</v>
      </c>
      <c r="P20" s="70">
        <v>0</v>
      </c>
      <c r="Q20" s="73" t="str">
        <f t="shared" si="0"/>
        <v>2024-11</v>
      </c>
      <c r="V20" s="70" t="s">
        <v>1449</v>
      </c>
      <c r="W20" s="73">
        <f>COUNTIF('IS｜CVレポート'!H:H,流入チャネル別顧客一覧_ユニーク!D20)</f>
        <v>0</v>
      </c>
    </row>
    <row r="21" spans="2:23" ht="12.95">
      <c r="B21" s="70" t="s">
        <v>1337</v>
      </c>
      <c r="C21" s="71">
        <v>45608.413888888892</v>
      </c>
      <c r="D21" s="70" t="s">
        <v>1372</v>
      </c>
      <c r="E21" s="70" t="s">
        <v>1373</v>
      </c>
      <c r="F21" s="70" t="s">
        <v>1375</v>
      </c>
      <c r="G21" s="70"/>
      <c r="H21" s="70" t="s">
        <v>1333</v>
      </c>
      <c r="I21" s="70"/>
      <c r="J21" s="70">
        <v>0</v>
      </c>
      <c r="K21" s="70">
        <v>0</v>
      </c>
      <c r="L21" s="70">
        <v>0</v>
      </c>
      <c r="M21" s="70">
        <v>1</v>
      </c>
      <c r="N21" s="70">
        <v>0</v>
      </c>
      <c r="O21" s="70">
        <v>0</v>
      </c>
      <c r="P21" s="70">
        <v>0</v>
      </c>
      <c r="Q21" s="73" t="str">
        <f t="shared" si="0"/>
        <v>2024-11</v>
      </c>
      <c r="V21" s="70" t="s">
        <v>1374</v>
      </c>
      <c r="W21" s="73">
        <f>COUNTIF('IS｜CVレポート'!H:H,流入チャネル別顧客一覧_ユニーク!D21)</f>
        <v>0</v>
      </c>
    </row>
    <row r="22" spans="2:23" ht="12.95">
      <c r="B22" s="70" t="s">
        <v>1420</v>
      </c>
      <c r="C22" s="71">
        <v>45609.432638888888</v>
      </c>
      <c r="D22" s="70" t="s">
        <v>1451</v>
      </c>
      <c r="E22" s="70" t="s">
        <v>179</v>
      </c>
      <c r="F22" s="70" t="s">
        <v>1453</v>
      </c>
      <c r="G22" s="70"/>
      <c r="H22" s="70" t="s">
        <v>1334</v>
      </c>
      <c r="I22" s="70"/>
      <c r="J22" s="70">
        <v>0</v>
      </c>
      <c r="K22" s="70">
        <v>0</v>
      </c>
      <c r="L22" s="70">
        <v>0</v>
      </c>
      <c r="M22" s="70">
        <v>0</v>
      </c>
      <c r="N22" s="70">
        <v>1</v>
      </c>
      <c r="O22" s="70">
        <v>0</v>
      </c>
      <c r="P22" s="70">
        <v>0</v>
      </c>
      <c r="Q22" s="73" t="str">
        <f t="shared" si="0"/>
        <v>2024-11</v>
      </c>
      <c r="V22" s="70" t="s">
        <v>1452</v>
      </c>
      <c r="W22" s="73">
        <f>COUNTIF('IS｜CVレポート'!H:H,流入チャネル別顧客一覧_ユニーク!D22)</f>
        <v>0</v>
      </c>
    </row>
    <row r="23" spans="2:23" ht="12.95">
      <c r="B23" s="70" t="s">
        <v>1516</v>
      </c>
      <c r="C23" s="71">
        <v>45621.416666666664</v>
      </c>
      <c r="D23" s="70" t="s">
        <v>1528</v>
      </c>
      <c r="E23" s="70" t="s">
        <v>1529</v>
      </c>
      <c r="F23" s="70" t="s">
        <v>1531</v>
      </c>
      <c r="G23" s="70"/>
      <c r="H23" s="70" t="s">
        <v>1334</v>
      </c>
      <c r="I23" s="70"/>
      <c r="J23" s="70">
        <v>0</v>
      </c>
      <c r="K23" s="70">
        <v>0</v>
      </c>
      <c r="L23" s="70">
        <v>0</v>
      </c>
      <c r="M23" s="70">
        <v>0</v>
      </c>
      <c r="N23" s="70">
        <v>1</v>
      </c>
      <c r="O23" s="70">
        <v>0</v>
      </c>
      <c r="P23" s="70">
        <v>0</v>
      </c>
      <c r="Q23" s="73" t="str">
        <f t="shared" si="0"/>
        <v>2024-11</v>
      </c>
      <c r="R23" s="75">
        <f>C23</f>
        <v>45621.416666666664</v>
      </c>
      <c r="V23" s="70" t="s">
        <v>1530</v>
      </c>
      <c r="W23" s="73">
        <f>COUNTIF('IS｜CVレポート'!H:H,流入チャネル別顧客一覧_ユニーク!D23)</f>
        <v>0</v>
      </c>
    </row>
    <row r="24" spans="2:23" ht="12.95">
      <c r="B24" s="70" t="s">
        <v>1516</v>
      </c>
      <c r="C24" s="71">
        <v>45621.416666666664</v>
      </c>
      <c r="D24" s="70" t="s">
        <v>1532</v>
      </c>
      <c r="E24" s="70" t="s">
        <v>1533</v>
      </c>
      <c r="F24" s="70" t="s">
        <v>1535</v>
      </c>
      <c r="G24" s="70"/>
      <c r="H24" s="70" t="s">
        <v>1334</v>
      </c>
      <c r="I24" s="70"/>
      <c r="J24" s="70">
        <v>0</v>
      </c>
      <c r="K24" s="70">
        <v>0</v>
      </c>
      <c r="L24" s="70">
        <v>0</v>
      </c>
      <c r="M24" s="70">
        <v>0</v>
      </c>
      <c r="N24" s="70">
        <v>1</v>
      </c>
      <c r="O24" s="70">
        <v>0</v>
      </c>
      <c r="P24" s="70">
        <v>0</v>
      </c>
      <c r="Q24" s="73" t="str">
        <f t="shared" si="0"/>
        <v>2024-11</v>
      </c>
      <c r="V24" s="70" t="s">
        <v>1534</v>
      </c>
      <c r="W24" s="73">
        <f>COUNTIF('IS｜CVレポート'!H:H,流入チャネル別顧客一覧_ユニーク!D24)</f>
        <v>0</v>
      </c>
    </row>
    <row r="25" spans="2:23" ht="12.95">
      <c r="B25" s="70" t="s">
        <v>1420</v>
      </c>
      <c r="C25" s="71">
        <v>45621.429861111108</v>
      </c>
      <c r="D25" s="70" t="s">
        <v>1454</v>
      </c>
      <c r="E25" s="70" t="s">
        <v>1455</v>
      </c>
      <c r="F25" s="70" t="s">
        <v>1457</v>
      </c>
      <c r="G25" s="70"/>
      <c r="H25" s="70" t="s">
        <v>1331</v>
      </c>
      <c r="I25" s="70"/>
      <c r="J25" s="70">
        <v>0</v>
      </c>
      <c r="K25" s="70">
        <v>1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3" t="str">
        <f t="shared" si="0"/>
        <v>2024-11</v>
      </c>
      <c r="V25" s="70" t="s">
        <v>1456</v>
      </c>
      <c r="W25" s="73">
        <f>COUNTIF('IS｜CVレポート'!H:H,流入チャネル別顧客一覧_ユニーク!D25)</f>
        <v>0</v>
      </c>
    </row>
    <row r="26" spans="2:23" ht="12.95">
      <c r="B26" s="70" t="s">
        <v>1420</v>
      </c>
      <c r="C26" s="71">
        <v>45621.449305555558</v>
      </c>
      <c r="D26" s="70" t="s">
        <v>1458</v>
      </c>
      <c r="E26" s="70" t="s">
        <v>136</v>
      </c>
      <c r="F26" s="70" t="s">
        <v>1460</v>
      </c>
      <c r="G26" s="70"/>
      <c r="H26" s="70" t="s">
        <v>1334</v>
      </c>
      <c r="I26" s="70"/>
      <c r="J26" s="70">
        <v>0</v>
      </c>
      <c r="K26" s="70">
        <v>0</v>
      </c>
      <c r="L26" s="70">
        <v>0</v>
      </c>
      <c r="M26" s="70">
        <v>0</v>
      </c>
      <c r="N26" s="70">
        <v>1</v>
      </c>
      <c r="O26" s="70">
        <v>0</v>
      </c>
      <c r="P26" s="70">
        <v>0</v>
      </c>
      <c r="Q26" s="73" t="str">
        <f t="shared" si="0"/>
        <v>2024-11</v>
      </c>
      <c r="V26" s="70" t="s">
        <v>1459</v>
      </c>
      <c r="W26" s="73">
        <f>COUNTIF('IS｜CVレポート'!H:H,流入チャネル別顧客一覧_ユニーク!D26)</f>
        <v>0</v>
      </c>
    </row>
    <row r="27" spans="2:23" ht="12.95">
      <c r="B27" s="70" t="s">
        <v>1337</v>
      </c>
      <c r="C27" s="71">
        <v>45622.393055555556</v>
      </c>
      <c r="D27" s="70" t="s">
        <v>1377</v>
      </c>
      <c r="E27" s="70" t="s">
        <v>1378</v>
      </c>
      <c r="F27" s="70" t="s">
        <v>1380</v>
      </c>
      <c r="G27" s="70"/>
      <c r="H27" s="70" t="s">
        <v>1333</v>
      </c>
      <c r="I27" s="70"/>
      <c r="J27" s="70">
        <v>0</v>
      </c>
      <c r="K27" s="70">
        <v>0</v>
      </c>
      <c r="L27" s="70">
        <v>0</v>
      </c>
      <c r="M27" s="70">
        <v>1</v>
      </c>
      <c r="N27" s="70">
        <v>0</v>
      </c>
      <c r="O27" s="70">
        <v>0</v>
      </c>
      <c r="P27" s="70">
        <v>0</v>
      </c>
      <c r="Q27" s="73" t="str">
        <f t="shared" si="0"/>
        <v>2024-11</v>
      </c>
      <c r="V27" s="70" t="s">
        <v>1379</v>
      </c>
      <c r="W27" s="73">
        <f>COUNTIF('IS｜CVレポート'!H:H,流入チャネル別顧客一覧_ユニーク!D27)</f>
        <v>0</v>
      </c>
    </row>
    <row r="28" spans="2:23" ht="12.95">
      <c r="B28" s="70" t="s">
        <v>1337</v>
      </c>
      <c r="C28" s="71">
        <v>45628.84375</v>
      </c>
      <c r="D28" s="70" t="s">
        <v>1381</v>
      </c>
      <c r="E28" s="70" t="s">
        <v>1382</v>
      </c>
      <c r="F28" s="70" t="s">
        <v>1383</v>
      </c>
      <c r="G28" s="70"/>
      <c r="H28" s="70" t="s">
        <v>1331</v>
      </c>
      <c r="I28" s="70"/>
      <c r="J28" s="70">
        <v>0</v>
      </c>
      <c r="K28" s="70">
        <v>1</v>
      </c>
      <c r="L28" s="70">
        <v>0</v>
      </c>
      <c r="M28" s="70">
        <v>0</v>
      </c>
      <c r="N28" s="70">
        <v>0</v>
      </c>
      <c r="O28" s="70">
        <v>0</v>
      </c>
      <c r="P28" s="70">
        <v>0</v>
      </c>
      <c r="Q28" s="73" t="str">
        <f t="shared" si="0"/>
        <v>2024-12</v>
      </c>
      <c r="V28" s="70" t="s">
        <v>1340</v>
      </c>
      <c r="W28" s="73">
        <f>COUNTIF('IS｜CVレポート'!H:H,流入チャネル別顧客一覧_ユニーク!D28)</f>
        <v>0</v>
      </c>
    </row>
    <row r="29" spans="2:23" ht="12.95">
      <c r="B29" s="70" t="s">
        <v>1516</v>
      </c>
      <c r="C29" s="71">
        <v>45631.468055555553</v>
      </c>
      <c r="D29" s="70" t="s">
        <v>1536</v>
      </c>
      <c r="E29" s="70" t="s">
        <v>1537</v>
      </c>
      <c r="F29" s="70" t="s">
        <v>1538</v>
      </c>
      <c r="G29" s="70"/>
      <c r="H29" s="70" t="s">
        <v>1333</v>
      </c>
      <c r="I29" s="70"/>
      <c r="J29" s="70">
        <v>0</v>
      </c>
      <c r="K29" s="70">
        <v>0</v>
      </c>
      <c r="L29" s="70">
        <v>0</v>
      </c>
      <c r="M29" s="70">
        <v>1</v>
      </c>
      <c r="N29" s="70">
        <v>0</v>
      </c>
      <c r="O29" s="70">
        <v>0</v>
      </c>
      <c r="P29" s="70">
        <v>0</v>
      </c>
      <c r="Q29" s="73" t="str">
        <f t="shared" si="0"/>
        <v>2024-12</v>
      </c>
      <c r="V29" s="70"/>
      <c r="W29" s="73">
        <f>COUNTIF('IS｜CVレポート'!H:H,流入チャネル別顧客一覧_ユニーク!D29)</f>
        <v>0</v>
      </c>
    </row>
    <row r="30" spans="2:23" ht="12.95">
      <c r="B30" s="70" t="s">
        <v>1420</v>
      </c>
      <c r="C30" s="71">
        <v>45636.416666666664</v>
      </c>
      <c r="D30" s="70" t="s">
        <v>1471</v>
      </c>
      <c r="E30" s="70" t="s">
        <v>1472</v>
      </c>
      <c r="F30" s="70" t="s">
        <v>1474</v>
      </c>
      <c r="G30" s="70"/>
      <c r="H30" s="70" t="s">
        <v>1334</v>
      </c>
      <c r="I30" s="70"/>
      <c r="J30" s="70">
        <v>0</v>
      </c>
      <c r="K30" s="70">
        <v>0</v>
      </c>
      <c r="L30" s="70">
        <v>0</v>
      </c>
      <c r="M30" s="70">
        <v>0</v>
      </c>
      <c r="N30" s="70">
        <v>1</v>
      </c>
      <c r="O30" s="70">
        <v>0</v>
      </c>
      <c r="P30" s="70">
        <v>0</v>
      </c>
      <c r="Q30" s="73" t="str">
        <f t="shared" si="0"/>
        <v>2024-12</v>
      </c>
      <c r="V30" s="70" t="s">
        <v>1473</v>
      </c>
      <c r="W30" s="73">
        <f>COUNTIF('IS｜CVレポート'!H:H,流入チャネル別顧客一覧_ユニーク!D30)</f>
        <v>0</v>
      </c>
    </row>
    <row r="31" spans="2:23" ht="12.95">
      <c r="B31" s="70" t="s">
        <v>1420</v>
      </c>
      <c r="C31" s="71">
        <v>45636.416666666664</v>
      </c>
      <c r="D31" s="70" t="s">
        <v>1491</v>
      </c>
      <c r="E31" s="70" t="s">
        <v>1492</v>
      </c>
      <c r="F31" s="70" t="s">
        <v>1494</v>
      </c>
      <c r="G31" s="70"/>
      <c r="H31" s="70" t="s">
        <v>1334</v>
      </c>
      <c r="I31" s="70"/>
      <c r="J31" s="70">
        <v>0</v>
      </c>
      <c r="K31" s="70">
        <v>0</v>
      </c>
      <c r="L31" s="70">
        <v>0</v>
      </c>
      <c r="M31" s="70">
        <v>0</v>
      </c>
      <c r="N31" s="70">
        <v>1</v>
      </c>
      <c r="O31" s="70">
        <v>0</v>
      </c>
      <c r="P31" s="70">
        <v>0</v>
      </c>
      <c r="Q31" s="73" t="str">
        <f t="shared" si="0"/>
        <v>2024-12</v>
      </c>
      <c r="V31" s="70" t="s">
        <v>1493</v>
      </c>
      <c r="W31" s="73">
        <f>COUNTIF('IS｜CVレポート'!H:H,流入チャネル別顧客一覧_ユニーク!D31)</f>
        <v>0</v>
      </c>
    </row>
    <row r="32" spans="2:23" ht="12.95">
      <c r="B32" s="70" t="s">
        <v>1420</v>
      </c>
      <c r="C32" s="71">
        <v>45636.416666666664</v>
      </c>
      <c r="D32" s="70" t="s">
        <v>1464</v>
      </c>
      <c r="E32" s="70" t="s">
        <v>1465</v>
      </c>
      <c r="F32" s="70" t="s">
        <v>1467</v>
      </c>
      <c r="G32" s="70"/>
      <c r="H32" s="70" t="s">
        <v>1334</v>
      </c>
      <c r="I32" s="70"/>
      <c r="J32" s="70">
        <v>0</v>
      </c>
      <c r="K32" s="70">
        <v>0</v>
      </c>
      <c r="L32" s="70">
        <v>0</v>
      </c>
      <c r="M32" s="70">
        <v>0</v>
      </c>
      <c r="N32" s="70">
        <v>1</v>
      </c>
      <c r="O32" s="70">
        <v>0</v>
      </c>
      <c r="P32" s="70">
        <v>0</v>
      </c>
      <c r="Q32" s="73" t="str">
        <f t="shared" si="0"/>
        <v>2024-12</v>
      </c>
      <c r="V32" s="70" t="s">
        <v>1466</v>
      </c>
      <c r="W32" s="73">
        <f>COUNTIF('IS｜CVレポート'!H:H,流入チャネル別顧客一覧_ユニーク!D32)</f>
        <v>0</v>
      </c>
    </row>
    <row r="33" spans="2:23" ht="12.95">
      <c r="B33" s="70" t="s">
        <v>1420</v>
      </c>
      <c r="C33" s="71">
        <v>45636.416666666664</v>
      </c>
      <c r="D33" s="70" t="s">
        <v>1461</v>
      </c>
      <c r="E33" s="70" t="s">
        <v>1156</v>
      </c>
      <c r="F33" s="70" t="s">
        <v>1463</v>
      </c>
      <c r="G33" s="70"/>
      <c r="H33" s="70" t="s">
        <v>1334</v>
      </c>
      <c r="I33" s="70"/>
      <c r="J33" s="70">
        <v>0</v>
      </c>
      <c r="K33" s="70">
        <v>0</v>
      </c>
      <c r="L33" s="70">
        <v>0</v>
      </c>
      <c r="M33" s="70">
        <v>0</v>
      </c>
      <c r="N33" s="70">
        <v>1</v>
      </c>
      <c r="O33" s="70">
        <v>0</v>
      </c>
      <c r="P33" s="70">
        <v>0</v>
      </c>
      <c r="Q33" s="73" t="str">
        <f t="shared" si="0"/>
        <v>2024-12</v>
      </c>
      <c r="V33" s="70" t="s">
        <v>1462</v>
      </c>
      <c r="W33" s="73">
        <f>COUNTIF('IS｜CVレポート'!H:H,流入チャネル別顧客一覧_ユニーク!D33)</f>
        <v>0</v>
      </c>
    </row>
    <row r="34" spans="2:23" ht="12.95">
      <c r="B34" s="70" t="s">
        <v>1420</v>
      </c>
      <c r="C34" s="71">
        <v>45636.416666666664</v>
      </c>
      <c r="D34" s="70" t="s">
        <v>1495</v>
      </c>
      <c r="E34" s="70" t="s">
        <v>149</v>
      </c>
      <c r="F34" s="70" t="s">
        <v>1497</v>
      </c>
      <c r="G34" s="70"/>
      <c r="H34" s="70" t="s">
        <v>1334</v>
      </c>
      <c r="I34" s="70"/>
      <c r="J34" s="70">
        <v>0</v>
      </c>
      <c r="K34" s="70">
        <v>0</v>
      </c>
      <c r="L34" s="70">
        <v>0</v>
      </c>
      <c r="M34" s="70">
        <v>0</v>
      </c>
      <c r="N34" s="70">
        <v>1</v>
      </c>
      <c r="O34" s="70">
        <v>0</v>
      </c>
      <c r="P34" s="70">
        <v>0</v>
      </c>
      <c r="Q34" s="73" t="str">
        <f t="shared" ref="Q34:Q65" si="1">TEXT(C34, "yyyy-mm")</f>
        <v>2024-12</v>
      </c>
      <c r="V34" s="70" t="s">
        <v>1496</v>
      </c>
      <c r="W34" s="73">
        <f>COUNTIF('IS｜CVレポート'!H:H,流入チャネル別顧客一覧_ユニーク!D34)</f>
        <v>0</v>
      </c>
    </row>
    <row r="35" spans="2:23" ht="12.95">
      <c r="B35" s="70" t="s">
        <v>1420</v>
      </c>
      <c r="C35" s="71">
        <v>45636.416666666664</v>
      </c>
      <c r="D35" s="70" t="s">
        <v>1468</v>
      </c>
      <c r="E35" s="70" t="s">
        <v>364</v>
      </c>
      <c r="F35" s="70" t="s">
        <v>1470</v>
      </c>
      <c r="G35" s="70"/>
      <c r="H35" s="70" t="s">
        <v>1334</v>
      </c>
      <c r="I35" s="70"/>
      <c r="J35" s="70">
        <v>0</v>
      </c>
      <c r="K35" s="70">
        <v>0</v>
      </c>
      <c r="L35" s="70">
        <v>0</v>
      </c>
      <c r="M35" s="70">
        <v>0</v>
      </c>
      <c r="N35" s="70">
        <v>1</v>
      </c>
      <c r="O35" s="70">
        <v>0</v>
      </c>
      <c r="P35" s="70">
        <v>0</v>
      </c>
      <c r="Q35" s="73" t="str">
        <f t="shared" si="1"/>
        <v>2024-12</v>
      </c>
      <c r="V35" s="70" t="s">
        <v>1469</v>
      </c>
      <c r="W35" s="73">
        <f>COUNTIF('IS｜CVレポート'!H:H,流入チャネル別顧客一覧_ユニーク!D35)</f>
        <v>0</v>
      </c>
    </row>
    <row r="36" spans="2:23" ht="12.95">
      <c r="B36" s="70" t="s">
        <v>1420</v>
      </c>
      <c r="C36" s="71">
        <v>45636.416666666664</v>
      </c>
      <c r="D36" s="70" t="s">
        <v>1479</v>
      </c>
      <c r="E36" s="70" t="s">
        <v>1480</v>
      </c>
      <c r="F36" s="70" t="s">
        <v>1482</v>
      </c>
      <c r="G36" s="70"/>
      <c r="H36" s="70" t="s">
        <v>1334</v>
      </c>
      <c r="I36" s="70"/>
      <c r="J36" s="70">
        <v>0</v>
      </c>
      <c r="K36" s="70">
        <v>0</v>
      </c>
      <c r="L36" s="70">
        <v>0</v>
      </c>
      <c r="M36" s="70">
        <v>0</v>
      </c>
      <c r="N36" s="70">
        <v>1</v>
      </c>
      <c r="O36" s="70">
        <v>0</v>
      </c>
      <c r="P36" s="70">
        <v>0</v>
      </c>
      <c r="Q36" s="73" t="str">
        <f t="shared" si="1"/>
        <v>2024-12</v>
      </c>
      <c r="V36" s="70" t="s">
        <v>1481</v>
      </c>
      <c r="W36" s="73">
        <f>COUNTIF('IS｜CVレポート'!H:H,流入チャネル別顧客一覧_ユニーク!D36)</f>
        <v>0</v>
      </c>
    </row>
    <row r="37" spans="2:23" ht="12.95">
      <c r="B37" s="70" t="s">
        <v>1420</v>
      </c>
      <c r="C37" s="71">
        <v>45636.416666666664</v>
      </c>
      <c r="D37" s="70" t="s">
        <v>1486</v>
      </c>
      <c r="E37" s="70" t="s">
        <v>1282</v>
      </c>
      <c r="F37" s="70" t="s">
        <v>1488</v>
      </c>
      <c r="G37" s="70"/>
      <c r="H37" s="70" t="s">
        <v>1334</v>
      </c>
      <c r="I37" s="70"/>
      <c r="J37" s="70">
        <v>0</v>
      </c>
      <c r="K37" s="70">
        <v>0</v>
      </c>
      <c r="L37" s="70">
        <v>0</v>
      </c>
      <c r="M37" s="70">
        <v>0</v>
      </c>
      <c r="N37" s="70">
        <v>1</v>
      </c>
      <c r="O37" s="70">
        <v>0</v>
      </c>
      <c r="P37" s="70">
        <v>0</v>
      </c>
      <c r="Q37" s="73" t="str">
        <f t="shared" si="1"/>
        <v>2024-12</v>
      </c>
      <c r="R37" s="75">
        <v>45636</v>
      </c>
      <c r="S37" s="75">
        <v>45818</v>
      </c>
      <c r="T37" s="127">
        <v>45818</v>
      </c>
      <c r="U37" s="126">
        <v>46082</v>
      </c>
      <c r="V37" s="70" t="s">
        <v>1487</v>
      </c>
      <c r="W37" s="73">
        <f>COUNTIF('IS｜CVレポート'!H:H,流入チャネル別顧客一覧_ユニーク!D37)</f>
        <v>0</v>
      </c>
    </row>
    <row r="38" spans="2:23" ht="12.95">
      <c r="B38" s="70" t="s">
        <v>1420</v>
      </c>
      <c r="C38" s="71">
        <v>45636.416666666664</v>
      </c>
      <c r="D38" s="70" t="s">
        <v>1475</v>
      </c>
      <c r="E38" s="70" t="s">
        <v>1476</v>
      </c>
      <c r="F38" s="70" t="s">
        <v>1478</v>
      </c>
      <c r="G38" s="70"/>
      <c r="H38" s="70" t="s">
        <v>1334</v>
      </c>
      <c r="I38" s="70"/>
      <c r="J38" s="70">
        <v>0</v>
      </c>
      <c r="K38" s="70">
        <v>0</v>
      </c>
      <c r="L38" s="70">
        <v>0</v>
      </c>
      <c r="M38" s="70">
        <v>0</v>
      </c>
      <c r="N38" s="70">
        <v>1</v>
      </c>
      <c r="O38" s="70">
        <v>0</v>
      </c>
      <c r="P38" s="70">
        <v>0</v>
      </c>
      <c r="Q38" s="73" t="str">
        <f t="shared" si="1"/>
        <v>2024-12</v>
      </c>
      <c r="V38" s="70" t="s">
        <v>1477</v>
      </c>
      <c r="W38" s="73">
        <f>COUNTIF('IS｜CVレポート'!H:H,流入チャネル別顧客一覧_ユニーク!D38)</f>
        <v>0</v>
      </c>
    </row>
    <row r="39" spans="2:23" ht="12.95">
      <c r="B39" s="70" t="s">
        <v>1420</v>
      </c>
      <c r="C39" s="71">
        <v>45636.416666666664</v>
      </c>
      <c r="D39" s="70" t="s">
        <v>1505</v>
      </c>
      <c r="E39" s="70" t="s">
        <v>252</v>
      </c>
      <c r="F39" s="70" t="s">
        <v>1507</v>
      </c>
      <c r="G39" s="70"/>
      <c r="H39" s="70" t="s">
        <v>1334</v>
      </c>
      <c r="I39" s="70"/>
      <c r="J39" s="70">
        <v>0</v>
      </c>
      <c r="K39" s="70">
        <v>0</v>
      </c>
      <c r="L39" s="70">
        <v>0</v>
      </c>
      <c r="M39" s="70">
        <v>0</v>
      </c>
      <c r="N39" s="70">
        <v>1</v>
      </c>
      <c r="O39" s="70">
        <v>0</v>
      </c>
      <c r="P39" s="70">
        <v>0</v>
      </c>
      <c r="Q39" s="73" t="str">
        <f t="shared" si="1"/>
        <v>2024-12</v>
      </c>
      <c r="V39" s="70" t="s">
        <v>1506</v>
      </c>
      <c r="W39" s="73">
        <f>COUNTIF('IS｜CVレポート'!H:H,流入チャネル別顧客一覧_ユニーク!D39)</f>
        <v>0</v>
      </c>
    </row>
    <row r="40" spans="2:23" ht="12.95">
      <c r="B40" s="70" t="s">
        <v>1420</v>
      </c>
      <c r="C40" s="71">
        <v>45636.416666666664</v>
      </c>
      <c r="D40" s="70" t="s">
        <v>1501</v>
      </c>
      <c r="E40" s="70" t="s">
        <v>1502</v>
      </c>
      <c r="F40" s="70" t="s">
        <v>1504</v>
      </c>
      <c r="G40" s="70"/>
      <c r="H40" s="70" t="s">
        <v>1334</v>
      </c>
      <c r="I40" s="70"/>
      <c r="J40" s="70">
        <v>0</v>
      </c>
      <c r="K40" s="70">
        <v>0</v>
      </c>
      <c r="L40" s="70">
        <v>0</v>
      </c>
      <c r="M40" s="70">
        <v>0</v>
      </c>
      <c r="N40" s="70">
        <v>1</v>
      </c>
      <c r="O40" s="70">
        <v>0</v>
      </c>
      <c r="P40" s="70">
        <v>0</v>
      </c>
      <c r="Q40" s="73" t="str">
        <f t="shared" si="1"/>
        <v>2024-12</v>
      </c>
      <c r="V40" s="70" t="s">
        <v>1503</v>
      </c>
      <c r="W40" s="73">
        <f>COUNTIF('IS｜CVレポート'!H:H,流入チャネル別顧客一覧_ユニーク!D40)</f>
        <v>0</v>
      </c>
    </row>
    <row r="41" spans="2:23" ht="12.95">
      <c r="B41" s="70" t="s">
        <v>1516</v>
      </c>
      <c r="C41" s="71">
        <v>45636.416666666664</v>
      </c>
      <c r="D41" s="70" t="s">
        <v>1539</v>
      </c>
      <c r="E41" s="70" t="s">
        <v>1540</v>
      </c>
      <c r="F41" s="70" t="s">
        <v>1542</v>
      </c>
      <c r="G41" s="70"/>
      <c r="H41" s="70" t="s">
        <v>1334</v>
      </c>
      <c r="I41" s="70"/>
      <c r="J41" s="70">
        <v>0</v>
      </c>
      <c r="K41" s="70">
        <v>0</v>
      </c>
      <c r="L41" s="70">
        <v>0</v>
      </c>
      <c r="M41" s="70">
        <v>0</v>
      </c>
      <c r="N41" s="70">
        <v>1</v>
      </c>
      <c r="O41" s="70">
        <v>0</v>
      </c>
      <c r="P41" s="70">
        <v>0</v>
      </c>
      <c r="Q41" s="73" t="str">
        <f t="shared" si="1"/>
        <v>2024-12</v>
      </c>
      <c r="R41" s="75">
        <f>C41</f>
        <v>45636.416666666664</v>
      </c>
      <c r="V41" s="70" t="s">
        <v>1541</v>
      </c>
      <c r="W41" s="73">
        <f>COUNTIF('IS｜CVレポート'!H:H,流入チャネル別顧客一覧_ユニーク!D41)</f>
        <v>0</v>
      </c>
    </row>
    <row r="42" spans="2:23" ht="12.95">
      <c r="B42" s="70" t="s">
        <v>1337</v>
      </c>
      <c r="C42" s="71">
        <v>45636.767361111109</v>
      </c>
      <c r="D42" s="70" t="s">
        <v>1384</v>
      </c>
      <c r="E42" s="70" t="s">
        <v>1385</v>
      </c>
      <c r="F42" s="70" t="s">
        <v>1387</v>
      </c>
      <c r="G42" s="70"/>
      <c r="H42" s="70" t="s">
        <v>1335</v>
      </c>
      <c r="I42" s="70"/>
      <c r="J42" s="70">
        <v>0</v>
      </c>
      <c r="K42" s="70">
        <v>0</v>
      </c>
      <c r="L42" s="70">
        <v>0</v>
      </c>
      <c r="M42" s="70">
        <v>0</v>
      </c>
      <c r="N42" s="70">
        <v>0</v>
      </c>
      <c r="O42" s="70">
        <v>1</v>
      </c>
      <c r="P42" s="70">
        <v>0</v>
      </c>
      <c r="Q42" s="73" t="str">
        <f t="shared" si="1"/>
        <v>2024-12</v>
      </c>
      <c r="R42" s="75">
        <f>C42</f>
        <v>45636.767361111109</v>
      </c>
      <c r="S42" s="75">
        <v>45627</v>
      </c>
      <c r="V42" s="70" t="s">
        <v>1386</v>
      </c>
      <c r="W42" s="73">
        <f>COUNTIF('IS｜CVレポート'!H:H,流入チャネル別顧客一覧_ユニーク!D42)</f>
        <v>0</v>
      </c>
    </row>
    <row r="43" spans="2:23" ht="12.95">
      <c r="B43" s="70" t="s">
        <v>1337</v>
      </c>
      <c r="C43" s="71">
        <v>45639.508333333331</v>
      </c>
      <c r="D43" s="70" t="s">
        <v>1388</v>
      </c>
      <c r="E43" s="70" t="s">
        <v>1389</v>
      </c>
      <c r="F43" s="70" t="s">
        <v>1390</v>
      </c>
      <c r="G43" s="70"/>
      <c r="H43" s="70" t="s">
        <v>1332</v>
      </c>
      <c r="I43" s="70"/>
      <c r="J43" s="70">
        <v>0</v>
      </c>
      <c r="K43" s="70">
        <v>0</v>
      </c>
      <c r="L43" s="70">
        <v>1</v>
      </c>
      <c r="M43" s="70">
        <v>0</v>
      </c>
      <c r="N43" s="70">
        <v>0</v>
      </c>
      <c r="O43" s="70">
        <v>0</v>
      </c>
      <c r="P43" s="70">
        <v>0</v>
      </c>
      <c r="Q43" s="73" t="str">
        <f t="shared" si="1"/>
        <v>2024-12</v>
      </c>
      <c r="R43" s="75">
        <f>C43</f>
        <v>45639.508333333331</v>
      </c>
      <c r="S43" s="75">
        <v>45627</v>
      </c>
      <c r="V43" s="70" t="s">
        <v>1386</v>
      </c>
      <c r="W43" s="73">
        <f>COUNTIF('IS｜CVレポート'!H:H,流入チャネル別顧客一覧_ユニーク!D43)</f>
        <v>0</v>
      </c>
    </row>
    <row r="44" spans="2:23" ht="12.95">
      <c r="B44" s="70" t="s">
        <v>1337</v>
      </c>
      <c r="C44" s="71">
        <v>45644.44027777778</v>
      </c>
      <c r="D44" s="70" t="s">
        <v>1391</v>
      </c>
      <c r="E44" s="70" t="s">
        <v>1392</v>
      </c>
      <c r="F44" s="70" t="s">
        <v>1394</v>
      </c>
      <c r="G44" s="70"/>
      <c r="H44" s="70" t="s">
        <v>1333</v>
      </c>
      <c r="I44" s="70"/>
      <c r="J44" s="70">
        <v>0</v>
      </c>
      <c r="K44" s="70">
        <v>0</v>
      </c>
      <c r="L44" s="70">
        <v>0</v>
      </c>
      <c r="M44" s="70">
        <v>1</v>
      </c>
      <c r="N44" s="70">
        <v>0</v>
      </c>
      <c r="O44" s="70">
        <v>0</v>
      </c>
      <c r="P44" s="70">
        <v>0</v>
      </c>
      <c r="Q44" s="73" t="str">
        <f t="shared" si="1"/>
        <v>2024-12</v>
      </c>
      <c r="V44" s="70" t="s">
        <v>1393</v>
      </c>
      <c r="W44" s="73">
        <f>COUNTIF('IS｜CVレポート'!H:H,流入チャネル別顧客一覧_ユニーク!D44)</f>
        <v>0</v>
      </c>
    </row>
    <row r="45" spans="2:23" ht="12.95">
      <c r="B45" s="70" t="s">
        <v>1516</v>
      </c>
      <c r="C45" s="71">
        <v>45664.416666666664</v>
      </c>
      <c r="D45" s="70" t="s">
        <v>1547</v>
      </c>
      <c r="E45" s="70" t="s">
        <v>1548</v>
      </c>
      <c r="F45" s="70" t="s">
        <v>1550</v>
      </c>
      <c r="G45" s="70"/>
      <c r="H45" s="70" t="s">
        <v>1334</v>
      </c>
      <c r="I45" s="70"/>
      <c r="J45" s="70">
        <v>0</v>
      </c>
      <c r="K45" s="70">
        <v>0</v>
      </c>
      <c r="L45" s="70">
        <v>0</v>
      </c>
      <c r="M45" s="70">
        <v>0</v>
      </c>
      <c r="N45" s="70">
        <v>1</v>
      </c>
      <c r="O45" s="70">
        <v>0</v>
      </c>
      <c r="P45" s="70">
        <v>0</v>
      </c>
      <c r="Q45" s="73" t="str">
        <f t="shared" si="1"/>
        <v>2025-01</v>
      </c>
      <c r="V45" s="70" t="s">
        <v>1549</v>
      </c>
      <c r="W45" s="73">
        <f>COUNTIF('IS｜CVレポート'!H:H,流入チャネル別顧客一覧_ユニーク!D45)</f>
        <v>0</v>
      </c>
    </row>
    <row r="46" spans="2:23" ht="12.95">
      <c r="B46" s="70" t="s">
        <v>1516</v>
      </c>
      <c r="C46" s="71">
        <v>45664.416666666664</v>
      </c>
      <c r="D46" s="70" t="s">
        <v>1551</v>
      </c>
      <c r="E46" s="70" t="s">
        <v>1552</v>
      </c>
      <c r="F46" s="70" t="s">
        <v>1554</v>
      </c>
      <c r="G46" s="70"/>
      <c r="H46" s="70" t="s">
        <v>1334</v>
      </c>
      <c r="I46" s="70"/>
      <c r="J46" s="70">
        <v>0</v>
      </c>
      <c r="K46" s="70">
        <v>0</v>
      </c>
      <c r="L46" s="70">
        <v>0</v>
      </c>
      <c r="M46" s="70">
        <v>0</v>
      </c>
      <c r="N46" s="70">
        <v>1</v>
      </c>
      <c r="O46" s="70">
        <v>0</v>
      </c>
      <c r="P46" s="70">
        <v>0</v>
      </c>
      <c r="Q46" s="73" t="str">
        <f t="shared" si="1"/>
        <v>2025-01</v>
      </c>
      <c r="V46" s="70" t="s">
        <v>1553</v>
      </c>
      <c r="W46" s="73">
        <f>COUNTIF('IS｜CVレポート'!H:H,流入チャネル別顧客一覧_ユニーク!D46)</f>
        <v>0</v>
      </c>
    </row>
    <row r="47" spans="2:23" ht="12.95">
      <c r="B47" s="70" t="s">
        <v>1516</v>
      </c>
      <c r="C47" s="71">
        <v>45664.416666666664</v>
      </c>
      <c r="D47" s="70" t="s">
        <v>1543</v>
      </c>
      <c r="E47" s="70" t="s">
        <v>1544</v>
      </c>
      <c r="F47" s="70" t="s">
        <v>1546</v>
      </c>
      <c r="G47" s="70"/>
      <c r="H47" s="70" t="s">
        <v>1334</v>
      </c>
      <c r="I47" s="70"/>
      <c r="J47" s="70">
        <v>0</v>
      </c>
      <c r="K47" s="70">
        <v>0</v>
      </c>
      <c r="L47" s="70">
        <v>0</v>
      </c>
      <c r="M47" s="70">
        <v>0</v>
      </c>
      <c r="N47" s="70">
        <v>1</v>
      </c>
      <c r="O47" s="70">
        <v>0</v>
      </c>
      <c r="P47" s="70">
        <v>0</v>
      </c>
      <c r="Q47" s="73" t="str">
        <f t="shared" si="1"/>
        <v>2025-01</v>
      </c>
      <c r="V47" s="70" t="s">
        <v>1545</v>
      </c>
      <c r="W47" s="73">
        <f>COUNTIF('IS｜CVレポート'!H:H,流入チャネル別顧客一覧_ユニーク!D47)</f>
        <v>0</v>
      </c>
    </row>
    <row r="48" spans="2:23" ht="12.95">
      <c r="B48" s="70" t="s">
        <v>1516</v>
      </c>
      <c r="C48" s="71">
        <v>45664.615277777775</v>
      </c>
      <c r="D48" s="70" t="s">
        <v>1555</v>
      </c>
      <c r="E48" s="70" t="s">
        <v>1556</v>
      </c>
      <c r="F48" s="70" t="s">
        <v>1557</v>
      </c>
      <c r="G48" s="70"/>
      <c r="H48" s="70" t="s">
        <v>1333</v>
      </c>
      <c r="I48" s="70"/>
      <c r="J48" s="70">
        <v>0</v>
      </c>
      <c r="K48" s="70">
        <v>0</v>
      </c>
      <c r="L48" s="70">
        <v>0</v>
      </c>
      <c r="M48" s="70">
        <v>1</v>
      </c>
      <c r="N48" s="70">
        <v>0</v>
      </c>
      <c r="O48" s="70">
        <v>0</v>
      </c>
      <c r="P48" s="70">
        <v>0</v>
      </c>
      <c r="Q48" s="73" t="str">
        <f t="shared" si="1"/>
        <v>2025-01</v>
      </c>
      <c r="V48" s="70"/>
      <c r="W48" s="73">
        <f>COUNTIF('IS｜CVレポート'!H:H,流入チャネル別顧客一覧_ユニーク!D48)</f>
        <v>0</v>
      </c>
    </row>
    <row r="49" spans="2:23" ht="12.95">
      <c r="B49" s="70" t="s">
        <v>1516</v>
      </c>
      <c r="C49" s="71">
        <v>45687.713888888888</v>
      </c>
      <c r="D49" s="70" t="s">
        <v>1558</v>
      </c>
      <c r="E49" s="70" t="s">
        <v>1559</v>
      </c>
      <c r="F49" s="70" t="s">
        <v>1560</v>
      </c>
      <c r="G49" s="70"/>
      <c r="H49" s="70" t="s">
        <v>1333</v>
      </c>
      <c r="I49" s="70"/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3" t="str">
        <f t="shared" si="1"/>
        <v>2025-01</v>
      </c>
      <c r="V49" s="70"/>
      <c r="W49" s="73">
        <f>COUNTIF('IS｜CVレポート'!H:H,流入チャネル別顧客一覧_ユニーク!D49)</f>
        <v>0</v>
      </c>
    </row>
    <row r="50" spans="2:23" ht="12.95">
      <c r="B50" s="70" t="s">
        <v>1420</v>
      </c>
      <c r="C50" s="71">
        <v>45687.918749999997</v>
      </c>
      <c r="D50" s="70" t="s">
        <v>1508</v>
      </c>
      <c r="E50" s="70" t="s">
        <v>1509</v>
      </c>
      <c r="F50" s="70" t="s">
        <v>1511</v>
      </c>
      <c r="G50" s="70"/>
      <c r="H50" s="70" t="s">
        <v>1332</v>
      </c>
      <c r="I50" s="70"/>
      <c r="J50" s="70">
        <v>0</v>
      </c>
      <c r="K50" s="70">
        <v>0</v>
      </c>
      <c r="L50" s="70">
        <v>1</v>
      </c>
      <c r="M50" s="70">
        <v>0</v>
      </c>
      <c r="N50" s="70">
        <v>0</v>
      </c>
      <c r="O50" s="70">
        <v>0</v>
      </c>
      <c r="P50" s="70">
        <v>0</v>
      </c>
      <c r="Q50" s="73" t="str">
        <f t="shared" si="1"/>
        <v>2025-01</v>
      </c>
      <c r="V50" s="70" t="s">
        <v>1510</v>
      </c>
      <c r="W50" s="73">
        <f>COUNTIF('IS｜CVレポート'!H:H,流入チャネル別顧客一覧_ユニーク!D50)</f>
        <v>0</v>
      </c>
    </row>
    <row r="51" spans="2:23" ht="12.95">
      <c r="B51" s="70" t="s">
        <v>1516</v>
      </c>
      <c r="C51" s="71">
        <v>45688.375694444447</v>
      </c>
      <c r="D51" s="70" t="s">
        <v>1508</v>
      </c>
      <c r="E51" s="70" t="s">
        <v>1561</v>
      </c>
      <c r="F51" s="70" t="s">
        <v>1562</v>
      </c>
      <c r="G51" s="70"/>
      <c r="H51" s="70" t="s">
        <v>1332</v>
      </c>
      <c r="I51" s="70"/>
      <c r="J51" s="70">
        <v>0</v>
      </c>
      <c r="K51" s="70">
        <v>0</v>
      </c>
      <c r="L51" s="70">
        <v>1</v>
      </c>
      <c r="M51" s="70">
        <v>0</v>
      </c>
      <c r="N51" s="70">
        <v>0</v>
      </c>
      <c r="O51" s="70">
        <v>0</v>
      </c>
      <c r="P51" s="70">
        <v>0</v>
      </c>
      <c r="Q51" s="73" t="str">
        <f t="shared" si="1"/>
        <v>2025-01</v>
      </c>
      <c r="V51" s="70"/>
      <c r="W51" s="73">
        <f>COUNTIF('IS｜CVレポート'!H:H,流入チャネル別顧客一覧_ユニーク!D51)</f>
        <v>0</v>
      </c>
    </row>
    <row r="52" spans="2:23" ht="12.95">
      <c r="B52" s="70" t="s">
        <v>1516</v>
      </c>
      <c r="C52" s="71">
        <v>45688.460416666669</v>
      </c>
      <c r="D52" s="70" t="s">
        <v>1563</v>
      </c>
      <c r="E52" s="70" t="s">
        <v>1564</v>
      </c>
      <c r="F52" s="70" t="s">
        <v>1394</v>
      </c>
      <c r="G52" s="70"/>
      <c r="H52" s="70" t="s">
        <v>1333</v>
      </c>
      <c r="I52" s="70"/>
      <c r="J52" s="70">
        <v>0</v>
      </c>
      <c r="K52" s="70">
        <v>0</v>
      </c>
      <c r="L52" s="70">
        <v>0</v>
      </c>
      <c r="M52" s="70">
        <v>1</v>
      </c>
      <c r="N52" s="70">
        <v>0</v>
      </c>
      <c r="O52" s="70">
        <v>0</v>
      </c>
      <c r="P52" s="70">
        <v>0</v>
      </c>
      <c r="Q52" s="73" t="str">
        <f t="shared" si="1"/>
        <v>2025-01</v>
      </c>
      <c r="V52" s="70"/>
      <c r="W52" s="73">
        <f>COUNTIF('IS｜CVレポート'!H:H,流入チャネル別顧客一覧_ユニーク!D52)</f>
        <v>0</v>
      </c>
    </row>
    <row r="53" spans="2:23" ht="12.95">
      <c r="B53" s="70" t="s">
        <v>1516</v>
      </c>
      <c r="C53" s="71">
        <v>45692.65902777778</v>
      </c>
      <c r="D53" s="70" t="s">
        <v>1565</v>
      </c>
      <c r="E53" s="70" t="s">
        <v>1566</v>
      </c>
      <c r="F53" s="70" t="s">
        <v>1567</v>
      </c>
      <c r="G53" s="70"/>
      <c r="H53" s="70" t="s">
        <v>1333</v>
      </c>
      <c r="I53" s="70"/>
      <c r="J53" s="70">
        <v>0</v>
      </c>
      <c r="K53" s="70">
        <v>0</v>
      </c>
      <c r="L53" s="70">
        <v>0</v>
      </c>
      <c r="M53" s="70">
        <v>1</v>
      </c>
      <c r="N53" s="70">
        <v>0</v>
      </c>
      <c r="O53" s="70">
        <v>0</v>
      </c>
      <c r="P53" s="70">
        <v>0</v>
      </c>
      <c r="Q53" s="73" t="str">
        <f t="shared" si="1"/>
        <v>2025-02</v>
      </c>
      <c r="V53" s="70"/>
      <c r="W53" s="73">
        <f>COUNTIF('IS｜CVレポート'!H:H,流入チャネル別顧客一覧_ユニーク!D53)</f>
        <v>0</v>
      </c>
    </row>
    <row r="54" spans="2:23" ht="12.95">
      <c r="B54" s="70" t="s">
        <v>1337</v>
      </c>
      <c r="C54" s="71">
        <v>45694.530555555553</v>
      </c>
      <c r="D54" s="70" t="s">
        <v>1395</v>
      </c>
      <c r="E54" s="70" t="s">
        <v>1396</v>
      </c>
      <c r="F54" s="70" t="s">
        <v>1398</v>
      </c>
      <c r="G54" s="70"/>
      <c r="H54" s="70" t="s">
        <v>1333</v>
      </c>
      <c r="I54" s="70"/>
      <c r="J54" s="70">
        <v>0</v>
      </c>
      <c r="K54" s="70">
        <v>0</v>
      </c>
      <c r="L54" s="70">
        <v>0</v>
      </c>
      <c r="M54" s="70">
        <v>1</v>
      </c>
      <c r="N54" s="70">
        <v>0</v>
      </c>
      <c r="O54" s="70">
        <v>0</v>
      </c>
      <c r="P54" s="70">
        <v>0</v>
      </c>
      <c r="Q54" s="73" t="str">
        <f t="shared" si="1"/>
        <v>2025-02</v>
      </c>
      <c r="R54" s="75">
        <f>C54</f>
        <v>45694.530555555553</v>
      </c>
      <c r="S54" s="75">
        <v>45336</v>
      </c>
      <c r="V54" s="70" t="s">
        <v>1397</v>
      </c>
      <c r="W54" s="73">
        <f>COUNTIF('IS｜CVレポート'!H:H,流入チャネル別顧客一覧_ユニーク!D54)</f>
        <v>0</v>
      </c>
    </row>
    <row r="55" spans="2:23" ht="12.95">
      <c r="B55" s="70" t="s">
        <v>1516</v>
      </c>
      <c r="C55" s="71">
        <v>45699.907638888886</v>
      </c>
      <c r="D55" s="70" t="s">
        <v>1568</v>
      </c>
      <c r="E55" s="70" t="s">
        <v>1569</v>
      </c>
      <c r="F55" s="70" t="s">
        <v>1570</v>
      </c>
      <c r="G55" s="70"/>
      <c r="H55" s="70" t="s">
        <v>1332</v>
      </c>
      <c r="I55" s="70"/>
      <c r="J55" s="70">
        <v>0</v>
      </c>
      <c r="K55" s="70">
        <v>0</v>
      </c>
      <c r="L55" s="70">
        <v>1</v>
      </c>
      <c r="M55" s="70">
        <v>0</v>
      </c>
      <c r="N55" s="70">
        <v>0</v>
      </c>
      <c r="O55" s="70">
        <v>0</v>
      </c>
      <c r="P55" s="70">
        <v>0</v>
      </c>
      <c r="Q55" s="73" t="str">
        <f t="shared" si="1"/>
        <v>2025-02</v>
      </c>
      <c r="V55" s="70"/>
      <c r="W55" s="73">
        <f>COUNTIF('IS｜CVレポート'!H:H,流入チャネル別顧客一覧_ユニーク!D55)</f>
        <v>0</v>
      </c>
    </row>
    <row r="56" spans="2:23" ht="12.95">
      <c r="B56" s="70" t="s">
        <v>1516</v>
      </c>
      <c r="C56" s="71">
        <v>45705.416666666664</v>
      </c>
      <c r="D56" s="70" t="s">
        <v>1680</v>
      </c>
      <c r="E56" s="70" t="s">
        <v>1681</v>
      </c>
      <c r="F56" s="70" t="s">
        <v>1683</v>
      </c>
      <c r="G56" s="70"/>
      <c r="H56" s="70" t="s">
        <v>1334</v>
      </c>
      <c r="I56" s="70"/>
      <c r="J56" s="70">
        <v>0</v>
      </c>
      <c r="K56" s="70">
        <v>0</v>
      </c>
      <c r="L56" s="70">
        <v>0</v>
      </c>
      <c r="M56" s="70">
        <v>0</v>
      </c>
      <c r="N56" s="70">
        <v>1</v>
      </c>
      <c r="O56" s="70">
        <v>0</v>
      </c>
      <c r="P56" s="70">
        <v>0</v>
      </c>
      <c r="Q56" s="73" t="str">
        <f t="shared" si="1"/>
        <v>2025-02</v>
      </c>
      <c r="V56" s="70" t="s">
        <v>1682</v>
      </c>
      <c r="W56" s="73">
        <f>COUNTIF('IS｜CVレポート'!H:H,流入チャネル別顧客一覧_ユニーク!D56)</f>
        <v>0</v>
      </c>
    </row>
    <row r="57" spans="2:23" ht="12.95">
      <c r="B57" s="70" t="s">
        <v>1516</v>
      </c>
      <c r="C57" s="71">
        <v>45705.416666666664</v>
      </c>
      <c r="D57" s="70" t="s">
        <v>1631</v>
      </c>
      <c r="E57" s="70" t="s">
        <v>1632</v>
      </c>
      <c r="F57" s="70" t="s">
        <v>1634</v>
      </c>
      <c r="G57" s="70"/>
      <c r="H57" s="70" t="s">
        <v>1334</v>
      </c>
      <c r="I57" s="70"/>
      <c r="J57" s="70">
        <v>0</v>
      </c>
      <c r="K57" s="70">
        <v>0</v>
      </c>
      <c r="L57" s="70">
        <v>0</v>
      </c>
      <c r="M57" s="70">
        <v>0</v>
      </c>
      <c r="N57" s="70">
        <v>1</v>
      </c>
      <c r="O57" s="70">
        <v>0</v>
      </c>
      <c r="P57" s="70">
        <v>0</v>
      </c>
      <c r="Q57" s="73" t="str">
        <f t="shared" si="1"/>
        <v>2025-02</v>
      </c>
      <c r="V57" s="70" t="s">
        <v>1633</v>
      </c>
      <c r="W57" s="73">
        <f>COUNTIF('IS｜CVレポート'!H:H,流入チャネル別顧客一覧_ユニーク!D57)</f>
        <v>0</v>
      </c>
    </row>
    <row r="58" spans="2:23" ht="12.95">
      <c r="B58" s="70" t="s">
        <v>1516</v>
      </c>
      <c r="C58" s="71">
        <v>45705.416666666664</v>
      </c>
      <c r="D58" s="70" t="s">
        <v>1749</v>
      </c>
      <c r="E58" s="70" t="s">
        <v>1750</v>
      </c>
      <c r="F58" s="70" t="s">
        <v>1751</v>
      </c>
      <c r="G58" s="70"/>
      <c r="H58" s="70" t="s">
        <v>1334</v>
      </c>
      <c r="I58" s="70"/>
      <c r="J58" s="70">
        <v>0</v>
      </c>
      <c r="K58" s="70">
        <v>0</v>
      </c>
      <c r="L58" s="70">
        <v>0</v>
      </c>
      <c r="M58" s="70">
        <v>0</v>
      </c>
      <c r="N58" s="70">
        <v>1</v>
      </c>
      <c r="O58" s="70">
        <v>0</v>
      </c>
      <c r="P58" s="70">
        <v>0</v>
      </c>
      <c r="Q58" s="73" t="str">
        <f t="shared" si="1"/>
        <v>2025-02</v>
      </c>
      <c r="V58" s="70"/>
      <c r="W58" s="73">
        <f>COUNTIF('IS｜CVレポート'!H:H,流入チャネル別顧客一覧_ユニーク!D58)</f>
        <v>0</v>
      </c>
    </row>
    <row r="59" spans="2:23" ht="12.95">
      <c r="B59" s="70" t="s">
        <v>1516</v>
      </c>
      <c r="C59" s="71">
        <v>45705.416666666664</v>
      </c>
      <c r="D59" s="70" t="s">
        <v>1792</v>
      </c>
      <c r="E59" s="70" t="s">
        <v>1793</v>
      </c>
      <c r="F59" s="70" t="s">
        <v>1795</v>
      </c>
      <c r="G59" s="70"/>
      <c r="H59" s="70" t="s">
        <v>1334</v>
      </c>
      <c r="I59" s="70"/>
      <c r="J59" s="70">
        <v>0</v>
      </c>
      <c r="K59" s="70">
        <v>0</v>
      </c>
      <c r="L59" s="70">
        <v>0</v>
      </c>
      <c r="M59" s="70">
        <v>0</v>
      </c>
      <c r="N59" s="70">
        <v>1</v>
      </c>
      <c r="O59" s="70">
        <v>0</v>
      </c>
      <c r="P59" s="70">
        <v>0</v>
      </c>
      <c r="Q59" s="73" t="str">
        <f t="shared" si="1"/>
        <v>2025-02</v>
      </c>
      <c r="V59" s="70" t="s">
        <v>1794</v>
      </c>
      <c r="W59" s="73">
        <f>COUNTIF('IS｜CVレポート'!H:H,流入チャネル別顧客一覧_ユニーク!D59)</f>
        <v>0</v>
      </c>
    </row>
    <row r="60" spans="2:23" ht="12.95">
      <c r="B60" s="70" t="s">
        <v>1516</v>
      </c>
      <c r="C60" s="71">
        <v>45705.416666666664</v>
      </c>
      <c r="D60" s="70" t="s">
        <v>1666</v>
      </c>
      <c r="E60" s="70" t="s">
        <v>1667</v>
      </c>
      <c r="F60" s="70" t="s">
        <v>1669</v>
      </c>
      <c r="G60" s="70"/>
      <c r="H60" s="70" t="s">
        <v>1334</v>
      </c>
      <c r="I60" s="70"/>
      <c r="J60" s="70">
        <v>0</v>
      </c>
      <c r="K60" s="70">
        <v>0</v>
      </c>
      <c r="L60" s="70">
        <v>0</v>
      </c>
      <c r="M60" s="70">
        <v>0</v>
      </c>
      <c r="N60" s="70">
        <v>1</v>
      </c>
      <c r="O60" s="70">
        <v>0</v>
      </c>
      <c r="P60" s="70">
        <v>0</v>
      </c>
      <c r="Q60" s="73" t="str">
        <f t="shared" si="1"/>
        <v>2025-02</v>
      </c>
      <c r="V60" s="70" t="s">
        <v>1668</v>
      </c>
      <c r="W60" s="73">
        <f>COUNTIF('IS｜CVレポート'!H:H,流入チャネル別顧客一覧_ユニーク!D60)</f>
        <v>0</v>
      </c>
    </row>
    <row r="61" spans="2:23" ht="12.95">
      <c r="B61" s="70" t="s">
        <v>1516</v>
      </c>
      <c r="C61" s="71">
        <v>45705.416666666664</v>
      </c>
      <c r="D61" s="70" t="s">
        <v>1587</v>
      </c>
      <c r="E61" s="70" t="s">
        <v>1588</v>
      </c>
      <c r="F61" s="70" t="s">
        <v>1589</v>
      </c>
      <c r="G61" s="70"/>
      <c r="H61" s="70" t="s">
        <v>1334</v>
      </c>
      <c r="I61" s="70"/>
      <c r="J61" s="70">
        <v>0</v>
      </c>
      <c r="K61" s="70">
        <v>0</v>
      </c>
      <c r="L61" s="70">
        <v>0</v>
      </c>
      <c r="M61" s="70">
        <v>0</v>
      </c>
      <c r="N61" s="70">
        <v>1</v>
      </c>
      <c r="O61" s="70">
        <v>0</v>
      </c>
      <c r="P61" s="70">
        <v>0</v>
      </c>
      <c r="Q61" s="73" t="str">
        <f t="shared" si="1"/>
        <v>2025-02</v>
      </c>
      <c r="V61" s="70"/>
      <c r="W61" s="73">
        <f>COUNTIF('IS｜CVレポート'!H:H,流入チャネル別顧客一覧_ユニーク!D61)</f>
        <v>0</v>
      </c>
    </row>
    <row r="62" spans="2:23" ht="12.95">
      <c r="B62" s="70" t="s">
        <v>1516</v>
      </c>
      <c r="C62" s="71">
        <v>45705.416666666664</v>
      </c>
      <c r="D62" s="70" t="s">
        <v>1605</v>
      </c>
      <c r="E62" s="70" t="s">
        <v>1606</v>
      </c>
      <c r="F62" s="70" t="s">
        <v>1608</v>
      </c>
      <c r="G62" s="70"/>
      <c r="H62" s="70" t="s">
        <v>1334</v>
      </c>
      <c r="I62" s="70"/>
      <c r="J62" s="70">
        <v>0</v>
      </c>
      <c r="K62" s="70">
        <v>0</v>
      </c>
      <c r="L62" s="70">
        <v>0</v>
      </c>
      <c r="M62" s="70">
        <v>0</v>
      </c>
      <c r="N62" s="70">
        <v>1</v>
      </c>
      <c r="O62" s="70">
        <v>0</v>
      </c>
      <c r="P62" s="70">
        <v>0</v>
      </c>
      <c r="Q62" s="73" t="str">
        <f t="shared" si="1"/>
        <v>2025-02</v>
      </c>
      <c r="V62" s="70" t="s">
        <v>1607</v>
      </c>
      <c r="W62" s="73">
        <f>COUNTIF('IS｜CVレポート'!H:H,流入チャネル別顧客一覧_ユニーク!D62)</f>
        <v>0</v>
      </c>
    </row>
    <row r="63" spans="2:23" ht="12.95">
      <c r="B63" s="70" t="s">
        <v>1516</v>
      </c>
      <c r="C63" s="71">
        <v>45705.416666666664</v>
      </c>
      <c r="D63" s="70" t="s">
        <v>1688</v>
      </c>
      <c r="E63" s="70" t="s">
        <v>414</v>
      </c>
      <c r="F63" s="70" t="s">
        <v>1690</v>
      </c>
      <c r="G63" s="70"/>
      <c r="H63" s="70" t="s">
        <v>1334</v>
      </c>
      <c r="I63" s="70"/>
      <c r="J63" s="70">
        <v>0</v>
      </c>
      <c r="K63" s="70">
        <v>0</v>
      </c>
      <c r="L63" s="70">
        <v>0</v>
      </c>
      <c r="M63" s="70">
        <v>0</v>
      </c>
      <c r="N63" s="70">
        <v>1</v>
      </c>
      <c r="O63" s="70">
        <v>0</v>
      </c>
      <c r="P63" s="70">
        <v>0</v>
      </c>
      <c r="Q63" s="73" t="str">
        <f t="shared" si="1"/>
        <v>2025-02</v>
      </c>
      <c r="V63" s="70" t="s">
        <v>1689</v>
      </c>
      <c r="W63" s="73">
        <f>COUNTIF('IS｜CVレポート'!H:H,流入チャネル別顧客一覧_ユニーク!D63)</f>
        <v>0</v>
      </c>
    </row>
    <row r="64" spans="2:23" ht="12.95">
      <c r="B64" s="70" t="s">
        <v>1516</v>
      </c>
      <c r="C64" s="71">
        <v>45705.416666666664</v>
      </c>
      <c r="D64" s="70" t="s">
        <v>1745</v>
      </c>
      <c r="E64" s="70" t="s">
        <v>1746</v>
      </c>
      <c r="F64" s="70" t="s">
        <v>1748</v>
      </c>
      <c r="G64" s="70"/>
      <c r="H64" s="70" t="s">
        <v>1334</v>
      </c>
      <c r="I64" s="70"/>
      <c r="J64" s="70">
        <v>0</v>
      </c>
      <c r="K64" s="70">
        <v>0</v>
      </c>
      <c r="L64" s="70">
        <v>0</v>
      </c>
      <c r="M64" s="70">
        <v>0</v>
      </c>
      <c r="N64" s="70">
        <v>1</v>
      </c>
      <c r="O64" s="70">
        <v>0</v>
      </c>
      <c r="P64" s="70">
        <v>0</v>
      </c>
      <c r="Q64" s="73" t="str">
        <f t="shared" si="1"/>
        <v>2025-02</v>
      </c>
      <c r="V64" s="70" t="s">
        <v>1747</v>
      </c>
      <c r="W64" s="73">
        <f>COUNTIF('IS｜CVレポート'!H:H,流入チャネル別顧客一覧_ユニーク!D64)</f>
        <v>0</v>
      </c>
    </row>
    <row r="65" spans="2:23" ht="12.95">
      <c r="B65" s="70" t="s">
        <v>1516</v>
      </c>
      <c r="C65" s="71">
        <v>45705.416666666664</v>
      </c>
      <c r="D65" s="70" t="s">
        <v>1684</v>
      </c>
      <c r="E65" s="70" t="s">
        <v>1685</v>
      </c>
      <c r="F65" s="70" t="s">
        <v>1687</v>
      </c>
      <c r="G65" s="70"/>
      <c r="H65" s="70" t="s">
        <v>1334</v>
      </c>
      <c r="I65" s="70"/>
      <c r="J65" s="70">
        <v>0</v>
      </c>
      <c r="K65" s="70">
        <v>0</v>
      </c>
      <c r="L65" s="70">
        <v>0</v>
      </c>
      <c r="M65" s="70">
        <v>0</v>
      </c>
      <c r="N65" s="70">
        <v>1</v>
      </c>
      <c r="O65" s="70">
        <v>0</v>
      </c>
      <c r="P65" s="70">
        <v>0</v>
      </c>
      <c r="Q65" s="73" t="str">
        <f t="shared" si="1"/>
        <v>2025-02</v>
      </c>
      <c r="V65" s="70" t="s">
        <v>1686</v>
      </c>
      <c r="W65" s="73">
        <f>COUNTIF('IS｜CVレポート'!H:H,流入チャネル別顧客一覧_ユニーク!D65)</f>
        <v>0</v>
      </c>
    </row>
    <row r="66" spans="2:23" ht="12.95">
      <c r="B66" s="70" t="s">
        <v>1516</v>
      </c>
      <c r="C66" s="71">
        <v>45705.416666666664</v>
      </c>
      <c r="D66" s="70" t="s">
        <v>1660</v>
      </c>
      <c r="E66" s="70" t="s">
        <v>1078</v>
      </c>
      <c r="F66" s="70" t="s">
        <v>1662</v>
      </c>
      <c r="G66" s="70"/>
      <c r="H66" s="70" t="s">
        <v>1334</v>
      </c>
      <c r="I66" s="70"/>
      <c r="J66" s="70">
        <v>0</v>
      </c>
      <c r="K66" s="70">
        <v>0</v>
      </c>
      <c r="L66" s="70">
        <v>0</v>
      </c>
      <c r="M66" s="70">
        <v>0</v>
      </c>
      <c r="N66" s="70">
        <v>1</v>
      </c>
      <c r="O66" s="70">
        <v>0</v>
      </c>
      <c r="P66" s="70">
        <v>0</v>
      </c>
      <c r="Q66" s="73" t="str">
        <f t="shared" ref="Q66:Q97" si="2">TEXT(C66, "yyyy-mm")</f>
        <v>2025-02</v>
      </c>
      <c r="V66" s="70" t="s">
        <v>1661</v>
      </c>
      <c r="W66" s="73">
        <f>COUNTIF('IS｜CVレポート'!H:H,流入チャネル別顧客一覧_ユニーク!D66)</f>
        <v>0</v>
      </c>
    </row>
    <row r="67" spans="2:23" ht="12.95">
      <c r="B67" s="70" t="s">
        <v>1516</v>
      </c>
      <c r="C67" s="71">
        <v>45705.416666666664</v>
      </c>
      <c r="D67" s="70" t="s">
        <v>1656</v>
      </c>
      <c r="E67" s="70" t="s">
        <v>1657</v>
      </c>
      <c r="F67" s="70" t="s">
        <v>1659</v>
      </c>
      <c r="G67" s="70"/>
      <c r="H67" s="70" t="s">
        <v>1334</v>
      </c>
      <c r="I67" s="70"/>
      <c r="J67" s="70">
        <v>0</v>
      </c>
      <c r="K67" s="70">
        <v>0</v>
      </c>
      <c r="L67" s="70">
        <v>0</v>
      </c>
      <c r="M67" s="70">
        <v>0</v>
      </c>
      <c r="N67" s="70">
        <v>1</v>
      </c>
      <c r="O67" s="70">
        <v>0</v>
      </c>
      <c r="P67" s="70">
        <v>0</v>
      </c>
      <c r="Q67" s="73" t="str">
        <f t="shared" si="2"/>
        <v>2025-02</v>
      </c>
      <c r="R67" s="75">
        <f>C67</f>
        <v>45705.416666666664</v>
      </c>
      <c r="V67" s="70" t="s">
        <v>1658</v>
      </c>
      <c r="W67" s="73">
        <f>COUNTIF('IS｜CVレポート'!H:H,流入チャネル別顧客一覧_ユニーク!D67)</f>
        <v>0</v>
      </c>
    </row>
    <row r="68" spans="2:23" ht="12.95">
      <c r="B68" s="70" t="s">
        <v>1516</v>
      </c>
      <c r="C68" s="71">
        <v>45705.416666666664</v>
      </c>
      <c r="D68" s="70" t="s">
        <v>1738</v>
      </c>
      <c r="E68" s="70" t="s">
        <v>1739</v>
      </c>
      <c r="F68" s="70" t="s">
        <v>1741</v>
      </c>
      <c r="G68" s="70"/>
      <c r="H68" s="70" t="s">
        <v>1334</v>
      </c>
      <c r="I68" s="70"/>
      <c r="J68" s="70">
        <v>0</v>
      </c>
      <c r="K68" s="70">
        <v>0</v>
      </c>
      <c r="L68" s="70">
        <v>0</v>
      </c>
      <c r="M68" s="70">
        <v>0</v>
      </c>
      <c r="N68" s="70">
        <v>1</v>
      </c>
      <c r="O68" s="70">
        <v>0</v>
      </c>
      <c r="P68" s="70">
        <v>0</v>
      </c>
      <c r="Q68" s="73" t="str">
        <f t="shared" si="2"/>
        <v>2025-02</v>
      </c>
      <c r="V68" s="70" t="s">
        <v>1740</v>
      </c>
      <c r="W68" s="73">
        <f>COUNTIF('IS｜CVレポート'!H:H,流入チャネル別顧客一覧_ユニーク!D68)</f>
        <v>0</v>
      </c>
    </row>
    <row r="69" spans="2:23" ht="12.95">
      <c r="B69" s="70" t="s">
        <v>1516</v>
      </c>
      <c r="C69" s="71">
        <v>45705.416666666664</v>
      </c>
      <c r="D69" s="70" t="s">
        <v>1711</v>
      </c>
      <c r="E69" s="70" t="s">
        <v>1712</v>
      </c>
      <c r="F69" s="70" t="s">
        <v>1714</v>
      </c>
      <c r="G69" s="70"/>
      <c r="H69" s="70" t="s">
        <v>1334</v>
      </c>
      <c r="I69" s="70"/>
      <c r="J69" s="70">
        <v>0</v>
      </c>
      <c r="K69" s="70">
        <v>0</v>
      </c>
      <c r="L69" s="70">
        <v>0</v>
      </c>
      <c r="M69" s="70">
        <v>0</v>
      </c>
      <c r="N69" s="70">
        <v>1</v>
      </c>
      <c r="O69" s="70">
        <v>0</v>
      </c>
      <c r="P69" s="70">
        <v>0</v>
      </c>
      <c r="Q69" s="73" t="str">
        <f t="shared" si="2"/>
        <v>2025-02</v>
      </c>
      <c r="V69" s="70" t="s">
        <v>1713</v>
      </c>
      <c r="W69" s="73">
        <f>COUNTIF('IS｜CVレポート'!H:H,流入チャネル別顧客一覧_ユニーク!D69)</f>
        <v>0</v>
      </c>
    </row>
    <row r="70" spans="2:23" ht="12.95">
      <c r="B70" s="70" t="s">
        <v>1516</v>
      </c>
      <c r="C70" s="71">
        <v>45705.416666666664</v>
      </c>
      <c r="D70" s="70" t="s">
        <v>1766</v>
      </c>
      <c r="E70" s="70" t="s">
        <v>1767</v>
      </c>
      <c r="F70" s="70" t="s">
        <v>1768</v>
      </c>
      <c r="G70" s="70"/>
      <c r="H70" s="70" t="s">
        <v>1334</v>
      </c>
      <c r="I70" s="70"/>
      <c r="J70" s="70">
        <v>0</v>
      </c>
      <c r="K70" s="70">
        <v>0</v>
      </c>
      <c r="L70" s="70">
        <v>0</v>
      </c>
      <c r="M70" s="70">
        <v>0</v>
      </c>
      <c r="N70" s="70">
        <v>1</v>
      </c>
      <c r="O70" s="70">
        <v>0</v>
      </c>
      <c r="P70" s="70">
        <v>0</v>
      </c>
      <c r="Q70" s="73" t="str">
        <f t="shared" si="2"/>
        <v>2025-02</v>
      </c>
      <c r="V70" s="70"/>
      <c r="W70" s="73">
        <f>COUNTIF('IS｜CVレポート'!H:H,流入チャネル別顧客一覧_ユニーク!D70)</f>
        <v>0</v>
      </c>
    </row>
    <row r="71" spans="2:23" ht="12.95">
      <c r="B71" s="70" t="s">
        <v>1516</v>
      </c>
      <c r="C71" s="71">
        <v>45705.416666666664</v>
      </c>
      <c r="D71" s="70" t="s">
        <v>1627</v>
      </c>
      <c r="E71" s="70" t="s">
        <v>1628</v>
      </c>
      <c r="F71" s="70" t="s">
        <v>1630</v>
      </c>
      <c r="G71" s="70"/>
      <c r="H71" s="70" t="s">
        <v>1334</v>
      </c>
      <c r="I71" s="70"/>
      <c r="J71" s="70">
        <v>0</v>
      </c>
      <c r="K71" s="70">
        <v>0</v>
      </c>
      <c r="L71" s="70">
        <v>0</v>
      </c>
      <c r="M71" s="70">
        <v>0</v>
      </c>
      <c r="N71" s="70">
        <v>1</v>
      </c>
      <c r="O71" s="70">
        <v>0</v>
      </c>
      <c r="P71" s="70">
        <v>0</v>
      </c>
      <c r="Q71" s="73" t="str">
        <f t="shared" si="2"/>
        <v>2025-02</v>
      </c>
      <c r="V71" s="70" t="s">
        <v>1629</v>
      </c>
      <c r="W71" s="73">
        <f>COUNTIF('IS｜CVレポート'!H:H,流入チャネル別顧客一覧_ユニーク!D71)</f>
        <v>0</v>
      </c>
    </row>
    <row r="72" spans="2:23" ht="12.95">
      <c r="B72" s="70" t="s">
        <v>1516</v>
      </c>
      <c r="C72" s="71">
        <v>45705.416666666664</v>
      </c>
      <c r="D72" s="70" t="s">
        <v>1703</v>
      </c>
      <c r="E72" s="70" t="s">
        <v>1704</v>
      </c>
      <c r="F72" s="70" t="s">
        <v>1706</v>
      </c>
      <c r="G72" s="70"/>
      <c r="H72" s="70" t="s">
        <v>1334</v>
      </c>
      <c r="I72" s="70"/>
      <c r="J72" s="70">
        <v>0</v>
      </c>
      <c r="K72" s="70">
        <v>0</v>
      </c>
      <c r="L72" s="70">
        <v>0</v>
      </c>
      <c r="M72" s="70">
        <v>0</v>
      </c>
      <c r="N72" s="70">
        <v>1</v>
      </c>
      <c r="O72" s="70">
        <v>0</v>
      </c>
      <c r="P72" s="70">
        <v>0</v>
      </c>
      <c r="Q72" s="73" t="str">
        <f t="shared" si="2"/>
        <v>2025-02</v>
      </c>
      <c r="V72" s="70" t="s">
        <v>1705</v>
      </c>
      <c r="W72" s="73">
        <f>COUNTIF('IS｜CVレポート'!H:H,流入チャネル別顧客一覧_ユニーク!D72)</f>
        <v>0</v>
      </c>
    </row>
    <row r="73" spans="2:23" ht="12.95">
      <c r="B73" s="70" t="s">
        <v>1516</v>
      </c>
      <c r="C73" s="71">
        <v>45705.416666666664</v>
      </c>
      <c r="D73" s="70" t="s">
        <v>1707</v>
      </c>
      <c r="E73" s="70" t="s">
        <v>1708</v>
      </c>
      <c r="F73" s="70" t="s">
        <v>1710</v>
      </c>
      <c r="G73" s="70"/>
      <c r="H73" s="70" t="s">
        <v>1334</v>
      </c>
      <c r="I73" s="70"/>
      <c r="J73" s="70">
        <v>0</v>
      </c>
      <c r="K73" s="70">
        <v>0</v>
      </c>
      <c r="L73" s="70">
        <v>0</v>
      </c>
      <c r="M73" s="70">
        <v>0</v>
      </c>
      <c r="N73" s="70">
        <v>1</v>
      </c>
      <c r="O73" s="70">
        <v>0</v>
      </c>
      <c r="P73" s="70">
        <v>0</v>
      </c>
      <c r="Q73" s="73" t="str">
        <f t="shared" si="2"/>
        <v>2025-02</v>
      </c>
      <c r="V73" s="70" t="s">
        <v>1709</v>
      </c>
      <c r="W73" s="73">
        <f>COUNTIF('IS｜CVレポート'!H:H,流入チャネル別顧客一覧_ユニーク!D73)</f>
        <v>0</v>
      </c>
    </row>
    <row r="74" spans="2:23" ht="12.95">
      <c r="B74" s="70" t="s">
        <v>1516</v>
      </c>
      <c r="C74" s="71">
        <v>45705.416666666664</v>
      </c>
      <c r="D74" s="70" t="s">
        <v>1700</v>
      </c>
      <c r="E74" s="70" t="s">
        <v>10</v>
      </c>
      <c r="F74" s="70" t="s">
        <v>1702</v>
      </c>
      <c r="G74" s="70"/>
      <c r="H74" s="70" t="s">
        <v>1334</v>
      </c>
      <c r="I74" s="70"/>
      <c r="J74" s="70">
        <v>0</v>
      </c>
      <c r="K74" s="70">
        <v>0</v>
      </c>
      <c r="L74" s="70">
        <v>0</v>
      </c>
      <c r="M74" s="70">
        <v>0</v>
      </c>
      <c r="N74" s="70">
        <v>1</v>
      </c>
      <c r="O74" s="70">
        <v>0</v>
      </c>
      <c r="P74" s="70">
        <v>0</v>
      </c>
      <c r="Q74" s="73" t="str">
        <f t="shared" si="2"/>
        <v>2025-02</v>
      </c>
      <c r="V74" s="70" t="s">
        <v>1701</v>
      </c>
      <c r="W74" s="73">
        <f>COUNTIF('IS｜CVレポート'!H:H,流入チャネル別顧客一覧_ユニーク!D74)</f>
        <v>0</v>
      </c>
    </row>
    <row r="75" spans="2:23" ht="12.95">
      <c r="B75" s="70" t="s">
        <v>1516</v>
      </c>
      <c r="C75" s="71">
        <v>45705.416666666664</v>
      </c>
      <c r="D75" s="70" t="s">
        <v>1752</v>
      </c>
      <c r="E75" s="70" t="s">
        <v>1753</v>
      </c>
      <c r="F75" s="70" t="s">
        <v>1754</v>
      </c>
      <c r="G75" s="70"/>
      <c r="H75" s="70" t="s">
        <v>1334</v>
      </c>
      <c r="I75" s="70"/>
      <c r="J75" s="70">
        <v>0</v>
      </c>
      <c r="K75" s="70">
        <v>0</v>
      </c>
      <c r="L75" s="70">
        <v>0</v>
      </c>
      <c r="M75" s="70">
        <v>0</v>
      </c>
      <c r="N75" s="70">
        <v>1</v>
      </c>
      <c r="O75" s="70">
        <v>0</v>
      </c>
      <c r="P75" s="70">
        <v>0</v>
      </c>
      <c r="Q75" s="73" t="str">
        <f t="shared" si="2"/>
        <v>2025-02</v>
      </c>
      <c r="V75" s="70"/>
      <c r="W75" s="73">
        <f>COUNTIF('IS｜CVレポート'!H:H,流入チャネル別顧客一覧_ユニーク!D75)</f>
        <v>0</v>
      </c>
    </row>
    <row r="76" spans="2:23" ht="12.95">
      <c r="B76" s="70" t="s">
        <v>1516</v>
      </c>
      <c r="C76" s="71">
        <v>45705.416666666664</v>
      </c>
      <c r="D76" s="70" t="s">
        <v>1677</v>
      </c>
      <c r="E76" s="70" t="s">
        <v>1678</v>
      </c>
      <c r="F76" s="70" t="s">
        <v>1679</v>
      </c>
      <c r="G76" s="70"/>
      <c r="H76" s="70" t="s">
        <v>1334</v>
      </c>
      <c r="I76" s="70"/>
      <c r="J76" s="70">
        <v>0</v>
      </c>
      <c r="K76" s="70">
        <v>0</v>
      </c>
      <c r="L76" s="70">
        <v>0</v>
      </c>
      <c r="M76" s="70">
        <v>0</v>
      </c>
      <c r="N76" s="70">
        <v>1</v>
      </c>
      <c r="O76" s="70">
        <v>0</v>
      </c>
      <c r="P76" s="70">
        <v>0</v>
      </c>
      <c r="Q76" s="73" t="str">
        <f t="shared" si="2"/>
        <v>2025-02</v>
      </c>
      <c r="V76" s="70"/>
      <c r="W76" s="73">
        <f>COUNTIF('IS｜CVレポート'!H:H,流入チャネル別顧客一覧_ユニーク!D76)</f>
        <v>0</v>
      </c>
    </row>
    <row r="77" spans="2:23" ht="12.95">
      <c r="B77" s="70" t="s">
        <v>1516</v>
      </c>
      <c r="C77" s="71">
        <v>45705.416666666664</v>
      </c>
      <c r="D77" s="70" t="s">
        <v>1694</v>
      </c>
      <c r="E77" s="70" t="s">
        <v>1695</v>
      </c>
      <c r="F77" s="70" t="s">
        <v>1696</v>
      </c>
      <c r="G77" s="70"/>
      <c r="H77" s="70" t="s">
        <v>1334</v>
      </c>
      <c r="I77" s="70"/>
      <c r="J77" s="70">
        <v>0</v>
      </c>
      <c r="K77" s="70">
        <v>0</v>
      </c>
      <c r="L77" s="70">
        <v>0</v>
      </c>
      <c r="M77" s="70">
        <v>0</v>
      </c>
      <c r="N77" s="70">
        <v>1</v>
      </c>
      <c r="O77" s="70">
        <v>0</v>
      </c>
      <c r="P77" s="70">
        <v>0</v>
      </c>
      <c r="Q77" s="73" t="str">
        <f t="shared" si="2"/>
        <v>2025-02</v>
      </c>
      <c r="V77" s="70"/>
      <c r="W77" s="73">
        <f>COUNTIF('IS｜CVレポート'!H:H,流入チャネル別顧客一覧_ユニーク!D77)</f>
        <v>0</v>
      </c>
    </row>
    <row r="78" spans="2:23" ht="12.95">
      <c r="B78" s="70" t="s">
        <v>1516</v>
      </c>
      <c r="C78" s="71">
        <v>45705.416666666664</v>
      </c>
      <c r="D78" s="70" t="s">
        <v>1725</v>
      </c>
      <c r="E78" s="70" t="s">
        <v>1726</v>
      </c>
      <c r="F78" s="70" t="s">
        <v>1728</v>
      </c>
      <c r="G78" s="70"/>
      <c r="H78" s="70" t="s">
        <v>1334</v>
      </c>
      <c r="I78" s="70"/>
      <c r="J78" s="70">
        <v>0</v>
      </c>
      <c r="K78" s="70">
        <v>0</v>
      </c>
      <c r="L78" s="70">
        <v>0</v>
      </c>
      <c r="M78" s="70">
        <v>0</v>
      </c>
      <c r="N78" s="70">
        <v>1</v>
      </c>
      <c r="O78" s="70">
        <v>0</v>
      </c>
      <c r="P78" s="70">
        <v>0</v>
      </c>
      <c r="Q78" s="73" t="str">
        <f t="shared" si="2"/>
        <v>2025-02</v>
      </c>
      <c r="V78" s="70" t="s">
        <v>1727</v>
      </c>
      <c r="W78" s="73">
        <f>COUNTIF('IS｜CVレポート'!H:H,流入チャネル別顧客一覧_ユニーク!D78)</f>
        <v>0</v>
      </c>
    </row>
    <row r="79" spans="2:23" ht="12.95">
      <c r="B79" s="70" t="s">
        <v>1516</v>
      </c>
      <c r="C79" s="71">
        <v>45705.416666666664</v>
      </c>
      <c r="D79" s="70" t="s">
        <v>1624</v>
      </c>
      <c r="E79" s="70" t="s">
        <v>1117</v>
      </c>
      <c r="F79" s="70" t="s">
        <v>1626</v>
      </c>
      <c r="G79" s="70"/>
      <c r="H79" s="70" t="s">
        <v>1334</v>
      </c>
      <c r="I79" s="70"/>
      <c r="J79" s="70">
        <v>0</v>
      </c>
      <c r="K79" s="70">
        <v>0</v>
      </c>
      <c r="L79" s="70">
        <v>0</v>
      </c>
      <c r="M79" s="70">
        <v>0</v>
      </c>
      <c r="N79" s="70">
        <v>1</v>
      </c>
      <c r="O79" s="70">
        <v>0</v>
      </c>
      <c r="P79" s="70">
        <v>0</v>
      </c>
      <c r="Q79" s="73" t="str">
        <f t="shared" si="2"/>
        <v>2025-02</v>
      </c>
      <c r="V79" s="70" t="s">
        <v>1625</v>
      </c>
      <c r="W79" s="73">
        <f>COUNTIF('IS｜CVレポート'!H:H,流入チャネル別顧客一覧_ユニーク!D79)</f>
        <v>0</v>
      </c>
    </row>
    <row r="80" spans="2:23" ht="12.95">
      <c r="B80" s="70" t="s">
        <v>1516</v>
      </c>
      <c r="C80" s="71">
        <v>45705.416666666664</v>
      </c>
      <c r="D80" s="70" t="s">
        <v>1653</v>
      </c>
      <c r="E80" s="70" t="s">
        <v>1654</v>
      </c>
      <c r="F80" s="70" t="s">
        <v>1655</v>
      </c>
      <c r="G80" s="70"/>
      <c r="H80" s="70" t="s">
        <v>1334</v>
      </c>
      <c r="I80" s="70"/>
      <c r="J80" s="70">
        <v>0</v>
      </c>
      <c r="K80" s="70">
        <v>0</v>
      </c>
      <c r="L80" s="70">
        <v>0</v>
      </c>
      <c r="M80" s="70">
        <v>0</v>
      </c>
      <c r="N80" s="70">
        <v>1</v>
      </c>
      <c r="O80" s="70">
        <v>0</v>
      </c>
      <c r="P80" s="70">
        <v>0</v>
      </c>
      <c r="Q80" s="73" t="str">
        <f t="shared" si="2"/>
        <v>2025-02</v>
      </c>
      <c r="V80" s="70"/>
      <c r="W80" s="73">
        <f>COUNTIF('IS｜CVレポート'!H:H,流入チャネル別顧客一覧_ユニーク!D80)</f>
        <v>0</v>
      </c>
    </row>
    <row r="81" spans="2:23" ht="12.95">
      <c r="B81" s="70" t="s">
        <v>1516</v>
      </c>
      <c r="C81" s="71">
        <v>45705.416666666664</v>
      </c>
      <c r="D81" s="70" t="s">
        <v>1788</v>
      </c>
      <c r="E81" s="70" t="s">
        <v>1789</v>
      </c>
      <c r="F81" s="70" t="s">
        <v>1791</v>
      </c>
      <c r="G81" s="70"/>
      <c r="H81" s="70" t="s">
        <v>1334</v>
      </c>
      <c r="I81" s="70"/>
      <c r="J81" s="70">
        <v>0</v>
      </c>
      <c r="K81" s="70">
        <v>0</v>
      </c>
      <c r="L81" s="70">
        <v>0</v>
      </c>
      <c r="M81" s="70">
        <v>0</v>
      </c>
      <c r="N81" s="70">
        <v>1</v>
      </c>
      <c r="O81" s="70">
        <v>0</v>
      </c>
      <c r="P81" s="70">
        <v>0</v>
      </c>
      <c r="Q81" s="73" t="str">
        <f t="shared" si="2"/>
        <v>2025-02</v>
      </c>
      <c r="R81" s="75">
        <f>C81</f>
        <v>45705.416666666664</v>
      </c>
      <c r="V81" s="70" t="s">
        <v>1790</v>
      </c>
      <c r="W81" s="73">
        <f>COUNTIF('IS｜CVレポート'!H:H,流入チャネル別顧客一覧_ユニーク!D81)</f>
        <v>0</v>
      </c>
    </row>
    <row r="82" spans="2:23" ht="12.95">
      <c r="B82" s="70" t="s">
        <v>1516</v>
      </c>
      <c r="C82" s="71">
        <v>45705.416666666664</v>
      </c>
      <c r="D82" s="70" t="s">
        <v>1609</v>
      </c>
      <c r="E82" s="70" t="s">
        <v>1610</v>
      </c>
      <c r="F82" s="70" t="s">
        <v>1611</v>
      </c>
      <c r="G82" s="70"/>
      <c r="H82" s="70" t="s">
        <v>1334</v>
      </c>
      <c r="I82" s="70"/>
      <c r="J82" s="70">
        <v>0</v>
      </c>
      <c r="K82" s="70">
        <v>0</v>
      </c>
      <c r="L82" s="70">
        <v>0</v>
      </c>
      <c r="M82" s="70">
        <v>0</v>
      </c>
      <c r="N82" s="70">
        <v>1</v>
      </c>
      <c r="O82" s="70">
        <v>0</v>
      </c>
      <c r="P82" s="70">
        <v>0</v>
      </c>
      <c r="Q82" s="73" t="str">
        <f t="shared" si="2"/>
        <v>2025-02</v>
      </c>
      <c r="V82" s="70"/>
      <c r="W82" s="73">
        <f>COUNTIF('IS｜CVレポート'!H:H,流入チャネル別顧客一覧_ユニーク!D82)</f>
        <v>0</v>
      </c>
    </row>
    <row r="83" spans="2:23" ht="12.95">
      <c r="B83" s="70" t="s">
        <v>1516</v>
      </c>
      <c r="C83" s="71">
        <v>45705.416666666664</v>
      </c>
      <c r="D83" s="70" t="s">
        <v>1802</v>
      </c>
      <c r="E83" s="70" t="s">
        <v>1803</v>
      </c>
      <c r="F83" s="70" t="s">
        <v>1805</v>
      </c>
      <c r="G83" s="70"/>
      <c r="H83" s="70" t="s">
        <v>1334</v>
      </c>
      <c r="I83" s="70"/>
      <c r="J83" s="70">
        <v>0</v>
      </c>
      <c r="K83" s="70">
        <v>0</v>
      </c>
      <c r="L83" s="70">
        <v>0</v>
      </c>
      <c r="M83" s="70">
        <v>0</v>
      </c>
      <c r="N83" s="70">
        <v>1</v>
      </c>
      <c r="O83" s="70">
        <v>0</v>
      </c>
      <c r="P83" s="70">
        <v>0</v>
      </c>
      <c r="Q83" s="73" t="str">
        <f t="shared" si="2"/>
        <v>2025-02</v>
      </c>
      <c r="V83" s="70" t="s">
        <v>1804</v>
      </c>
      <c r="W83" s="73">
        <f>COUNTIF('IS｜CVレポート'!H:H,流入チャネル別顧客一覧_ユニーク!D83)</f>
        <v>0</v>
      </c>
    </row>
    <row r="84" spans="2:23" ht="12.95">
      <c r="B84" s="70" t="s">
        <v>1516</v>
      </c>
      <c r="C84" s="71">
        <v>45705.416666666664</v>
      </c>
      <c r="D84" s="70" t="s">
        <v>1776</v>
      </c>
      <c r="E84" s="70" t="s">
        <v>1777</v>
      </c>
      <c r="F84" s="70" t="s">
        <v>1778</v>
      </c>
      <c r="G84" s="70"/>
      <c r="H84" s="70" t="s">
        <v>1334</v>
      </c>
      <c r="I84" s="70"/>
      <c r="J84" s="70">
        <v>0</v>
      </c>
      <c r="K84" s="70">
        <v>0</v>
      </c>
      <c r="L84" s="70">
        <v>0</v>
      </c>
      <c r="M84" s="70">
        <v>0</v>
      </c>
      <c r="N84" s="70">
        <v>1</v>
      </c>
      <c r="O84" s="70">
        <v>0</v>
      </c>
      <c r="P84" s="70">
        <v>0</v>
      </c>
      <c r="Q84" s="73" t="str">
        <f t="shared" si="2"/>
        <v>2025-02</v>
      </c>
      <c r="V84" s="70" t="s">
        <v>1709</v>
      </c>
      <c r="W84" s="73">
        <f>COUNTIF('IS｜CVレポート'!H:H,流入チャネル別顧客一覧_ユニーク!D84)</f>
        <v>0</v>
      </c>
    </row>
    <row r="85" spans="2:23" ht="12.95">
      <c r="B85" s="70" t="s">
        <v>1516</v>
      </c>
      <c r="C85" s="71">
        <v>45705.416666666664</v>
      </c>
      <c r="D85" s="70" t="s">
        <v>1755</v>
      </c>
      <c r="E85" s="70" t="s">
        <v>1756</v>
      </c>
      <c r="F85" s="70" t="s">
        <v>1758</v>
      </c>
      <c r="G85" s="70"/>
      <c r="H85" s="70" t="s">
        <v>1334</v>
      </c>
      <c r="I85" s="70"/>
      <c r="J85" s="70">
        <v>0</v>
      </c>
      <c r="K85" s="70">
        <v>0</v>
      </c>
      <c r="L85" s="70">
        <v>0</v>
      </c>
      <c r="M85" s="70">
        <v>0</v>
      </c>
      <c r="N85" s="70">
        <v>1</v>
      </c>
      <c r="O85" s="70">
        <v>0</v>
      </c>
      <c r="P85" s="70">
        <v>0</v>
      </c>
      <c r="Q85" s="73" t="str">
        <f t="shared" si="2"/>
        <v>2025-02</v>
      </c>
      <c r="V85" s="70" t="s">
        <v>1757</v>
      </c>
      <c r="W85" s="73">
        <f>COUNTIF('IS｜CVレポート'!H:H,流入チャネル別顧客一覧_ユニーク!D85)</f>
        <v>0</v>
      </c>
    </row>
    <row r="86" spans="2:23" ht="12.95">
      <c r="B86" s="70" t="s">
        <v>1516</v>
      </c>
      <c r="C86" s="71">
        <v>45705.416666666664</v>
      </c>
      <c r="D86" s="70" t="s">
        <v>1779</v>
      </c>
      <c r="E86" s="70" t="s">
        <v>250</v>
      </c>
      <c r="F86" s="70" t="s">
        <v>1781</v>
      </c>
      <c r="G86" s="70"/>
      <c r="H86" s="70" t="s">
        <v>1334</v>
      </c>
      <c r="I86" s="70"/>
      <c r="J86" s="70">
        <v>0</v>
      </c>
      <c r="K86" s="70">
        <v>0</v>
      </c>
      <c r="L86" s="70">
        <v>0</v>
      </c>
      <c r="M86" s="70">
        <v>0</v>
      </c>
      <c r="N86" s="70">
        <v>1</v>
      </c>
      <c r="O86" s="70">
        <v>0</v>
      </c>
      <c r="P86" s="70">
        <v>0</v>
      </c>
      <c r="Q86" s="73" t="str">
        <f t="shared" si="2"/>
        <v>2025-02</v>
      </c>
      <c r="V86" s="70" t="s">
        <v>1780</v>
      </c>
      <c r="W86" s="73">
        <f>COUNTIF('IS｜CVレポート'!H:H,流入チャネル別顧客一覧_ユニーク!D86)</f>
        <v>0</v>
      </c>
    </row>
    <row r="87" spans="2:23" ht="12.95">
      <c r="B87" s="70" t="s">
        <v>1516</v>
      </c>
      <c r="C87" s="71">
        <v>45705.416666666664</v>
      </c>
      <c r="D87" s="70" t="s">
        <v>1601</v>
      </c>
      <c r="E87" s="70" t="s">
        <v>1602</v>
      </c>
      <c r="F87" s="70" t="s">
        <v>1604</v>
      </c>
      <c r="G87" s="70"/>
      <c r="H87" s="70" t="s">
        <v>1334</v>
      </c>
      <c r="I87" s="70"/>
      <c r="J87" s="70">
        <v>0</v>
      </c>
      <c r="K87" s="70">
        <v>0</v>
      </c>
      <c r="L87" s="70">
        <v>0</v>
      </c>
      <c r="M87" s="70">
        <v>0</v>
      </c>
      <c r="N87" s="70">
        <v>1</v>
      </c>
      <c r="O87" s="70">
        <v>0</v>
      </c>
      <c r="P87" s="70">
        <v>0</v>
      </c>
      <c r="Q87" s="73" t="str">
        <f t="shared" si="2"/>
        <v>2025-02</v>
      </c>
      <c r="V87" s="70" t="s">
        <v>1603</v>
      </c>
      <c r="W87" s="73">
        <f>COUNTIF('IS｜CVレポート'!H:H,流入チャネル別顧客一覧_ユニーク!D87)</f>
        <v>0</v>
      </c>
    </row>
    <row r="88" spans="2:23" ht="12.95">
      <c r="B88" s="70" t="s">
        <v>1516</v>
      </c>
      <c r="C88" s="71">
        <v>45705.416666666664</v>
      </c>
      <c r="D88" s="70" t="s">
        <v>1593</v>
      </c>
      <c r="E88" s="70" t="s">
        <v>1594</v>
      </c>
      <c r="F88" s="70" t="s">
        <v>1596</v>
      </c>
      <c r="G88" s="70"/>
      <c r="H88" s="70" t="s">
        <v>1334</v>
      </c>
      <c r="I88" s="70"/>
      <c r="J88" s="70">
        <v>0</v>
      </c>
      <c r="K88" s="70">
        <v>0</v>
      </c>
      <c r="L88" s="70">
        <v>0</v>
      </c>
      <c r="M88" s="70">
        <v>0</v>
      </c>
      <c r="N88" s="70">
        <v>1</v>
      </c>
      <c r="O88" s="70">
        <v>0</v>
      </c>
      <c r="P88" s="70">
        <v>0</v>
      </c>
      <c r="Q88" s="73" t="str">
        <f t="shared" si="2"/>
        <v>2025-02</v>
      </c>
      <c r="V88" s="70" t="s">
        <v>1595</v>
      </c>
      <c r="W88" s="73">
        <f>COUNTIF('IS｜CVレポート'!H:H,流入チャネル別顧客一覧_ユニーク!D88)</f>
        <v>0</v>
      </c>
    </row>
    <row r="89" spans="2:23" ht="12.95">
      <c r="B89" s="70" t="s">
        <v>1516</v>
      </c>
      <c r="C89" s="71">
        <v>45705.416666666664</v>
      </c>
      <c r="D89" s="70" t="s">
        <v>1583</v>
      </c>
      <c r="E89" s="70" t="s">
        <v>1584</v>
      </c>
      <c r="F89" s="70" t="s">
        <v>1586</v>
      </c>
      <c r="G89" s="70"/>
      <c r="H89" s="70" t="s">
        <v>1334</v>
      </c>
      <c r="I89" s="70"/>
      <c r="J89" s="70">
        <v>0</v>
      </c>
      <c r="K89" s="70">
        <v>0</v>
      </c>
      <c r="L89" s="70">
        <v>0</v>
      </c>
      <c r="M89" s="70">
        <v>0</v>
      </c>
      <c r="N89" s="70">
        <v>1</v>
      </c>
      <c r="O89" s="70">
        <v>0</v>
      </c>
      <c r="P89" s="70">
        <v>0</v>
      </c>
      <c r="Q89" s="73" t="str">
        <f t="shared" si="2"/>
        <v>2025-02</v>
      </c>
      <c r="V89" s="70" t="s">
        <v>1585</v>
      </c>
      <c r="W89" s="73">
        <f>COUNTIF('IS｜CVレポート'!H:H,流入チャネル別顧客一覧_ユニーク!D89)</f>
        <v>0</v>
      </c>
    </row>
    <row r="90" spans="2:23" ht="12.95">
      <c r="B90" s="70" t="s">
        <v>1516</v>
      </c>
      <c r="C90" s="71">
        <v>45705.416666666664</v>
      </c>
      <c r="D90" s="70" t="s">
        <v>1773</v>
      </c>
      <c r="E90" s="70" t="s">
        <v>1774</v>
      </c>
      <c r="F90" s="70" t="s">
        <v>1775</v>
      </c>
      <c r="G90" s="70"/>
      <c r="H90" s="70" t="s">
        <v>1334</v>
      </c>
      <c r="I90" s="70"/>
      <c r="J90" s="70">
        <v>0</v>
      </c>
      <c r="K90" s="70">
        <v>0</v>
      </c>
      <c r="L90" s="70">
        <v>0</v>
      </c>
      <c r="M90" s="70">
        <v>0</v>
      </c>
      <c r="N90" s="70">
        <v>1</v>
      </c>
      <c r="O90" s="70">
        <v>0</v>
      </c>
      <c r="P90" s="70">
        <v>0</v>
      </c>
      <c r="Q90" s="73" t="str">
        <f t="shared" si="2"/>
        <v>2025-02</v>
      </c>
      <c r="V90" s="70" t="s">
        <v>1709</v>
      </c>
      <c r="W90" s="73">
        <f>COUNTIF('IS｜CVレポート'!H:H,流入チャネル別顧客一覧_ユニーク!D90)</f>
        <v>0</v>
      </c>
    </row>
    <row r="91" spans="2:23" ht="12.95">
      <c r="B91" s="70" t="s">
        <v>1516</v>
      </c>
      <c r="C91" s="71">
        <v>45705.416666666664</v>
      </c>
      <c r="D91" s="70" t="s">
        <v>1769</v>
      </c>
      <c r="E91" s="70" t="s">
        <v>1770</v>
      </c>
      <c r="F91" s="70" t="s">
        <v>1772</v>
      </c>
      <c r="G91" s="70"/>
      <c r="H91" s="70" t="s">
        <v>1334</v>
      </c>
      <c r="I91" s="70"/>
      <c r="J91" s="70">
        <v>0</v>
      </c>
      <c r="K91" s="70">
        <v>0</v>
      </c>
      <c r="L91" s="70">
        <v>0</v>
      </c>
      <c r="M91" s="70">
        <v>0</v>
      </c>
      <c r="N91" s="70">
        <v>1</v>
      </c>
      <c r="O91" s="70">
        <v>0</v>
      </c>
      <c r="P91" s="70">
        <v>0</v>
      </c>
      <c r="Q91" s="73" t="str">
        <f t="shared" si="2"/>
        <v>2025-02</v>
      </c>
      <c r="V91" s="70" t="s">
        <v>1771</v>
      </c>
      <c r="W91" s="73">
        <f>COUNTIF('IS｜CVレポート'!H:H,流入チャネル別顧客一覧_ユニーク!D91)</f>
        <v>0</v>
      </c>
    </row>
    <row r="92" spans="2:23" ht="12.95">
      <c r="B92" s="70" t="s">
        <v>1516</v>
      </c>
      <c r="C92" s="71">
        <v>45705.416666666664</v>
      </c>
      <c r="D92" s="70" t="s">
        <v>1670</v>
      </c>
      <c r="E92" s="70" t="s">
        <v>26</v>
      </c>
      <c r="F92" s="70" t="s">
        <v>1672</v>
      </c>
      <c r="G92" s="70"/>
      <c r="H92" s="70" t="s">
        <v>1334</v>
      </c>
      <c r="I92" s="70"/>
      <c r="J92" s="70">
        <v>0</v>
      </c>
      <c r="K92" s="70">
        <v>0</v>
      </c>
      <c r="L92" s="70">
        <v>0</v>
      </c>
      <c r="M92" s="70">
        <v>0</v>
      </c>
      <c r="N92" s="70">
        <v>1</v>
      </c>
      <c r="O92" s="70">
        <v>0</v>
      </c>
      <c r="P92" s="70">
        <v>0</v>
      </c>
      <c r="Q92" s="73" t="str">
        <f t="shared" si="2"/>
        <v>2025-02</v>
      </c>
      <c r="V92" s="70" t="s">
        <v>1671</v>
      </c>
      <c r="W92" s="73">
        <f>COUNTIF('IS｜CVレポート'!H:H,流入チャネル別顧客一覧_ユニーク!D92)</f>
        <v>0</v>
      </c>
    </row>
    <row r="93" spans="2:23" ht="12.95">
      <c r="B93" s="70" t="s">
        <v>1516</v>
      </c>
      <c r="C93" s="71">
        <v>45705.416666666664</v>
      </c>
      <c r="D93" s="70" t="s">
        <v>1759</v>
      </c>
      <c r="E93" s="70" t="s">
        <v>1760</v>
      </c>
      <c r="F93" s="70" t="s">
        <v>1762</v>
      </c>
      <c r="G93" s="70"/>
      <c r="H93" s="70" t="s">
        <v>1334</v>
      </c>
      <c r="I93" s="70"/>
      <c r="J93" s="70">
        <v>0</v>
      </c>
      <c r="K93" s="70">
        <v>0</v>
      </c>
      <c r="L93" s="70">
        <v>0</v>
      </c>
      <c r="M93" s="70">
        <v>0</v>
      </c>
      <c r="N93" s="70">
        <v>1</v>
      </c>
      <c r="O93" s="70">
        <v>0</v>
      </c>
      <c r="P93" s="70">
        <v>0</v>
      </c>
      <c r="Q93" s="73" t="str">
        <f t="shared" si="2"/>
        <v>2025-02</v>
      </c>
      <c r="V93" s="70" t="s">
        <v>1761</v>
      </c>
      <c r="W93" s="73">
        <f>COUNTIF('IS｜CVレポート'!H:H,流入チャネル別顧客一覧_ユニーク!D93)</f>
        <v>0</v>
      </c>
    </row>
    <row r="94" spans="2:23" ht="12.95">
      <c r="B94" s="70" t="s">
        <v>1516</v>
      </c>
      <c r="C94" s="71">
        <v>45705.416666666664</v>
      </c>
      <c r="D94" s="70" t="s">
        <v>1590</v>
      </c>
      <c r="E94" s="70" t="s">
        <v>1591</v>
      </c>
      <c r="F94" s="70" t="s">
        <v>1592</v>
      </c>
      <c r="G94" s="70"/>
      <c r="H94" s="70" t="s">
        <v>1334</v>
      </c>
      <c r="I94" s="70"/>
      <c r="J94" s="70">
        <v>0</v>
      </c>
      <c r="K94" s="70">
        <v>0</v>
      </c>
      <c r="L94" s="70">
        <v>0</v>
      </c>
      <c r="M94" s="70">
        <v>0</v>
      </c>
      <c r="N94" s="70">
        <v>1</v>
      </c>
      <c r="O94" s="70">
        <v>0</v>
      </c>
      <c r="P94" s="70">
        <v>0</v>
      </c>
      <c r="Q94" s="73" t="str">
        <f t="shared" si="2"/>
        <v>2025-02</v>
      </c>
      <c r="V94" s="70"/>
      <c r="W94" s="73">
        <f>COUNTIF('IS｜CVレポート'!H:H,流入チャネル別顧客一覧_ユニーク!D94)</f>
        <v>0</v>
      </c>
    </row>
    <row r="95" spans="2:23" ht="12.95">
      <c r="B95" s="70" t="s">
        <v>1516</v>
      </c>
      <c r="C95" s="71">
        <v>45705.416666666664</v>
      </c>
      <c r="D95" s="70" t="s">
        <v>1649</v>
      </c>
      <c r="E95" s="70" t="s">
        <v>1650</v>
      </c>
      <c r="F95" s="70" t="s">
        <v>1652</v>
      </c>
      <c r="G95" s="70"/>
      <c r="H95" s="70" t="s">
        <v>1334</v>
      </c>
      <c r="I95" s="70"/>
      <c r="J95" s="70">
        <v>0</v>
      </c>
      <c r="K95" s="70">
        <v>0</v>
      </c>
      <c r="L95" s="70">
        <v>0</v>
      </c>
      <c r="M95" s="70">
        <v>0</v>
      </c>
      <c r="N95" s="70">
        <v>1</v>
      </c>
      <c r="O95" s="70">
        <v>0</v>
      </c>
      <c r="P95" s="70">
        <v>0</v>
      </c>
      <c r="Q95" s="73" t="str">
        <f t="shared" si="2"/>
        <v>2025-02</v>
      </c>
      <c r="R95" s="75">
        <f>C95</f>
        <v>45705.416666666664</v>
      </c>
      <c r="V95" s="70" t="s">
        <v>1651</v>
      </c>
      <c r="W95" s="73">
        <f>COUNTIF('IS｜CVレポート'!H:H,流入チャネル別顧客一覧_ユニーク!D95)</f>
        <v>0</v>
      </c>
    </row>
    <row r="96" spans="2:23" ht="12.95">
      <c r="B96" s="70" t="s">
        <v>1516</v>
      </c>
      <c r="C96" s="71">
        <v>45705.416666666664</v>
      </c>
      <c r="D96" s="70" t="s">
        <v>1616</v>
      </c>
      <c r="E96" s="70" t="s">
        <v>1617</v>
      </c>
      <c r="F96" s="70" t="s">
        <v>1619</v>
      </c>
      <c r="G96" s="70"/>
      <c r="H96" s="70" t="s">
        <v>1334</v>
      </c>
      <c r="I96" s="70"/>
      <c r="J96" s="70">
        <v>0</v>
      </c>
      <c r="K96" s="70">
        <v>0</v>
      </c>
      <c r="L96" s="70">
        <v>0</v>
      </c>
      <c r="M96" s="70">
        <v>0</v>
      </c>
      <c r="N96" s="70">
        <v>1</v>
      </c>
      <c r="O96" s="70">
        <v>0</v>
      </c>
      <c r="P96" s="70">
        <v>0</v>
      </c>
      <c r="Q96" s="73" t="str">
        <f t="shared" si="2"/>
        <v>2025-02</v>
      </c>
      <c r="R96" s="75">
        <f>C96</f>
        <v>45705.416666666664</v>
      </c>
      <c r="V96" s="70" t="s">
        <v>1618</v>
      </c>
      <c r="W96" s="73">
        <f>COUNTIF('IS｜CVレポート'!H:H,流入チャネル別顧客一覧_ユニーク!D96)</f>
        <v>0</v>
      </c>
    </row>
    <row r="97" spans="2:23" ht="12.95">
      <c r="B97" s="70" t="s">
        <v>1516</v>
      </c>
      <c r="C97" s="71">
        <v>45705.416666666664</v>
      </c>
      <c r="D97" s="70" t="s">
        <v>1645</v>
      </c>
      <c r="E97" s="70" t="s">
        <v>1646</v>
      </c>
      <c r="F97" s="70" t="s">
        <v>1648</v>
      </c>
      <c r="G97" s="70"/>
      <c r="H97" s="70" t="s">
        <v>1334</v>
      </c>
      <c r="I97" s="70"/>
      <c r="J97" s="70">
        <v>0</v>
      </c>
      <c r="K97" s="70">
        <v>0</v>
      </c>
      <c r="L97" s="70">
        <v>0</v>
      </c>
      <c r="M97" s="70">
        <v>0</v>
      </c>
      <c r="N97" s="70">
        <v>1</v>
      </c>
      <c r="O97" s="70">
        <v>0</v>
      </c>
      <c r="P97" s="70">
        <v>0</v>
      </c>
      <c r="Q97" s="73" t="str">
        <f t="shared" si="2"/>
        <v>2025-02</v>
      </c>
      <c r="V97" s="70" t="s">
        <v>1647</v>
      </c>
      <c r="W97" s="73">
        <f>COUNTIF('IS｜CVレポート'!H:H,流入チャネル別顧客一覧_ユニーク!D97)</f>
        <v>0</v>
      </c>
    </row>
    <row r="98" spans="2:23" ht="12.95">
      <c r="B98" s="70" t="s">
        <v>1516</v>
      </c>
      <c r="C98" s="71">
        <v>45705.416666666664</v>
      </c>
      <c r="D98" s="70" t="s">
        <v>1663</v>
      </c>
      <c r="E98" s="70" t="s">
        <v>1664</v>
      </c>
      <c r="F98" s="70" t="s">
        <v>1665</v>
      </c>
      <c r="G98" s="70"/>
      <c r="H98" s="70" t="s">
        <v>1334</v>
      </c>
      <c r="I98" s="70"/>
      <c r="J98" s="70">
        <v>0</v>
      </c>
      <c r="K98" s="70">
        <v>0</v>
      </c>
      <c r="L98" s="70">
        <v>0</v>
      </c>
      <c r="M98" s="70">
        <v>0</v>
      </c>
      <c r="N98" s="70">
        <v>1</v>
      </c>
      <c r="O98" s="70">
        <v>0</v>
      </c>
      <c r="P98" s="70">
        <v>0</v>
      </c>
      <c r="Q98" s="73" t="str">
        <f t="shared" ref="Q98:Q129" si="3">TEXT(C98, "yyyy-mm")</f>
        <v>2025-02</v>
      </c>
      <c r="V98" s="70"/>
      <c r="W98" s="73">
        <f>COUNTIF('IS｜CVレポート'!H:H,流入チャネル別顧客一覧_ユニーク!D98)</f>
        <v>0</v>
      </c>
    </row>
    <row r="99" spans="2:23" ht="12.95">
      <c r="B99" s="70" t="s">
        <v>1516</v>
      </c>
      <c r="C99" s="71">
        <v>45705.416666666664</v>
      </c>
      <c r="D99" s="70" t="s">
        <v>1575</v>
      </c>
      <c r="E99" s="70" t="s">
        <v>1576</v>
      </c>
      <c r="F99" s="70" t="s">
        <v>1578</v>
      </c>
      <c r="G99" s="70"/>
      <c r="H99" s="70" t="s">
        <v>1334</v>
      </c>
      <c r="I99" s="70"/>
      <c r="J99" s="70">
        <v>0</v>
      </c>
      <c r="K99" s="70">
        <v>0</v>
      </c>
      <c r="L99" s="70">
        <v>0</v>
      </c>
      <c r="M99" s="70">
        <v>0</v>
      </c>
      <c r="N99" s="70">
        <v>1</v>
      </c>
      <c r="O99" s="70">
        <v>0</v>
      </c>
      <c r="P99" s="70">
        <v>0</v>
      </c>
      <c r="Q99" s="73" t="str">
        <f t="shared" si="3"/>
        <v>2025-02</v>
      </c>
      <c r="V99" s="70" t="s">
        <v>1577</v>
      </c>
      <c r="W99" s="73">
        <f>COUNTIF('IS｜CVレポート'!H:H,流入チャネル別顧客一覧_ユニーク!D99)</f>
        <v>0</v>
      </c>
    </row>
    <row r="100" spans="2:23" ht="12.95">
      <c r="B100" s="70" t="s">
        <v>1516</v>
      </c>
      <c r="C100" s="71">
        <v>45705.416666666664</v>
      </c>
      <c r="D100" s="70" t="s">
        <v>1635</v>
      </c>
      <c r="E100" s="70" t="s">
        <v>1636</v>
      </c>
      <c r="F100" s="70" t="s">
        <v>1638</v>
      </c>
      <c r="G100" s="70"/>
      <c r="H100" s="70" t="s">
        <v>1334</v>
      </c>
      <c r="I100" s="70"/>
      <c r="J100" s="70">
        <v>0</v>
      </c>
      <c r="K100" s="70">
        <v>0</v>
      </c>
      <c r="L100" s="70">
        <v>0</v>
      </c>
      <c r="M100" s="70">
        <v>0</v>
      </c>
      <c r="N100" s="70">
        <v>1</v>
      </c>
      <c r="O100" s="70">
        <v>0</v>
      </c>
      <c r="P100" s="70">
        <v>0</v>
      </c>
      <c r="Q100" s="73" t="str">
        <f t="shared" si="3"/>
        <v>2025-02</v>
      </c>
      <c r="V100" s="70" t="s">
        <v>1637</v>
      </c>
      <c r="W100" s="73">
        <f>COUNTIF('IS｜CVレポート'!H:H,流入チャネル別顧客一覧_ユニーク!D100)</f>
        <v>0</v>
      </c>
    </row>
    <row r="101" spans="2:23" ht="12.95">
      <c r="B101" s="70" t="s">
        <v>1516</v>
      </c>
      <c r="C101" s="71">
        <v>45705.416666666664</v>
      </c>
      <c r="D101" s="70" t="s">
        <v>1579</v>
      </c>
      <c r="E101" s="70" t="s">
        <v>1580</v>
      </c>
      <c r="F101" s="70" t="s">
        <v>1582</v>
      </c>
      <c r="G101" s="70"/>
      <c r="H101" s="70" t="s">
        <v>1334</v>
      </c>
      <c r="I101" s="70"/>
      <c r="J101" s="70">
        <v>0</v>
      </c>
      <c r="K101" s="70">
        <v>0</v>
      </c>
      <c r="L101" s="70">
        <v>0</v>
      </c>
      <c r="M101" s="70">
        <v>0</v>
      </c>
      <c r="N101" s="70">
        <v>1</v>
      </c>
      <c r="O101" s="70">
        <v>0</v>
      </c>
      <c r="P101" s="70">
        <v>0</v>
      </c>
      <c r="Q101" s="73" t="str">
        <f t="shared" si="3"/>
        <v>2025-02</v>
      </c>
      <c r="V101" s="70" t="s">
        <v>1581</v>
      </c>
      <c r="W101" s="73">
        <f>COUNTIF('IS｜CVレポート'!H:H,流入チャネル別顧客一覧_ユニーク!D101)</f>
        <v>0</v>
      </c>
    </row>
    <row r="102" spans="2:23" ht="12.95">
      <c r="B102" s="70" t="s">
        <v>1516</v>
      </c>
      <c r="C102" s="71">
        <v>45705.416666666664</v>
      </c>
      <c r="D102" s="70" t="s">
        <v>1721</v>
      </c>
      <c r="E102" s="70" t="s">
        <v>1722</v>
      </c>
      <c r="F102" s="70" t="s">
        <v>1724</v>
      </c>
      <c r="G102" s="70"/>
      <c r="H102" s="70" t="s">
        <v>1334</v>
      </c>
      <c r="I102" s="70"/>
      <c r="J102" s="70">
        <v>0</v>
      </c>
      <c r="K102" s="70">
        <v>0</v>
      </c>
      <c r="L102" s="70">
        <v>0</v>
      </c>
      <c r="M102" s="70">
        <v>0</v>
      </c>
      <c r="N102" s="70">
        <v>1</v>
      </c>
      <c r="O102" s="70">
        <v>0</v>
      </c>
      <c r="P102" s="70">
        <v>0</v>
      </c>
      <c r="Q102" s="73" t="str">
        <f t="shared" si="3"/>
        <v>2025-02</v>
      </c>
      <c r="V102" s="70" t="s">
        <v>1723</v>
      </c>
      <c r="W102" s="73">
        <f>COUNTIF('IS｜CVレポート'!H:H,流入チャネル別顧客一覧_ユニーク!D102)</f>
        <v>0</v>
      </c>
    </row>
    <row r="103" spans="2:23" ht="12.95">
      <c r="B103" s="70" t="s">
        <v>1516</v>
      </c>
      <c r="C103" s="71">
        <v>45705.416666666664</v>
      </c>
      <c r="D103" s="70" t="s">
        <v>1673</v>
      </c>
      <c r="E103" s="70" t="s">
        <v>1674</v>
      </c>
      <c r="F103" s="70" t="s">
        <v>1676</v>
      </c>
      <c r="G103" s="70"/>
      <c r="H103" s="70" t="s">
        <v>1334</v>
      </c>
      <c r="I103" s="70"/>
      <c r="J103" s="70">
        <v>0</v>
      </c>
      <c r="K103" s="70">
        <v>0</v>
      </c>
      <c r="L103" s="70">
        <v>0</v>
      </c>
      <c r="M103" s="70">
        <v>0</v>
      </c>
      <c r="N103" s="70">
        <v>1</v>
      </c>
      <c r="O103" s="70">
        <v>0</v>
      </c>
      <c r="P103" s="70">
        <v>0</v>
      </c>
      <c r="Q103" s="73" t="str">
        <f t="shared" si="3"/>
        <v>2025-02</v>
      </c>
      <c r="V103" s="70" t="s">
        <v>1675</v>
      </c>
      <c r="W103" s="73">
        <f>COUNTIF('IS｜CVレポート'!H:H,流入チャネル別顧客一覧_ユニーク!D103)</f>
        <v>0</v>
      </c>
    </row>
    <row r="104" spans="2:23" ht="12.95">
      <c r="B104" s="70" t="s">
        <v>1516</v>
      </c>
      <c r="C104" s="71">
        <v>45705.416666666664</v>
      </c>
      <c r="D104" s="70" t="s">
        <v>1785</v>
      </c>
      <c r="E104" s="70" t="s">
        <v>1786</v>
      </c>
      <c r="F104" s="70" t="s">
        <v>1787</v>
      </c>
      <c r="G104" s="70"/>
      <c r="H104" s="70" t="s">
        <v>1334</v>
      </c>
      <c r="I104" s="70"/>
      <c r="J104" s="70">
        <v>0</v>
      </c>
      <c r="K104" s="70">
        <v>0</v>
      </c>
      <c r="L104" s="70">
        <v>0</v>
      </c>
      <c r="M104" s="70">
        <v>0</v>
      </c>
      <c r="N104" s="70">
        <v>1</v>
      </c>
      <c r="O104" s="70">
        <v>0</v>
      </c>
      <c r="P104" s="70">
        <v>0</v>
      </c>
      <c r="Q104" s="73" t="str">
        <f t="shared" si="3"/>
        <v>2025-02</v>
      </c>
      <c r="V104" s="70"/>
      <c r="W104" s="73">
        <f>COUNTIF('IS｜CVレポート'!H:H,流入チャネル別顧客一覧_ユニーク!D104)</f>
        <v>0</v>
      </c>
    </row>
    <row r="105" spans="2:23" ht="12.95">
      <c r="B105" s="70" t="s">
        <v>1516</v>
      </c>
      <c r="C105" s="71">
        <v>45705.416666666664</v>
      </c>
      <c r="D105" s="70" t="s">
        <v>1612</v>
      </c>
      <c r="E105" s="70" t="s">
        <v>1613</v>
      </c>
      <c r="F105" s="70" t="s">
        <v>1615</v>
      </c>
      <c r="G105" s="70"/>
      <c r="H105" s="70" t="s">
        <v>1334</v>
      </c>
      <c r="I105" s="70"/>
      <c r="J105" s="70">
        <v>0</v>
      </c>
      <c r="K105" s="70">
        <v>0</v>
      </c>
      <c r="L105" s="70">
        <v>0</v>
      </c>
      <c r="M105" s="70">
        <v>0</v>
      </c>
      <c r="N105" s="70">
        <v>1</v>
      </c>
      <c r="O105" s="70">
        <v>0</v>
      </c>
      <c r="P105" s="70">
        <v>0</v>
      </c>
      <c r="Q105" s="73" t="str">
        <f t="shared" si="3"/>
        <v>2025-02</v>
      </c>
      <c r="V105" s="70" t="s">
        <v>1614</v>
      </c>
      <c r="W105" s="73">
        <f>COUNTIF('IS｜CVレポート'!H:H,流入チャネル別顧客一覧_ユニーク!D105)</f>
        <v>0</v>
      </c>
    </row>
    <row r="106" spans="2:23" ht="12.95">
      <c r="B106" s="70" t="s">
        <v>1516</v>
      </c>
      <c r="C106" s="71">
        <v>45705.416666666664</v>
      </c>
      <c r="D106" s="70" t="s">
        <v>1597</v>
      </c>
      <c r="E106" s="70" t="s">
        <v>1598</v>
      </c>
      <c r="F106" s="70" t="s">
        <v>1600</v>
      </c>
      <c r="G106" s="70"/>
      <c r="H106" s="70" t="s">
        <v>1334</v>
      </c>
      <c r="I106" s="70"/>
      <c r="J106" s="70">
        <v>0</v>
      </c>
      <c r="K106" s="70">
        <v>0</v>
      </c>
      <c r="L106" s="70">
        <v>0</v>
      </c>
      <c r="M106" s="70">
        <v>0</v>
      </c>
      <c r="N106" s="70">
        <v>1</v>
      </c>
      <c r="O106" s="70">
        <v>0</v>
      </c>
      <c r="P106" s="70">
        <v>0</v>
      </c>
      <c r="Q106" s="73" t="str">
        <f t="shared" si="3"/>
        <v>2025-02</v>
      </c>
      <c r="V106" s="70" t="s">
        <v>1599</v>
      </c>
      <c r="W106" s="73">
        <f>COUNTIF('IS｜CVレポート'!H:H,流入チャネル別顧客一覧_ユニーク!D106)</f>
        <v>0</v>
      </c>
    </row>
    <row r="107" spans="2:23" ht="12.95">
      <c r="B107" s="70" t="s">
        <v>1516</v>
      </c>
      <c r="C107" s="71">
        <v>45705.416666666664</v>
      </c>
      <c r="D107" s="70" t="s">
        <v>1799</v>
      </c>
      <c r="E107" s="70" t="s">
        <v>1016</v>
      </c>
      <c r="F107" s="70" t="s">
        <v>1801</v>
      </c>
      <c r="G107" s="70"/>
      <c r="H107" s="70" t="s">
        <v>1334</v>
      </c>
      <c r="I107" s="70"/>
      <c r="J107" s="70">
        <v>0</v>
      </c>
      <c r="K107" s="70">
        <v>0</v>
      </c>
      <c r="L107" s="70">
        <v>0</v>
      </c>
      <c r="M107" s="70">
        <v>0</v>
      </c>
      <c r="N107" s="70">
        <v>1</v>
      </c>
      <c r="O107" s="70">
        <v>0</v>
      </c>
      <c r="P107" s="70">
        <v>0</v>
      </c>
      <c r="Q107" s="73" t="str">
        <f t="shared" si="3"/>
        <v>2025-02</v>
      </c>
      <c r="V107" s="70" t="s">
        <v>1800</v>
      </c>
      <c r="W107" s="73">
        <f>COUNTIF('IS｜CVレポート'!H:H,流入チャネル別顧客一覧_ユニーク!D107)</f>
        <v>0</v>
      </c>
    </row>
    <row r="108" spans="2:23" ht="12.95">
      <c r="B108" s="70" t="s">
        <v>1516</v>
      </c>
      <c r="C108" s="71">
        <v>45705.416666666664</v>
      </c>
      <c r="D108" s="70" t="s">
        <v>1620</v>
      </c>
      <c r="E108" s="70" t="s">
        <v>1621</v>
      </c>
      <c r="F108" s="70" t="s">
        <v>1623</v>
      </c>
      <c r="G108" s="70"/>
      <c r="H108" s="70" t="s">
        <v>1334</v>
      </c>
      <c r="I108" s="70"/>
      <c r="J108" s="70">
        <v>0</v>
      </c>
      <c r="K108" s="70">
        <v>0</v>
      </c>
      <c r="L108" s="70">
        <v>0</v>
      </c>
      <c r="M108" s="70">
        <v>0</v>
      </c>
      <c r="N108" s="70">
        <v>1</v>
      </c>
      <c r="O108" s="70">
        <v>0</v>
      </c>
      <c r="P108" s="70">
        <v>0</v>
      </c>
      <c r="Q108" s="73" t="str">
        <f t="shared" si="3"/>
        <v>2025-02</v>
      </c>
      <c r="V108" s="70" t="s">
        <v>1622</v>
      </c>
      <c r="W108" s="73">
        <f>COUNTIF('IS｜CVレポート'!H:H,流入チャネル別顧客一覧_ユニーク!D108)</f>
        <v>0</v>
      </c>
    </row>
    <row r="109" spans="2:23" ht="12.95">
      <c r="B109" s="70" t="s">
        <v>1516</v>
      </c>
      <c r="C109" s="71">
        <v>45705.416666666664</v>
      </c>
      <c r="D109" s="70" t="s">
        <v>1697</v>
      </c>
      <c r="E109" s="70" t="s">
        <v>271</v>
      </c>
      <c r="F109" s="70" t="s">
        <v>1699</v>
      </c>
      <c r="G109" s="70"/>
      <c r="H109" s="70" t="s">
        <v>1334</v>
      </c>
      <c r="I109" s="70"/>
      <c r="J109" s="70">
        <v>0</v>
      </c>
      <c r="K109" s="70">
        <v>0</v>
      </c>
      <c r="L109" s="70">
        <v>0</v>
      </c>
      <c r="M109" s="70">
        <v>0</v>
      </c>
      <c r="N109" s="70">
        <v>1</v>
      </c>
      <c r="O109" s="70">
        <v>0</v>
      </c>
      <c r="P109" s="70">
        <v>0</v>
      </c>
      <c r="Q109" s="73" t="str">
        <f t="shared" si="3"/>
        <v>2025-02</v>
      </c>
      <c r="V109" s="70" t="s">
        <v>1698</v>
      </c>
      <c r="W109" s="73">
        <f>COUNTIF('IS｜CVレポート'!H:H,流入チャネル別顧客一覧_ユニーク!D109)</f>
        <v>0</v>
      </c>
    </row>
    <row r="110" spans="2:23" ht="12.95">
      <c r="B110" s="70" t="s">
        <v>1516</v>
      </c>
      <c r="C110" s="71">
        <v>45705.416666666664</v>
      </c>
      <c r="D110" s="70" t="s">
        <v>1718</v>
      </c>
      <c r="E110" s="70" t="s">
        <v>1719</v>
      </c>
      <c r="F110" s="70" t="s">
        <v>1720</v>
      </c>
      <c r="G110" s="70"/>
      <c r="H110" s="70" t="s">
        <v>1334</v>
      </c>
      <c r="I110" s="70"/>
      <c r="J110" s="70">
        <v>0</v>
      </c>
      <c r="K110" s="70">
        <v>0</v>
      </c>
      <c r="L110" s="70">
        <v>0</v>
      </c>
      <c r="M110" s="70">
        <v>0</v>
      </c>
      <c r="N110" s="70">
        <v>1</v>
      </c>
      <c r="O110" s="70">
        <v>0</v>
      </c>
      <c r="P110" s="70">
        <v>0</v>
      </c>
      <c r="Q110" s="73" t="str">
        <f t="shared" si="3"/>
        <v>2025-02</v>
      </c>
      <c r="V110" s="70"/>
      <c r="W110" s="73">
        <f>COUNTIF('IS｜CVレポート'!H:H,流入チャネル別顧客一覧_ユニーク!D110)</f>
        <v>0</v>
      </c>
    </row>
    <row r="111" spans="2:23" ht="12.95">
      <c r="B111" s="70" t="s">
        <v>1516</v>
      </c>
      <c r="C111" s="71">
        <v>45705.416666666664</v>
      </c>
      <c r="D111" s="70" t="s">
        <v>1639</v>
      </c>
      <c r="E111" s="70" t="s">
        <v>1640</v>
      </c>
      <c r="F111" s="70" t="s">
        <v>1641</v>
      </c>
      <c r="G111" s="70"/>
      <c r="H111" s="70" t="s">
        <v>1334</v>
      </c>
      <c r="I111" s="70"/>
      <c r="J111" s="70">
        <v>0</v>
      </c>
      <c r="K111" s="70">
        <v>0</v>
      </c>
      <c r="L111" s="70">
        <v>0</v>
      </c>
      <c r="M111" s="70">
        <v>0</v>
      </c>
      <c r="N111" s="70">
        <v>1</v>
      </c>
      <c r="O111" s="70">
        <v>0</v>
      </c>
      <c r="P111" s="70">
        <v>0</v>
      </c>
      <c r="Q111" s="73" t="str">
        <f t="shared" si="3"/>
        <v>2025-02</v>
      </c>
      <c r="V111" s="70"/>
      <c r="W111" s="73">
        <f>COUNTIF('IS｜CVレポート'!H:H,流入チャネル別顧客一覧_ユニーク!D111)</f>
        <v>0</v>
      </c>
    </row>
    <row r="112" spans="2:23" ht="12.95">
      <c r="B112" s="70" t="s">
        <v>1516</v>
      </c>
      <c r="C112" s="71">
        <v>45705.416666666664</v>
      </c>
      <c r="D112" s="70" t="s">
        <v>1782</v>
      </c>
      <c r="E112" s="70" t="s">
        <v>1783</v>
      </c>
      <c r="F112" s="70" t="s">
        <v>1784</v>
      </c>
      <c r="G112" s="70"/>
      <c r="H112" s="70" t="s">
        <v>1334</v>
      </c>
      <c r="I112" s="70"/>
      <c r="J112" s="70">
        <v>0</v>
      </c>
      <c r="K112" s="70">
        <v>0</v>
      </c>
      <c r="L112" s="70">
        <v>0</v>
      </c>
      <c r="M112" s="70">
        <v>0</v>
      </c>
      <c r="N112" s="70">
        <v>1</v>
      </c>
      <c r="O112" s="70">
        <v>0</v>
      </c>
      <c r="P112" s="70">
        <v>0</v>
      </c>
      <c r="Q112" s="73" t="str">
        <f t="shared" si="3"/>
        <v>2025-02</v>
      </c>
      <c r="V112" s="70" t="s">
        <v>1709</v>
      </c>
      <c r="W112" s="73">
        <f>COUNTIF('IS｜CVレポート'!H:H,流入チャネル別顧客一覧_ユニーク!D112)</f>
        <v>0</v>
      </c>
    </row>
    <row r="113" spans="2:23" ht="12.95">
      <c r="B113" s="70" t="s">
        <v>1516</v>
      </c>
      <c r="C113" s="71">
        <v>45705.416666666664</v>
      </c>
      <c r="D113" s="70" t="s">
        <v>1691</v>
      </c>
      <c r="E113" s="70" t="s">
        <v>1692</v>
      </c>
      <c r="F113" s="70" t="s">
        <v>1693</v>
      </c>
      <c r="G113" s="70"/>
      <c r="H113" s="70" t="s">
        <v>1334</v>
      </c>
      <c r="I113" s="70"/>
      <c r="J113" s="70">
        <v>0</v>
      </c>
      <c r="K113" s="70">
        <v>0</v>
      </c>
      <c r="L113" s="70">
        <v>0</v>
      </c>
      <c r="M113" s="70">
        <v>0</v>
      </c>
      <c r="N113" s="70">
        <v>1</v>
      </c>
      <c r="O113" s="70">
        <v>0</v>
      </c>
      <c r="P113" s="70">
        <v>0</v>
      </c>
      <c r="Q113" s="73" t="str">
        <f t="shared" si="3"/>
        <v>2025-02</v>
      </c>
      <c r="V113" s="70"/>
      <c r="W113" s="73">
        <f>COUNTIF('IS｜CVレポート'!H:H,流入チャネル別顧客一覧_ユニーク!D113)</f>
        <v>0</v>
      </c>
    </row>
    <row r="114" spans="2:23" ht="12.95">
      <c r="B114" s="70" t="s">
        <v>1516</v>
      </c>
      <c r="C114" s="71">
        <v>45705.416666666664</v>
      </c>
      <c r="D114" s="70" t="s">
        <v>1571</v>
      </c>
      <c r="E114" s="70" t="s">
        <v>1572</v>
      </c>
      <c r="F114" s="70" t="s">
        <v>1574</v>
      </c>
      <c r="G114" s="70"/>
      <c r="H114" s="70" t="s">
        <v>1334</v>
      </c>
      <c r="I114" s="70"/>
      <c r="J114" s="70">
        <v>0</v>
      </c>
      <c r="K114" s="70">
        <v>0</v>
      </c>
      <c r="L114" s="70">
        <v>0</v>
      </c>
      <c r="M114" s="70">
        <v>0</v>
      </c>
      <c r="N114" s="70">
        <v>1</v>
      </c>
      <c r="O114" s="70">
        <v>0</v>
      </c>
      <c r="P114" s="70">
        <v>0</v>
      </c>
      <c r="Q114" s="73" t="str">
        <f t="shared" si="3"/>
        <v>2025-02</v>
      </c>
      <c r="V114" s="70" t="s">
        <v>1573</v>
      </c>
      <c r="W114" s="73">
        <f>COUNTIF('IS｜CVレポート'!H:H,流入チャネル別顧客一覧_ユニーク!D114)</f>
        <v>0</v>
      </c>
    </row>
    <row r="115" spans="2:23" ht="12.95">
      <c r="B115" s="70" t="s">
        <v>1420</v>
      </c>
      <c r="C115" s="71">
        <v>45705.463888888888</v>
      </c>
      <c r="D115" s="70" t="s">
        <v>1512</v>
      </c>
      <c r="E115" s="70" t="s">
        <v>1513</v>
      </c>
      <c r="F115" s="70" t="s">
        <v>1515</v>
      </c>
      <c r="G115" s="70"/>
      <c r="H115" s="70" t="s">
        <v>1332</v>
      </c>
      <c r="I115" s="70"/>
      <c r="J115" s="70">
        <v>0</v>
      </c>
      <c r="K115" s="70">
        <v>0</v>
      </c>
      <c r="L115" s="70">
        <v>1</v>
      </c>
      <c r="M115" s="70">
        <v>0</v>
      </c>
      <c r="N115" s="70">
        <v>0</v>
      </c>
      <c r="O115" s="70">
        <v>0</v>
      </c>
      <c r="P115" s="70">
        <v>0</v>
      </c>
      <c r="Q115" s="73" t="str">
        <f t="shared" si="3"/>
        <v>2025-02</v>
      </c>
      <c r="V115" s="70" t="s">
        <v>1514</v>
      </c>
      <c r="W115" s="73">
        <f>COUNTIF('IS｜CVレポート'!H:H,流入チャネル別顧客一覧_ユニーク!D115)</f>
        <v>0</v>
      </c>
    </row>
    <row r="116" spans="2:23" ht="12.95">
      <c r="B116" s="70" t="s">
        <v>1516</v>
      </c>
      <c r="C116" s="71">
        <v>45706.497916666667</v>
      </c>
      <c r="D116" s="70" t="s">
        <v>1806</v>
      </c>
      <c r="E116" s="70" t="s">
        <v>1807</v>
      </c>
      <c r="F116" s="70" t="s">
        <v>1808</v>
      </c>
      <c r="G116" s="70"/>
      <c r="H116" s="70" t="s">
        <v>1333</v>
      </c>
      <c r="I116" s="70"/>
      <c r="J116" s="70">
        <v>0</v>
      </c>
      <c r="K116" s="70">
        <v>0</v>
      </c>
      <c r="L116" s="70">
        <v>0</v>
      </c>
      <c r="M116" s="70">
        <v>1</v>
      </c>
      <c r="N116" s="70">
        <v>0</v>
      </c>
      <c r="O116" s="70">
        <v>0</v>
      </c>
      <c r="P116" s="70">
        <v>0</v>
      </c>
      <c r="Q116" s="73" t="str">
        <f t="shared" si="3"/>
        <v>2025-02</v>
      </c>
      <c r="V116" s="70"/>
      <c r="W116" s="73">
        <f>COUNTIF('IS｜CVレポート'!H:H,流入チャネル別顧客一覧_ユニーク!D116)</f>
        <v>0</v>
      </c>
    </row>
    <row r="117" spans="2:23" ht="12.95">
      <c r="B117" s="70" t="s">
        <v>1337</v>
      </c>
      <c r="C117" s="71">
        <v>45706.978472222225</v>
      </c>
      <c r="D117" s="70" t="s">
        <v>1399</v>
      </c>
      <c r="E117" s="70" t="s">
        <v>1400</v>
      </c>
      <c r="F117" s="70" t="s">
        <v>1402</v>
      </c>
      <c r="G117" s="70"/>
      <c r="H117" s="70" t="s">
        <v>1333</v>
      </c>
      <c r="I117" s="70"/>
      <c r="J117" s="70">
        <v>0</v>
      </c>
      <c r="K117" s="70">
        <v>0</v>
      </c>
      <c r="L117" s="70">
        <v>0</v>
      </c>
      <c r="M117" s="70">
        <v>1</v>
      </c>
      <c r="N117" s="70">
        <v>0</v>
      </c>
      <c r="O117" s="70">
        <v>0</v>
      </c>
      <c r="P117" s="70">
        <v>0</v>
      </c>
      <c r="Q117" s="73" t="str">
        <f t="shared" si="3"/>
        <v>2025-02</v>
      </c>
      <c r="V117" s="70" t="s">
        <v>1401</v>
      </c>
      <c r="W117" s="73">
        <f>COUNTIF('IS｜CVレポート'!H:H,流入チャネル別顧客一覧_ユニーク!D117)</f>
        <v>0</v>
      </c>
    </row>
    <row r="118" spans="2:23" ht="12.95">
      <c r="B118" s="70" t="s">
        <v>1337</v>
      </c>
      <c r="C118" s="71">
        <v>45715.57708333333</v>
      </c>
      <c r="D118" s="70" t="s">
        <v>1403</v>
      </c>
      <c r="E118" s="70" t="s">
        <v>1404</v>
      </c>
      <c r="F118" s="70" t="s">
        <v>1406</v>
      </c>
      <c r="G118" s="70"/>
      <c r="H118" s="70" t="s">
        <v>1333</v>
      </c>
      <c r="I118" s="70"/>
      <c r="J118" s="70">
        <v>0</v>
      </c>
      <c r="K118" s="70">
        <v>0</v>
      </c>
      <c r="L118" s="70">
        <v>0</v>
      </c>
      <c r="M118" s="70">
        <v>1</v>
      </c>
      <c r="N118" s="70">
        <v>0</v>
      </c>
      <c r="O118" s="70">
        <v>0</v>
      </c>
      <c r="P118" s="70">
        <v>0</v>
      </c>
      <c r="Q118" s="73" t="str">
        <f t="shared" si="3"/>
        <v>2025-02</v>
      </c>
      <c r="V118" s="70" t="s">
        <v>1405</v>
      </c>
      <c r="W118" s="73">
        <f>COUNTIF('IS｜CVレポート'!H:H,流入チャネル別顧客一覧_ユニーク!D118)</f>
        <v>0</v>
      </c>
    </row>
    <row r="119" spans="2:23" ht="12.95">
      <c r="B119" s="70" t="s">
        <v>1337</v>
      </c>
      <c r="C119" s="71">
        <v>45716.48333333333</v>
      </c>
      <c r="D119" s="70" t="s">
        <v>1407</v>
      </c>
      <c r="E119" s="70" t="s">
        <v>1408</v>
      </c>
      <c r="F119" s="70" t="s">
        <v>1410</v>
      </c>
      <c r="G119" s="70"/>
      <c r="H119" s="70" t="s">
        <v>1333</v>
      </c>
      <c r="I119" s="70"/>
      <c r="J119" s="70">
        <v>0</v>
      </c>
      <c r="K119" s="70">
        <v>0</v>
      </c>
      <c r="L119" s="70">
        <v>0</v>
      </c>
      <c r="M119" s="70">
        <v>1</v>
      </c>
      <c r="N119" s="70">
        <v>0</v>
      </c>
      <c r="O119" s="70">
        <v>0</v>
      </c>
      <c r="P119" s="70">
        <v>0</v>
      </c>
      <c r="Q119" s="73" t="str">
        <f t="shared" si="3"/>
        <v>2025-02</v>
      </c>
      <c r="V119" s="70" t="s">
        <v>1409</v>
      </c>
      <c r="W119" s="73">
        <f>COUNTIF('IS｜CVレポート'!H:H,流入チャネル別顧客一覧_ユニーク!D119)</f>
        <v>0</v>
      </c>
    </row>
    <row r="120" spans="2:23" ht="12.95">
      <c r="B120" s="70" t="s">
        <v>1516</v>
      </c>
      <c r="C120" s="71">
        <v>45719.45</v>
      </c>
      <c r="D120" s="70" t="s">
        <v>1810</v>
      </c>
      <c r="E120" s="70" t="s">
        <v>1811</v>
      </c>
      <c r="F120" s="70" t="s">
        <v>1812</v>
      </c>
      <c r="G120" s="70"/>
      <c r="H120" s="70" t="s">
        <v>1333</v>
      </c>
      <c r="I120" s="70"/>
      <c r="J120" s="70">
        <v>0</v>
      </c>
      <c r="K120" s="70">
        <v>0</v>
      </c>
      <c r="L120" s="70">
        <v>0</v>
      </c>
      <c r="M120" s="70">
        <v>1</v>
      </c>
      <c r="N120" s="70">
        <v>0</v>
      </c>
      <c r="O120" s="70">
        <v>0</v>
      </c>
      <c r="P120" s="70">
        <v>0</v>
      </c>
      <c r="Q120" s="73" t="str">
        <f t="shared" si="3"/>
        <v>2025-03</v>
      </c>
      <c r="V120" s="70"/>
      <c r="W120" s="73">
        <f>COUNTIF('IS｜CVレポート'!H:H,流入チャネル別顧客一覧_ユニーク!D120)</f>
        <v>0</v>
      </c>
    </row>
    <row r="121" spans="2:23" ht="12.95">
      <c r="B121" s="70" t="s">
        <v>1516</v>
      </c>
      <c r="C121" s="71">
        <v>45723.597916666666</v>
      </c>
      <c r="D121" s="70" t="s">
        <v>1813</v>
      </c>
      <c r="E121" s="70" t="s">
        <v>1814</v>
      </c>
      <c r="F121" s="70" t="s">
        <v>1815</v>
      </c>
      <c r="G121" s="70"/>
      <c r="H121" s="70" t="s">
        <v>1331</v>
      </c>
      <c r="I121" s="70"/>
      <c r="J121" s="70">
        <v>0</v>
      </c>
      <c r="K121" s="70">
        <v>1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3" t="str">
        <f t="shared" si="3"/>
        <v>2025-03</v>
      </c>
      <c r="V121" s="70"/>
      <c r="W121" s="73">
        <f>COUNTIF('IS｜CVレポート'!H:H,流入チャネル別顧客一覧_ユニーク!D121)</f>
        <v>0</v>
      </c>
    </row>
    <row r="122" spans="2:23" ht="12.95">
      <c r="B122" s="70" t="s">
        <v>1337</v>
      </c>
      <c r="C122" s="71">
        <v>45727.597222222219</v>
      </c>
      <c r="D122" s="70" t="s">
        <v>1412</v>
      </c>
      <c r="E122" s="70" t="s">
        <v>1413</v>
      </c>
      <c r="F122" s="70" t="s">
        <v>1415</v>
      </c>
      <c r="G122" s="70"/>
      <c r="H122" s="70" t="s">
        <v>1333</v>
      </c>
      <c r="I122" s="70"/>
      <c r="J122" s="70">
        <v>0</v>
      </c>
      <c r="K122" s="70">
        <v>0</v>
      </c>
      <c r="L122" s="70">
        <v>0</v>
      </c>
      <c r="M122" s="70">
        <v>1</v>
      </c>
      <c r="N122" s="70">
        <v>0</v>
      </c>
      <c r="O122" s="70">
        <v>0</v>
      </c>
      <c r="P122" s="70">
        <v>0</v>
      </c>
      <c r="Q122" s="73" t="str">
        <f t="shared" si="3"/>
        <v>2025-03</v>
      </c>
      <c r="V122" s="70" t="s">
        <v>1414</v>
      </c>
      <c r="W122" s="73">
        <f>COUNTIF('IS｜CVレポート'!H:H,流入チャネル別顧客一覧_ユニーク!D122)</f>
        <v>0</v>
      </c>
    </row>
    <row r="123" spans="2:23" ht="12.95">
      <c r="B123" s="70" t="s">
        <v>1337</v>
      </c>
      <c r="C123" s="71">
        <v>45729.688888888886</v>
      </c>
      <c r="D123" s="70" t="s">
        <v>1416</v>
      </c>
      <c r="E123" s="70" t="s">
        <v>1417</v>
      </c>
      <c r="F123" s="70" t="s">
        <v>1419</v>
      </c>
      <c r="G123" s="70"/>
      <c r="H123" s="70" t="s">
        <v>1336</v>
      </c>
      <c r="I123" s="70"/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1</v>
      </c>
      <c r="Q123" s="73" t="str">
        <f t="shared" si="3"/>
        <v>2025-03</v>
      </c>
      <c r="V123" s="70" t="s">
        <v>1418</v>
      </c>
      <c r="W123" s="73">
        <f>COUNTIF('IS｜CVレポート'!H:H,流入チャネル別顧客一覧_ユニーク!D123)</f>
        <v>0</v>
      </c>
    </row>
    <row r="124" spans="2:23" ht="12.95">
      <c r="B124" s="73" t="s">
        <v>1516</v>
      </c>
      <c r="C124" s="71">
        <v>45749.416666666664</v>
      </c>
      <c r="D124" s="73" t="s">
        <v>1820</v>
      </c>
      <c r="E124" s="73" t="s">
        <v>880</v>
      </c>
      <c r="F124" s="73" t="s">
        <v>1822</v>
      </c>
      <c r="H124" s="73" t="s">
        <v>1334</v>
      </c>
      <c r="J124" s="73">
        <v>0</v>
      </c>
      <c r="K124" s="73">
        <v>0</v>
      </c>
      <c r="L124" s="73">
        <v>0</v>
      </c>
      <c r="M124" s="73">
        <v>0</v>
      </c>
      <c r="N124" s="73">
        <v>1</v>
      </c>
      <c r="O124" s="73">
        <v>0</v>
      </c>
      <c r="P124" s="73">
        <v>0</v>
      </c>
      <c r="Q124" s="73" t="str">
        <f t="shared" si="3"/>
        <v>2025-04</v>
      </c>
      <c r="V124" s="73" t="s">
        <v>1821</v>
      </c>
      <c r="W124" s="73">
        <f>COUNTIF('IS｜CVレポート'!H:H,流入チャネル別顧客一覧_ユニーク!D124)</f>
        <v>0</v>
      </c>
    </row>
    <row r="125" spans="2:23" ht="12.95">
      <c r="B125" s="70" t="s">
        <v>1337</v>
      </c>
      <c r="C125" s="71">
        <v>45749.706250000003</v>
      </c>
      <c r="D125" s="70" t="s">
        <v>1816</v>
      </c>
      <c r="E125" s="70" t="s">
        <v>1817</v>
      </c>
      <c r="F125" s="70" t="s">
        <v>1819</v>
      </c>
      <c r="G125" s="70"/>
      <c r="H125" s="70" t="s">
        <v>1333</v>
      </c>
      <c r="I125" s="70"/>
      <c r="J125" s="70">
        <v>0</v>
      </c>
      <c r="K125" s="70">
        <v>0</v>
      </c>
      <c r="L125" s="70">
        <v>0</v>
      </c>
      <c r="M125" s="70">
        <v>1</v>
      </c>
      <c r="N125" s="70">
        <v>0</v>
      </c>
      <c r="O125" s="70">
        <v>0</v>
      </c>
      <c r="P125" s="70">
        <v>0</v>
      </c>
      <c r="Q125" s="73" t="str">
        <f t="shared" si="3"/>
        <v>2025-04</v>
      </c>
      <c r="V125" s="70" t="s">
        <v>1818</v>
      </c>
      <c r="W125" s="73">
        <f>COUNTIF('IS｜CVレポート'!H:H,流入チャネル別顧客一覧_ユニーク!D125)</f>
        <v>0</v>
      </c>
    </row>
    <row r="126" spans="2:23" ht="12.95">
      <c r="B126" s="73" t="s">
        <v>1516</v>
      </c>
      <c r="C126" s="71">
        <v>45749.756944444445</v>
      </c>
      <c r="D126" s="73" t="s">
        <v>1823</v>
      </c>
      <c r="E126" s="73" t="s">
        <v>1824</v>
      </c>
      <c r="F126" s="73" t="s">
        <v>1825</v>
      </c>
      <c r="H126" s="73" t="s">
        <v>1332</v>
      </c>
      <c r="J126" s="73">
        <v>0</v>
      </c>
      <c r="K126" s="73">
        <v>0</v>
      </c>
      <c r="L126" s="73">
        <v>1</v>
      </c>
      <c r="M126" s="73">
        <v>0</v>
      </c>
      <c r="N126" s="73">
        <v>0</v>
      </c>
      <c r="O126" s="73">
        <v>0</v>
      </c>
      <c r="P126" s="73">
        <v>0</v>
      </c>
      <c r="Q126" s="73" t="str">
        <f t="shared" si="3"/>
        <v>2025-04</v>
      </c>
      <c r="W126" s="73">
        <f>COUNTIF('IS｜CVレポート'!H:H,流入チャネル別顧客一覧_ユニーク!D126)</f>
        <v>0</v>
      </c>
    </row>
    <row r="127" spans="2:23" ht="12.95">
      <c r="B127" s="73" t="s">
        <v>1516</v>
      </c>
      <c r="C127" s="71">
        <v>45749.788194444445</v>
      </c>
      <c r="D127" s="73" t="s">
        <v>1826</v>
      </c>
      <c r="E127" s="73" t="s">
        <v>1827</v>
      </c>
      <c r="F127" s="73" t="s">
        <v>1828</v>
      </c>
      <c r="H127" s="73" t="s">
        <v>1333</v>
      </c>
      <c r="J127" s="73">
        <v>0</v>
      </c>
      <c r="K127" s="73">
        <v>0</v>
      </c>
      <c r="L127" s="73">
        <v>0</v>
      </c>
      <c r="M127" s="73">
        <v>1</v>
      </c>
      <c r="N127" s="73">
        <v>0</v>
      </c>
      <c r="O127" s="73">
        <v>0</v>
      </c>
      <c r="P127" s="73">
        <v>0</v>
      </c>
      <c r="Q127" s="73" t="str">
        <f t="shared" si="3"/>
        <v>2025-04</v>
      </c>
      <c r="W127" s="73">
        <f>COUNTIF('IS｜CVレポート'!H:H,流入チャネル別顧客一覧_ユニーク!D127)</f>
        <v>0</v>
      </c>
    </row>
    <row r="128" spans="2:23" ht="12.95">
      <c r="B128" s="73" t="s">
        <v>1516</v>
      </c>
      <c r="C128" s="71">
        <v>45757.556944444441</v>
      </c>
      <c r="D128" s="73" t="s">
        <v>1829</v>
      </c>
      <c r="E128" s="73" t="s">
        <v>1830</v>
      </c>
      <c r="F128" s="73" t="s">
        <v>1831</v>
      </c>
      <c r="H128" s="73" t="s">
        <v>1333</v>
      </c>
      <c r="J128" s="73">
        <v>0</v>
      </c>
      <c r="K128" s="73">
        <v>0</v>
      </c>
      <c r="L128" s="73">
        <v>0</v>
      </c>
      <c r="M128" s="73">
        <v>1</v>
      </c>
      <c r="N128" s="73">
        <v>0</v>
      </c>
      <c r="O128" s="73">
        <v>0</v>
      </c>
      <c r="P128" s="73">
        <v>0</v>
      </c>
      <c r="Q128" s="73" t="str">
        <f t="shared" si="3"/>
        <v>2025-04</v>
      </c>
      <c r="W128" s="73">
        <f>COUNTIF('IS｜CVレポート'!H:H,流入チャネル別顧客一覧_ユニーク!D128)</f>
        <v>0</v>
      </c>
    </row>
    <row r="129" spans="1:23" ht="12.95">
      <c r="B129" s="73" t="s">
        <v>1516</v>
      </c>
      <c r="C129" s="71">
        <v>45762.599305555559</v>
      </c>
      <c r="D129" s="73" t="s">
        <v>1832</v>
      </c>
      <c r="E129" s="73" t="s">
        <v>1833</v>
      </c>
      <c r="F129" s="73" t="s">
        <v>1834</v>
      </c>
      <c r="H129" s="73" t="s">
        <v>1333</v>
      </c>
      <c r="J129" s="73">
        <v>0</v>
      </c>
      <c r="K129" s="73">
        <v>0</v>
      </c>
      <c r="L129" s="73">
        <v>0</v>
      </c>
      <c r="M129" s="73">
        <v>1</v>
      </c>
      <c r="N129" s="73">
        <v>0</v>
      </c>
      <c r="O129" s="73">
        <v>0</v>
      </c>
      <c r="P129" s="73">
        <v>0</v>
      </c>
      <c r="Q129" s="73" t="str">
        <f t="shared" si="3"/>
        <v>2025-04</v>
      </c>
      <c r="R129" s="75">
        <v>45397</v>
      </c>
      <c r="W129" s="73">
        <f>COUNTIF('IS｜CVレポート'!H:H,流入チャネル別顧客一覧_ユニーク!D129)</f>
        <v>0</v>
      </c>
    </row>
    <row r="130" spans="1:23" ht="12.95">
      <c r="B130" s="70" t="s">
        <v>1516</v>
      </c>
      <c r="C130" s="71">
        <v>45807.416666666664</v>
      </c>
      <c r="D130" s="70" t="s">
        <v>1839</v>
      </c>
      <c r="E130" s="70" t="s">
        <v>1840</v>
      </c>
      <c r="F130" s="70" t="s">
        <v>1842</v>
      </c>
      <c r="G130" s="70"/>
      <c r="H130" s="70" t="s">
        <v>1334</v>
      </c>
      <c r="I130" s="73">
        <v>0</v>
      </c>
      <c r="J130" s="73">
        <v>0</v>
      </c>
      <c r="K130" s="73">
        <v>0</v>
      </c>
      <c r="L130" s="70">
        <v>0</v>
      </c>
      <c r="M130" s="70">
        <v>0</v>
      </c>
      <c r="N130" s="70">
        <v>1</v>
      </c>
      <c r="O130" s="73">
        <v>0</v>
      </c>
      <c r="P130" s="73">
        <v>0</v>
      </c>
      <c r="Q130" s="73" t="str">
        <f t="shared" ref="Q130:Q161" si="4">TEXT(C130, "yyyy-mm")</f>
        <v>2025-05</v>
      </c>
      <c r="R130" s="75">
        <v>45442</v>
      </c>
      <c r="V130" s="70" t="s">
        <v>1841</v>
      </c>
      <c r="W130" s="73">
        <f>COUNTIF('IS｜CVレポート'!H:H,流入チャネル別顧客一覧_ユニーク!D130)</f>
        <v>0</v>
      </c>
    </row>
    <row r="131" spans="1:23" ht="12.95">
      <c r="A131" s="76"/>
      <c r="B131" s="70" t="s">
        <v>1516</v>
      </c>
      <c r="C131" s="71">
        <v>45807.416666666664</v>
      </c>
      <c r="D131" s="70" t="s">
        <v>1715</v>
      </c>
      <c r="E131" s="70" t="s">
        <v>1667</v>
      </c>
      <c r="F131" s="70" t="s">
        <v>1717</v>
      </c>
      <c r="G131" s="70"/>
      <c r="H131" s="70" t="s">
        <v>1334</v>
      </c>
      <c r="I131" s="73">
        <v>0</v>
      </c>
      <c r="J131" s="73">
        <v>0</v>
      </c>
      <c r="K131" s="73">
        <v>0</v>
      </c>
      <c r="L131" s="70">
        <v>0</v>
      </c>
      <c r="M131" s="70">
        <v>0</v>
      </c>
      <c r="N131" s="70">
        <v>1</v>
      </c>
      <c r="O131" s="73">
        <v>0</v>
      </c>
      <c r="P131" s="73">
        <v>0</v>
      </c>
      <c r="Q131" s="73" t="str">
        <f t="shared" si="4"/>
        <v>2025-05</v>
      </c>
      <c r="V131" s="70" t="s">
        <v>1716</v>
      </c>
      <c r="W131" s="73">
        <f>COUNTIF('IS｜CVレポート'!H:H,流入チャネル別顧客一覧_ユニーク!D131)</f>
        <v>0</v>
      </c>
    </row>
    <row r="132" spans="1:23" ht="12.95">
      <c r="A132" s="76"/>
      <c r="B132" s="70" t="s">
        <v>1516</v>
      </c>
      <c r="C132" s="71">
        <v>45807.416666666664</v>
      </c>
      <c r="D132" s="70" t="s">
        <v>1495</v>
      </c>
      <c r="E132" s="70" t="s">
        <v>149</v>
      </c>
      <c r="F132" s="70" t="s">
        <v>1497</v>
      </c>
      <c r="G132" s="70"/>
      <c r="H132" s="70" t="s">
        <v>1334</v>
      </c>
      <c r="I132" s="73">
        <v>0</v>
      </c>
      <c r="J132" s="73">
        <v>0</v>
      </c>
      <c r="K132" s="73">
        <v>0</v>
      </c>
      <c r="L132" s="70">
        <v>0</v>
      </c>
      <c r="M132" s="70">
        <v>0</v>
      </c>
      <c r="N132" s="70">
        <v>1</v>
      </c>
      <c r="O132" s="73">
        <v>0</v>
      </c>
      <c r="P132" s="73">
        <v>0</v>
      </c>
      <c r="Q132" s="73" t="str">
        <f t="shared" si="4"/>
        <v>2025-05</v>
      </c>
      <c r="V132" s="70" t="s">
        <v>1496</v>
      </c>
      <c r="W132" s="73">
        <f>COUNTIF('IS｜CVレポート'!H:H,流入チャネル別顧客一覧_ユニーク!D132)</f>
        <v>0</v>
      </c>
    </row>
    <row r="133" spans="1:23" ht="12.95">
      <c r="A133" s="77"/>
      <c r="B133" s="70" t="s">
        <v>1337</v>
      </c>
      <c r="C133" s="71">
        <v>45807.545138888891</v>
      </c>
      <c r="D133" s="70" t="s">
        <v>1835</v>
      </c>
      <c r="E133" s="70" t="s">
        <v>1836</v>
      </c>
      <c r="F133" s="70" t="s">
        <v>1838</v>
      </c>
      <c r="G133" s="70"/>
      <c r="H133" s="70" t="s">
        <v>1333</v>
      </c>
      <c r="I133" s="73">
        <v>0</v>
      </c>
      <c r="J133" s="73">
        <v>0</v>
      </c>
      <c r="K133" s="73">
        <v>0</v>
      </c>
      <c r="L133" s="70">
        <v>0</v>
      </c>
      <c r="M133" s="70">
        <v>1</v>
      </c>
      <c r="N133" s="70">
        <v>0</v>
      </c>
      <c r="O133" s="73">
        <v>0</v>
      </c>
      <c r="P133" s="73">
        <v>0</v>
      </c>
      <c r="Q133" s="73" t="str">
        <f t="shared" si="4"/>
        <v>2025-05</v>
      </c>
      <c r="V133" s="70" t="s">
        <v>1837</v>
      </c>
      <c r="W133" s="73">
        <f>COUNTIF('IS｜CVレポート'!H:H,流入チャネル別顧客一覧_ユニーク!D133)</f>
        <v>4</v>
      </c>
    </row>
    <row r="134" spans="1:23" ht="12.95">
      <c r="A134" s="76"/>
      <c r="B134" s="70" t="s">
        <v>1516</v>
      </c>
      <c r="C134" s="71">
        <v>45807.75</v>
      </c>
      <c r="D134" s="70" t="s">
        <v>1843</v>
      </c>
      <c r="E134" s="70" t="s">
        <v>167</v>
      </c>
      <c r="F134" s="70" t="s">
        <v>1844</v>
      </c>
      <c r="G134" s="70"/>
      <c r="H134" s="70" t="s">
        <v>1332</v>
      </c>
      <c r="I134" s="73">
        <v>0</v>
      </c>
      <c r="J134" s="73">
        <v>0</v>
      </c>
      <c r="K134" s="73">
        <v>0</v>
      </c>
      <c r="L134" s="70">
        <v>1</v>
      </c>
      <c r="M134" s="70">
        <v>0</v>
      </c>
      <c r="N134" s="70">
        <v>0</v>
      </c>
      <c r="O134" s="73">
        <v>0</v>
      </c>
      <c r="P134" s="73">
        <v>0</v>
      </c>
      <c r="Q134" s="73" t="str">
        <f t="shared" si="4"/>
        <v>2025-05</v>
      </c>
      <c r="R134" s="75">
        <v>45807</v>
      </c>
      <c r="S134" s="75">
        <v>45819</v>
      </c>
      <c r="V134" s="70"/>
      <c r="W134" s="73">
        <f>COUNTIF('IS｜CVレポート'!H:H,流入チャネル別顧客一覧_ユニーク!D134)</f>
        <v>4</v>
      </c>
    </row>
    <row r="135" spans="1:23" ht="12.95">
      <c r="A135" s="76"/>
      <c r="B135" s="70" t="s">
        <v>1337</v>
      </c>
      <c r="C135" s="71">
        <v>45817.577777777777</v>
      </c>
      <c r="D135" s="70" t="s">
        <v>1845</v>
      </c>
      <c r="E135" s="70" t="s">
        <v>1846</v>
      </c>
      <c r="F135" s="70" t="s">
        <v>1848</v>
      </c>
      <c r="G135" s="70"/>
      <c r="H135" s="70" t="s">
        <v>1336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0">
        <v>0</v>
      </c>
      <c r="O135" s="73">
        <v>0</v>
      </c>
      <c r="P135" s="70">
        <v>1</v>
      </c>
      <c r="Q135" s="73" t="str">
        <f t="shared" si="4"/>
        <v>2025-06</v>
      </c>
      <c r="V135" s="70" t="s">
        <v>1847</v>
      </c>
      <c r="W135" s="73">
        <f>COUNTIF('IS｜CVレポート'!H:H,流入チャネル別顧客一覧_ユニーク!D135)</f>
        <v>5</v>
      </c>
    </row>
    <row r="136" spans="1:23" ht="12.95">
      <c r="A136" s="76"/>
      <c r="B136" s="70" t="s">
        <v>1516</v>
      </c>
      <c r="C136" s="71">
        <v>45824.416666666664</v>
      </c>
      <c r="D136" s="70" t="s">
        <v>1849</v>
      </c>
      <c r="E136" s="70" t="s">
        <v>1850</v>
      </c>
      <c r="F136" s="70" t="s">
        <v>1852</v>
      </c>
      <c r="G136" s="70"/>
      <c r="H136" s="70" t="s">
        <v>1334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0">
        <v>1</v>
      </c>
      <c r="O136" s="73">
        <v>0</v>
      </c>
      <c r="P136" s="70">
        <v>0</v>
      </c>
      <c r="Q136" s="73" t="str">
        <f t="shared" si="4"/>
        <v>2025-06</v>
      </c>
      <c r="V136" s="70" t="s">
        <v>1851</v>
      </c>
      <c r="W136" s="73">
        <f>COUNTIF('IS｜CVレポート'!H:H,流入チャネル別顧客一覧_ユニーク!D136)</f>
        <v>0</v>
      </c>
    </row>
    <row r="137" spans="1:23" ht="12.95">
      <c r="A137" s="76"/>
      <c r="B137" s="70" t="s">
        <v>1337</v>
      </c>
      <c r="C137" s="71">
        <v>45827.407638888886</v>
      </c>
      <c r="D137" s="70" t="s">
        <v>1853</v>
      </c>
      <c r="E137" s="70" t="s">
        <v>1854</v>
      </c>
      <c r="F137" s="70" t="s">
        <v>1856</v>
      </c>
      <c r="G137" s="70"/>
      <c r="H137" s="70" t="s">
        <v>1336</v>
      </c>
      <c r="I137" s="70">
        <v>0</v>
      </c>
      <c r="J137" s="73">
        <v>0</v>
      </c>
      <c r="K137" s="73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1</v>
      </c>
      <c r="Q137" s="73" t="str">
        <f t="shared" si="4"/>
        <v>2025-06</v>
      </c>
      <c r="V137" s="70" t="s">
        <v>1855</v>
      </c>
      <c r="W137" s="73">
        <f>COUNTIF('IS｜CVレポート'!H:H,流入チャネル別顧客一覧_ユニーク!D137)</f>
        <v>4</v>
      </c>
    </row>
    <row r="138" spans="1:23" ht="12.95">
      <c r="B138" s="70" t="s">
        <v>1516</v>
      </c>
      <c r="C138" s="71">
        <v>45831.416666666664</v>
      </c>
      <c r="D138" s="70" t="s">
        <v>1860</v>
      </c>
      <c r="E138" s="70" t="s">
        <v>1861</v>
      </c>
      <c r="F138" s="70" t="s">
        <v>1863</v>
      </c>
      <c r="G138" s="70"/>
      <c r="H138" s="70" t="s">
        <v>1334</v>
      </c>
      <c r="I138" s="70">
        <v>0</v>
      </c>
      <c r="J138" s="73">
        <v>0</v>
      </c>
      <c r="K138" s="73">
        <v>0</v>
      </c>
      <c r="L138" s="70">
        <v>0</v>
      </c>
      <c r="M138" s="70">
        <v>0</v>
      </c>
      <c r="N138" s="70">
        <v>1</v>
      </c>
      <c r="O138" s="70">
        <v>0</v>
      </c>
      <c r="P138" s="70">
        <v>0</v>
      </c>
      <c r="Q138" s="73" t="str">
        <f t="shared" si="4"/>
        <v>2025-06</v>
      </c>
      <c r="V138" s="70" t="s">
        <v>1862</v>
      </c>
      <c r="W138" s="73">
        <f>COUNTIF('IS｜CVレポート'!H:H,流入チャネル別顧客一覧_ユニーク!D138)</f>
        <v>0</v>
      </c>
    </row>
    <row r="139" spans="1:23" ht="12.95">
      <c r="B139" s="70" t="s">
        <v>1516</v>
      </c>
      <c r="C139" s="71">
        <v>45831.416666666664</v>
      </c>
      <c r="D139" s="70" t="s">
        <v>1642</v>
      </c>
      <c r="E139" s="70" t="s">
        <v>252</v>
      </c>
      <c r="F139" s="70" t="s">
        <v>1644</v>
      </c>
      <c r="G139" s="70"/>
      <c r="H139" s="70" t="s">
        <v>1334</v>
      </c>
      <c r="I139" s="70">
        <v>0</v>
      </c>
      <c r="J139" s="73">
        <v>0</v>
      </c>
      <c r="K139" s="73">
        <v>0</v>
      </c>
      <c r="L139" s="70">
        <v>0</v>
      </c>
      <c r="M139" s="70">
        <v>0</v>
      </c>
      <c r="N139" s="70">
        <v>1</v>
      </c>
      <c r="O139" s="70">
        <v>0</v>
      </c>
      <c r="P139" s="70">
        <v>0</v>
      </c>
      <c r="Q139" s="73" t="str">
        <f t="shared" si="4"/>
        <v>2025-06</v>
      </c>
      <c r="V139" s="70" t="s">
        <v>1643</v>
      </c>
      <c r="W139" s="73">
        <f>COUNTIF('IS｜CVレポート'!H:H,流入チャネル別顧客一覧_ユニーク!D139)</f>
        <v>0</v>
      </c>
    </row>
    <row r="140" spans="1:23" ht="12.95">
      <c r="B140" s="70" t="s">
        <v>1516</v>
      </c>
      <c r="C140" s="71">
        <v>45831.416666666664</v>
      </c>
      <c r="D140" s="70" t="s">
        <v>1447</v>
      </c>
      <c r="E140" s="70" t="s">
        <v>1864</v>
      </c>
      <c r="F140" s="70" t="s">
        <v>1866</v>
      </c>
      <c r="G140" s="70"/>
      <c r="H140" s="70" t="s">
        <v>1334</v>
      </c>
      <c r="I140" s="70">
        <v>0</v>
      </c>
      <c r="J140" s="73">
        <v>0</v>
      </c>
      <c r="K140" s="73">
        <v>0</v>
      </c>
      <c r="L140" s="70">
        <v>0</v>
      </c>
      <c r="M140" s="70">
        <v>0</v>
      </c>
      <c r="N140" s="70">
        <v>1</v>
      </c>
      <c r="O140" s="70">
        <v>0</v>
      </c>
      <c r="P140" s="70">
        <v>0</v>
      </c>
      <c r="Q140" s="73" t="str">
        <f t="shared" si="4"/>
        <v>2025-06</v>
      </c>
      <c r="V140" s="70" t="s">
        <v>1865</v>
      </c>
      <c r="W140" s="73">
        <f>COUNTIF('IS｜CVレポート'!H:H,流入チャネル別顧客一覧_ユニーク!D140)</f>
        <v>0</v>
      </c>
    </row>
    <row r="141" spans="1:23" ht="12.95">
      <c r="B141" s="70" t="s">
        <v>1516</v>
      </c>
      <c r="C141" s="71">
        <v>45831.416666666664</v>
      </c>
      <c r="D141" s="70" t="s">
        <v>1867</v>
      </c>
      <c r="E141" s="70" t="s">
        <v>1868</v>
      </c>
      <c r="F141" s="70" t="s">
        <v>1870</v>
      </c>
      <c r="G141" s="70"/>
      <c r="H141" s="70" t="s">
        <v>1334</v>
      </c>
      <c r="I141" s="70">
        <v>0</v>
      </c>
      <c r="J141" s="73">
        <v>0</v>
      </c>
      <c r="K141" s="73">
        <v>0</v>
      </c>
      <c r="L141" s="70">
        <v>0</v>
      </c>
      <c r="M141" s="70">
        <v>0</v>
      </c>
      <c r="N141" s="70">
        <v>1</v>
      </c>
      <c r="O141" s="70">
        <v>0</v>
      </c>
      <c r="P141" s="70">
        <v>0</v>
      </c>
      <c r="Q141" s="73" t="str">
        <f t="shared" si="4"/>
        <v>2025-06</v>
      </c>
      <c r="V141" s="70" t="s">
        <v>1869</v>
      </c>
      <c r="W141" s="73">
        <f>COUNTIF('IS｜CVレポート'!H:H,流入チャネル別顧客一覧_ユニーク!D141)</f>
        <v>0</v>
      </c>
    </row>
    <row r="142" spans="1:23" ht="12.95">
      <c r="B142" s="70" t="s">
        <v>1516</v>
      </c>
      <c r="C142" s="71">
        <v>45831.416666666664</v>
      </c>
      <c r="D142" s="70" t="s">
        <v>1763</v>
      </c>
      <c r="E142" s="70" t="s">
        <v>1186</v>
      </c>
      <c r="F142" s="70" t="s">
        <v>1765</v>
      </c>
      <c r="G142" s="70"/>
      <c r="H142" s="70" t="s">
        <v>1334</v>
      </c>
      <c r="I142" s="70">
        <v>0</v>
      </c>
      <c r="J142" s="73">
        <v>0</v>
      </c>
      <c r="K142" s="73">
        <v>0</v>
      </c>
      <c r="L142" s="70">
        <v>0</v>
      </c>
      <c r="M142" s="70">
        <v>0</v>
      </c>
      <c r="N142" s="70">
        <v>1</v>
      </c>
      <c r="O142" s="70">
        <v>0</v>
      </c>
      <c r="P142" s="70">
        <v>0</v>
      </c>
      <c r="Q142" s="73" t="str">
        <f t="shared" si="4"/>
        <v>2025-06</v>
      </c>
      <c r="V142" s="70" t="s">
        <v>1764</v>
      </c>
      <c r="W142" s="73">
        <f>COUNTIF('IS｜CVレポート'!H:H,流入チャネル別顧客一覧_ユニーク!D142)</f>
        <v>0</v>
      </c>
    </row>
    <row r="143" spans="1:23" ht="12.95">
      <c r="B143" s="70" t="s">
        <v>1516</v>
      </c>
      <c r="C143" s="71">
        <v>45831.416666666664</v>
      </c>
      <c r="D143" s="70" t="s">
        <v>1871</v>
      </c>
      <c r="E143" s="70" t="s">
        <v>1872</v>
      </c>
      <c r="F143" s="70" t="s">
        <v>1874</v>
      </c>
      <c r="G143" s="70"/>
      <c r="H143" s="70" t="s">
        <v>1334</v>
      </c>
      <c r="I143" s="70">
        <v>0</v>
      </c>
      <c r="J143" s="73">
        <v>0</v>
      </c>
      <c r="K143" s="73">
        <v>0</v>
      </c>
      <c r="L143" s="70">
        <v>0</v>
      </c>
      <c r="M143" s="70">
        <v>0</v>
      </c>
      <c r="N143" s="70">
        <v>1</v>
      </c>
      <c r="O143" s="70">
        <v>0</v>
      </c>
      <c r="P143" s="70">
        <v>0</v>
      </c>
      <c r="Q143" s="73" t="str">
        <f t="shared" si="4"/>
        <v>2025-06</v>
      </c>
      <c r="R143" s="75">
        <v>45831</v>
      </c>
      <c r="V143" s="70" t="s">
        <v>1873</v>
      </c>
      <c r="W143" s="73">
        <f>COUNTIF('IS｜CVレポート'!H:H,流入チャネル別顧客一覧_ユニーク!D143)</f>
        <v>0</v>
      </c>
    </row>
    <row r="144" spans="1:23" ht="12.95">
      <c r="A144" s="76"/>
      <c r="B144" s="70" t="s">
        <v>1337</v>
      </c>
      <c r="C144" s="71">
        <v>45832.625</v>
      </c>
      <c r="D144" s="70" t="s">
        <v>1857</v>
      </c>
      <c r="E144" s="70" t="s">
        <v>1858</v>
      </c>
      <c r="F144" s="70" t="s">
        <v>1859</v>
      </c>
      <c r="G144" s="70"/>
      <c r="H144" s="70" t="s">
        <v>1329</v>
      </c>
      <c r="I144" s="70">
        <v>1</v>
      </c>
      <c r="J144" s="73">
        <v>0</v>
      </c>
      <c r="K144" s="73">
        <v>0</v>
      </c>
      <c r="L144" s="70">
        <v>0</v>
      </c>
      <c r="M144" s="70">
        <v>0</v>
      </c>
      <c r="N144" s="70">
        <v>0</v>
      </c>
      <c r="O144" s="70">
        <v>0</v>
      </c>
      <c r="P144" s="70">
        <v>0</v>
      </c>
      <c r="Q144" s="73" t="str">
        <f t="shared" si="4"/>
        <v>2025-06</v>
      </c>
      <c r="V144" s="70" t="s">
        <v>1858</v>
      </c>
      <c r="W144" s="73">
        <f>COUNTIF('IS｜CVレポート'!H:H,流入チャネル別顧客一覧_ユニーク!D144)</f>
        <v>4</v>
      </c>
    </row>
    <row r="145" spans="2:23" ht="12.95">
      <c r="B145" s="70" t="s">
        <v>1516</v>
      </c>
      <c r="C145" s="71">
        <v>45832.63958333333</v>
      </c>
      <c r="D145" s="70" t="s">
        <v>1875</v>
      </c>
      <c r="E145" s="70" t="s">
        <v>1876</v>
      </c>
      <c r="F145" s="70" t="s">
        <v>1877</v>
      </c>
      <c r="G145" s="70"/>
      <c r="H145" s="70" t="s">
        <v>1332</v>
      </c>
      <c r="I145" s="70">
        <v>0</v>
      </c>
      <c r="J145" s="73">
        <v>0</v>
      </c>
      <c r="K145" s="73">
        <v>0</v>
      </c>
      <c r="L145" s="70">
        <v>1</v>
      </c>
      <c r="M145" s="70">
        <v>0</v>
      </c>
      <c r="N145" s="70">
        <v>0</v>
      </c>
      <c r="O145" s="70">
        <v>0</v>
      </c>
      <c r="P145" s="70">
        <v>0</v>
      </c>
      <c r="Q145" s="73" t="str">
        <f t="shared" si="4"/>
        <v>2025-06</v>
      </c>
      <c r="V145" s="70"/>
      <c r="W145" s="73">
        <f>COUNTIF('IS｜CVレポート'!H:H,流入チャネル別顧客一覧_ユニーク!D145)</f>
        <v>4</v>
      </c>
    </row>
    <row r="146" spans="2:23" ht="12.95">
      <c r="B146" s="70" t="s">
        <v>1337</v>
      </c>
      <c r="C146" s="71">
        <v>45834.584027777775</v>
      </c>
      <c r="D146" s="70" t="s">
        <v>1878</v>
      </c>
      <c r="E146" s="70" t="s">
        <v>1879</v>
      </c>
      <c r="F146" s="70" t="s">
        <v>1881</v>
      </c>
      <c r="G146" s="70"/>
      <c r="H146" s="70" t="s">
        <v>1335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1</v>
      </c>
      <c r="P146" s="73">
        <v>0</v>
      </c>
      <c r="Q146" s="73" t="str">
        <f t="shared" si="4"/>
        <v>2025-06</v>
      </c>
      <c r="R146" s="75">
        <f>C146</f>
        <v>45834.584027777775</v>
      </c>
      <c r="V146" s="70" t="s">
        <v>1880</v>
      </c>
      <c r="W146" s="73">
        <f>COUNTIF('IS｜CVレポート'!H:H,流入チャネル別顧客一覧_ユニーク!D146)</f>
        <v>0</v>
      </c>
    </row>
    <row r="147" spans="2:23" ht="15.75" customHeight="1">
      <c r="B147" s="73" t="s">
        <v>1889</v>
      </c>
      <c r="C147" s="78">
        <v>45841.541666666664</v>
      </c>
      <c r="D147" s="125" t="s">
        <v>1890</v>
      </c>
      <c r="E147" s="70" t="s">
        <v>1891</v>
      </c>
      <c r="F147" s="70" t="s">
        <v>1892</v>
      </c>
      <c r="G147" s="73" t="s">
        <v>1893</v>
      </c>
      <c r="H147" s="73" t="s">
        <v>1894</v>
      </c>
      <c r="Q147" s="73" t="str">
        <f t="shared" si="4"/>
        <v>2025-07</v>
      </c>
      <c r="V147" s="70" t="s">
        <v>1892</v>
      </c>
      <c r="W147" s="73">
        <f>COUNTIF('IS｜CVレポート'!H:H,流入チャネル別顧客一覧_ユニーク!D147)</f>
        <v>2</v>
      </c>
    </row>
    <row r="148" spans="2:23" ht="15.75" customHeight="1">
      <c r="B148" s="73" t="s">
        <v>1889</v>
      </c>
      <c r="C148" s="78">
        <v>45846.5</v>
      </c>
      <c r="D148" s="73" t="s">
        <v>1895</v>
      </c>
      <c r="E148" s="70" t="s">
        <v>1896</v>
      </c>
      <c r="F148" s="70" t="s">
        <v>1897</v>
      </c>
      <c r="G148" s="73" t="s">
        <v>1898</v>
      </c>
      <c r="H148" s="73" t="s">
        <v>1899</v>
      </c>
      <c r="Q148" s="73" t="str">
        <f t="shared" si="4"/>
        <v>2025-07</v>
      </c>
      <c r="V148" s="70" t="s">
        <v>1897</v>
      </c>
      <c r="W148" s="73">
        <f>COUNTIF('IS｜CVレポート'!H:H,流入チャネル別顧客一覧_ユニーク!D148)</f>
        <v>2</v>
      </c>
    </row>
    <row r="149" spans="2:23" ht="15.75" customHeight="1">
      <c r="B149" s="73" t="s">
        <v>1900</v>
      </c>
      <c r="C149" s="78">
        <v>45852.375</v>
      </c>
      <c r="D149" s="73" t="s">
        <v>1901</v>
      </c>
      <c r="E149" s="70" t="s">
        <v>1902</v>
      </c>
      <c r="F149" s="70" t="s">
        <v>1903</v>
      </c>
      <c r="G149" s="73" t="s">
        <v>1893</v>
      </c>
      <c r="H149" s="70" t="s">
        <v>1904</v>
      </c>
      <c r="Q149" s="73" t="str">
        <f t="shared" si="4"/>
        <v>2025-07</v>
      </c>
      <c r="V149" s="70" t="s">
        <v>1903</v>
      </c>
      <c r="W149" s="73">
        <f>COUNTIF('IS｜CVレポート'!H:H,流入チャネル別顧客一覧_ユニーク!D149)</f>
        <v>2</v>
      </c>
    </row>
    <row r="150" spans="2:23" ht="15.75" customHeight="1">
      <c r="B150" s="73" t="s">
        <v>1889</v>
      </c>
      <c r="C150" s="78">
        <v>45852.625</v>
      </c>
      <c r="D150" s="73" t="s">
        <v>1905</v>
      </c>
      <c r="E150" s="70" t="s">
        <v>1906</v>
      </c>
      <c r="F150" s="70" t="s">
        <v>1907</v>
      </c>
      <c r="G150" s="73" t="s">
        <v>1893</v>
      </c>
      <c r="H150" s="73" t="s">
        <v>1908</v>
      </c>
      <c r="Q150" s="73" t="str">
        <f t="shared" si="4"/>
        <v>2025-07</v>
      </c>
      <c r="V150" s="70" t="s">
        <v>1907</v>
      </c>
      <c r="W150" s="73">
        <f>COUNTIF('IS｜CVレポート'!H:H,流入チャネル別顧客一覧_ユニーク!D150)</f>
        <v>4</v>
      </c>
    </row>
    <row r="151" spans="2:23" ht="15.75" customHeight="1">
      <c r="B151" s="70" t="s">
        <v>1909</v>
      </c>
      <c r="C151" s="71">
        <v>45854.498611111114</v>
      </c>
      <c r="D151" s="70" t="s">
        <v>1910</v>
      </c>
      <c r="E151" s="70" t="s">
        <v>1911</v>
      </c>
      <c r="F151" s="70" t="s">
        <v>1912</v>
      </c>
      <c r="H151" s="70" t="s">
        <v>1334</v>
      </c>
      <c r="Q151" s="73" t="str">
        <f t="shared" si="4"/>
        <v>2025-07</v>
      </c>
      <c r="V151" s="70" t="s">
        <v>1912</v>
      </c>
      <c r="W151" s="73">
        <f>COUNTIF('IS｜CVレポート'!H:H,流入チャネル別顧客一覧_ユニーク!D151)</f>
        <v>0</v>
      </c>
    </row>
    <row r="152" spans="2:23" ht="15.75" customHeight="1">
      <c r="B152" s="70" t="s">
        <v>1909</v>
      </c>
      <c r="C152" s="71">
        <v>45854.499305555553</v>
      </c>
      <c r="D152" s="70" t="s">
        <v>1913</v>
      </c>
      <c r="E152" s="70" t="s">
        <v>1914</v>
      </c>
      <c r="F152" s="70" t="s">
        <v>1915</v>
      </c>
      <c r="H152" s="70" t="s">
        <v>1334</v>
      </c>
      <c r="Q152" s="73" t="str">
        <f t="shared" si="4"/>
        <v>2025-07</v>
      </c>
      <c r="R152" s="75">
        <f>C152</f>
        <v>45854.499305555553</v>
      </c>
      <c r="V152" s="70" t="s">
        <v>1915</v>
      </c>
      <c r="W152" s="73">
        <f>COUNTIF('IS｜CVレポート'!H:H,流入チャネル別顧客一覧_ユニーク!D152)</f>
        <v>0</v>
      </c>
    </row>
    <row r="153" spans="2:23" ht="15.75" customHeight="1">
      <c r="B153" s="70" t="s">
        <v>1909</v>
      </c>
      <c r="C153" s="71">
        <v>45854.508333333331</v>
      </c>
      <c r="D153" s="70" t="s">
        <v>1916</v>
      </c>
      <c r="E153" s="70" t="s">
        <v>1917</v>
      </c>
      <c r="F153" s="70" t="s">
        <v>1918</v>
      </c>
      <c r="H153" s="70" t="s">
        <v>1334</v>
      </c>
      <c r="Q153" s="73" t="str">
        <f t="shared" si="4"/>
        <v>2025-07</v>
      </c>
      <c r="V153" s="70" t="s">
        <v>1918</v>
      </c>
      <c r="W153" s="73">
        <f>COUNTIF('IS｜CVレポート'!H:H,流入チャネル別顧客一覧_ユニーク!D153)</f>
        <v>0</v>
      </c>
    </row>
    <row r="154" spans="2:23" ht="15.75" customHeight="1">
      <c r="B154" s="70" t="s">
        <v>1909</v>
      </c>
      <c r="C154" s="71">
        <v>45854.520138888889</v>
      </c>
      <c r="D154" s="70" t="s">
        <v>1919</v>
      </c>
      <c r="E154" s="70" t="s">
        <v>1920</v>
      </c>
      <c r="F154" s="70" t="s">
        <v>1921</v>
      </c>
      <c r="H154" s="70" t="s">
        <v>1334</v>
      </c>
      <c r="Q154" s="73" t="str">
        <f t="shared" si="4"/>
        <v>2025-07</v>
      </c>
      <c r="V154" s="70" t="s">
        <v>1921</v>
      </c>
      <c r="W154" s="73">
        <f>COUNTIF('IS｜CVレポート'!H:H,流入チャネル別顧客一覧_ユニーク!D154)</f>
        <v>0</v>
      </c>
    </row>
    <row r="155" spans="2:23" ht="15.75" customHeight="1">
      <c r="B155" s="70" t="s">
        <v>1909</v>
      </c>
      <c r="C155" s="71">
        <v>45854.53402777778</v>
      </c>
      <c r="D155" s="70" t="s">
        <v>1642</v>
      </c>
      <c r="E155" s="70" t="s">
        <v>252</v>
      </c>
      <c r="F155" s="70" t="s">
        <v>1644</v>
      </c>
      <c r="H155" s="70" t="s">
        <v>1334</v>
      </c>
      <c r="Q155" s="73" t="str">
        <f t="shared" si="4"/>
        <v>2025-07</v>
      </c>
      <c r="V155" s="70" t="s">
        <v>1644</v>
      </c>
      <c r="W155" s="73">
        <f>COUNTIF('IS｜CVレポート'!H:H,流入チャネル別顧客一覧_ユニーク!D155)</f>
        <v>0</v>
      </c>
    </row>
    <row r="156" spans="2:23" ht="15.75" customHeight="1">
      <c r="B156" s="70" t="s">
        <v>1922</v>
      </c>
      <c r="C156" s="71">
        <v>45855.499305555553</v>
      </c>
      <c r="D156" s="79" t="s">
        <v>1923</v>
      </c>
      <c r="E156" s="70" t="s">
        <v>1924</v>
      </c>
      <c r="F156" s="70" t="s">
        <v>1925</v>
      </c>
      <c r="H156" s="70" t="s">
        <v>1334</v>
      </c>
      <c r="Q156" s="73" t="str">
        <f t="shared" si="4"/>
        <v>2025-07</v>
      </c>
      <c r="R156" s="75">
        <f>C156</f>
        <v>45855.499305555553</v>
      </c>
      <c r="V156" s="70" t="s">
        <v>1925</v>
      </c>
      <c r="W156" s="73">
        <f>COUNTIF('IS｜CVレポート'!H:H,流入チャネル別顧客一覧_ユニーク!D156)</f>
        <v>0</v>
      </c>
    </row>
    <row r="157" spans="2:23" ht="15.75" customHeight="1">
      <c r="B157" s="70" t="s">
        <v>1922</v>
      </c>
      <c r="C157" s="71">
        <v>45855.500694444447</v>
      </c>
      <c r="D157" s="70" t="s">
        <v>1926</v>
      </c>
      <c r="E157" s="70" t="s">
        <v>1012</v>
      </c>
      <c r="F157" s="70" t="s">
        <v>1927</v>
      </c>
      <c r="H157" s="70" t="s">
        <v>1334</v>
      </c>
      <c r="Q157" s="73" t="str">
        <f t="shared" si="4"/>
        <v>2025-07</v>
      </c>
      <c r="R157" s="75">
        <f>C157</f>
        <v>45855.500694444447</v>
      </c>
      <c r="S157" s="75">
        <v>45901</v>
      </c>
      <c r="V157" s="70" t="s">
        <v>1927</v>
      </c>
      <c r="W157" s="73">
        <f>COUNTIF('IS｜CVレポート'!H:H,流入チャネル別顧客一覧_ユニーク!D157)</f>
        <v>0</v>
      </c>
    </row>
    <row r="158" spans="2:23" ht="15.75" customHeight="1">
      <c r="B158" s="70" t="s">
        <v>1928</v>
      </c>
      <c r="C158" s="71">
        <v>45860.432638888888</v>
      </c>
      <c r="D158" s="70" t="s">
        <v>1929</v>
      </c>
      <c r="E158" s="70" t="s">
        <v>1930</v>
      </c>
      <c r="F158" s="70" t="s">
        <v>1931</v>
      </c>
      <c r="H158" s="70" t="s">
        <v>1334</v>
      </c>
      <c r="Q158" s="73" t="str">
        <f t="shared" si="4"/>
        <v>2025-07</v>
      </c>
      <c r="R158" s="75">
        <f>C158</f>
        <v>45860.432638888888</v>
      </c>
      <c r="V158" s="70" t="s">
        <v>1931</v>
      </c>
      <c r="W158" s="73">
        <f>COUNTIF('IS｜CVレポート'!H:H,流入チャネル別顧客一覧_ユニーク!D158)</f>
        <v>0</v>
      </c>
    </row>
    <row r="159" spans="2:23" ht="15.75" customHeight="1">
      <c r="B159" s="73" t="s">
        <v>1889</v>
      </c>
      <c r="C159" s="78">
        <v>45862.625</v>
      </c>
      <c r="D159" s="73" t="s">
        <v>1932</v>
      </c>
      <c r="E159" s="70" t="s">
        <v>1933</v>
      </c>
      <c r="F159" s="70" t="s">
        <v>1934</v>
      </c>
      <c r="G159" s="73" t="s">
        <v>1935</v>
      </c>
      <c r="H159" s="73" t="s">
        <v>1908</v>
      </c>
      <c r="Q159" s="73" t="str">
        <f t="shared" si="4"/>
        <v>2025-07</v>
      </c>
      <c r="V159" s="70" t="s">
        <v>1934</v>
      </c>
      <c r="W159" s="73">
        <f>COUNTIF('IS｜CVレポート'!H:H,流入チャネル別顧客一覧_ユニーク!D159)</f>
        <v>2</v>
      </c>
    </row>
    <row r="160" spans="2:23" ht="15.75" customHeight="1">
      <c r="B160" s="70" t="s">
        <v>1936</v>
      </c>
      <c r="C160" s="71">
        <v>45863.504861111112</v>
      </c>
      <c r="D160" s="70" t="s">
        <v>1937</v>
      </c>
      <c r="E160" s="70" t="s">
        <v>1938</v>
      </c>
      <c r="F160" s="70" t="s">
        <v>1939</v>
      </c>
      <c r="H160" s="70" t="s">
        <v>1334</v>
      </c>
      <c r="Q160" s="73" t="str">
        <f t="shared" si="4"/>
        <v>2025-07</v>
      </c>
      <c r="R160" s="75">
        <f>C160</f>
        <v>45863.504861111112</v>
      </c>
      <c r="V160" s="70" t="s">
        <v>1939</v>
      </c>
      <c r="W160" s="73">
        <f>COUNTIF('IS｜CVレポート'!H:H,流入チャネル別顧客一覧_ユニーク!D160)</f>
        <v>0</v>
      </c>
    </row>
    <row r="161" spans="2:23" ht="15.75" customHeight="1">
      <c r="B161" s="70" t="s">
        <v>1936</v>
      </c>
      <c r="C161" s="71">
        <v>45863.742361111108</v>
      </c>
      <c r="D161" s="70" t="s">
        <v>1940</v>
      </c>
      <c r="E161" s="70" t="s">
        <v>1941</v>
      </c>
      <c r="F161" s="70" t="s">
        <v>1942</v>
      </c>
      <c r="H161" s="70" t="s">
        <v>1334</v>
      </c>
      <c r="Q161" s="73" t="str">
        <f t="shared" si="4"/>
        <v>2025-07</v>
      </c>
      <c r="R161" s="75">
        <f>C161</f>
        <v>45863.742361111108</v>
      </c>
      <c r="V161" s="70" t="s">
        <v>1942</v>
      </c>
      <c r="W161" s="73">
        <f>COUNTIF('IS｜CVレポート'!H:H,流入チャネル別顧客一覧_ユニーク!D161)</f>
        <v>0</v>
      </c>
    </row>
    <row r="162" spans="2:23" ht="15.75" customHeight="1">
      <c r="B162" s="70" t="s">
        <v>1936</v>
      </c>
      <c r="C162" s="71">
        <v>45864.461805555555</v>
      </c>
      <c r="D162" s="70" t="s">
        <v>1532</v>
      </c>
      <c r="E162" s="70" t="s">
        <v>1533</v>
      </c>
      <c r="F162" s="70" t="s">
        <v>1535</v>
      </c>
      <c r="H162" s="70" t="s">
        <v>1334</v>
      </c>
      <c r="Q162" s="73" t="str">
        <f t="shared" ref="Q162:Q209" si="5">TEXT(C162, "yyyy-mm")</f>
        <v>2025-07</v>
      </c>
      <c r="V162" s="70" t="s">
        <v>1535</v>
      </c>
      <c r="W162" s="73">
        <f>COUNTIF('IS｜CVレポート'!H:H,流入チャネル別顧客一覧_ユニーク!D162)</f>
        <v>0</v>
      </c>
    </row>
    <row r="163" spans="2:23" ht="15.75" customHeight="1">
      <c r="B163" s="70" t="s">
        <v>1900</v>
      </c>
      <c r="C163" s="71">
        <v>45873.64166666667</v>
      </c>
      <c r="D163" s="70" t="s">
        <v>1943</v>
      </c>
      <c r="E163" s="70" t="s">
        <v>1944</v>
      </c>
      <c r="F163" s="70" t="s">
        <v>1945</v>
      </c>
      <c r="G163" s="70" t="s">
        <v>1893</v>
      </c>
      <c r="H163" s="73" t="s">
        <v>1946</v>
      </c>
      <c r="Q163" s="73" t="str">
        <f t="shared" si="5"/>
        <v>2025-08</v>
      </c>
      <c r="V163" s="70" t="s">
        <v>1945</v>
      </c>
      <c r="W163" s="73">
        <f>COUNTIF('IS｜CVレポート'!H:H,流入チャネル別顧客一覧_ユニーク!D163)</f>
        <v>2</v>
      </c>
    </row>
    <row r="164" spans="2:23" ht="15.75" customHeight="1">
      <c r="B164" s="70" t="s">
        <v>1900</v>
      </c>
      <c r="C164" s="71">
        <v>45894.386805555558</v>
      </c>
      <c r="D164" s="70" t="s">
        <v>1947</v>
      </c>
      <c r="E164" s="70" t="s">
        <v>1948</v>
      </c>
      <c r="F164" s="70" t="s">
        <v>1949</v>
      </c>
      <c r="G164" s="70" t="s">
        <v>1893</v>
      </c>
      <c r="H164" s="73" t="s">
        <v>1946</v>
      </c>
      <c r="Q164" s="73" t="str">
        <f t="shared" si="5"/>
        <v>2025-08</v>
      </c>
      <c r="V164" s="70" t="s">
        <v>1949</v>
      </c>
      <c r="W164" s="73">
        <f>COUNTIF('IS｜CVレポート'!H:H,流入チャネル別顧客一覧_ユニーク!D164)</f>
        <v>2</v>
      </c>
    </row>
    <row r="165" spans="2:23" ht="15.75" customHeight="1">
      <c r="B165" s="70" t="s">
        <v>1950</v>
      </c>
      <c r="C165" s="71">
        <v>45894.42291666667</v>
      </c>
      <c r="D165" s="70" t="s">
        <v>1951</v>
      </c>
      <c r="E165" s="70" t="s">
        <v>1455</v>
      </c>
      <c r="F165" s="70" t="s">
        <v>1952</v>
      </c>
      <c r="H165" s="70" t="s">
        <v>1334</v>
      </c>
      <c r="Q165" s="73" t="str">
        <f t="shared" si="5"/>
        <v>2025-08</v>
      </c>
      <c r="V165" s="70" t="s">
        <v>1952</v>
      </c>
      <c r="W165" s="73">
        <f>COUNTIF('IS｜CVレポート'!H:H,流入チャネル別顧客一覧_ユニーク!D165)</f>
        <v>0</v>
      </c>
    </row>
    <row r="166" spans="2:23" ht="15.75" customHeight="1">
      <c r="B166" s="70" t="s">
        <v>1950</v>
      </c>
      <c r="C166" s="71">
        <v>45894.423611111109</v>
      </c>
      <c r="D166" s="70" t="s">
        <v>1953</v>
      </c>
      <c r="E166" s="70" t="s">
        <v>90</v>
      </c>
      <c r="F166" s="70" t="s">
        <v>1954</v>
      </c>
      <c r="H166" s="70" t="s">
        <v>1334</v>
      </c>
      <c r="Q166" s="73" t="str">
        <f t="shared" si="5"/>
        <v>2025-08</v>
      </c>
      <c r="V166" s="70" t="s">
        <v>1954</v>
      </c>
      <c r="W166" s="73">
        <f>COUNTIF('IS｜CVレポート'!H:H,流入チャネル別顧客一覧_ユニーク!D166)</f>
        <v>0</v>
      </c>
    </row>
    <row r="167" spans="2:23" ht="15.75" customHeight="1">
      <c r="B167" s="70" t="s">
        <v>1955</v>
      </c>
      <c r="C167" s="71">
        <v>45894.423611111109</v>
      </c>
      <c r="D167" s="70" t="s">
        <v>1956</v>
      </c>
      <c r="E167" s="70" t="s">
        <v>1016</v>
      </c>
      <c r="F167" s="70" t="s">
        <v>1957</v>
      </c>
      <c r="H167" s="70" t="s">
        <v>1334</v>
      </c>
      <c r="Q167" s="73" t="str">
        <f t="shared" si="5"/>
        <v>2025-08</v>
      </c>
      <c r="V167" s="70" t="s">
        <v>1957</v>
      </c>
      <c r="W167" s="73">
        <f>COUNTIF('IS｜CVレポート'!H:H,流入チャネル別顧客一覧_ユニーク!D167)</f>
        <v>0</v>
      </c>
    </row>
    <row r="168" spans="2:23" ht="15.75" customHeight="1">
      <c r="B168" s="70" t="s">
        <v>1950</v>
      </c>
      <c r="C168" s="71">
        <v>45894.424305555556</v>
      </c>
      <c r="D168" s="70" t="s">
        <v>1958</v>
      </c>
      <c r="E168" s="70" t="s">
        <v>6</v>
      </c>
      <c r="F168" s="70" t="s">
        <v>1959</v>
      </c>
      <c r="H168" s="70" t="s">
        <v>1334</v>
      </c>
      <c r="Q168" s="73" t="str">
        <f t="shared" si="5"/>
        <v>2025-08</v>
      </c>
      <c r="V168" s="70" t="s">
        <v>1959</v>
      </c>
      <c r="W168" s="73">
        <f>COUNTIF('IS｜CVレポート'!H:H,流入チャネル別顧客一覧_ユニーク!D168)</f>
        <v>0</v>
      </c>
    </row>
    <row r="169" spans="2:23" ht="15.75" customHeight="1">
      <c r="B169" s="70" t="s">
        <v>1950</v>
      </c>
      <c r="C169" s="71">
        <v>45894.425000000003</v>
      </c>
      <c r="D169" s="70" t="s">
        <v>1960</v>
      </c>
      <c r="E169" s="70" t="s">
        <v>1961</v>
      </c>
      <c r="F169" s="70" t="s">
        <v>1962</v>
      </c>
      <c r="H169" s="70" t="s">
        <v>1334</v>
      </c>
      <c r="Q169" s="73" t="str">
        <f t="shared" si="5"/>
        <v>2025-08</v>
      </c>
      <c r="V169" s="70" t="s">
        <v>1962</v>
      </c>
      <c r="W169" s="73">
        <f>COUNTIF('IS｜CVレポート'!H:H,流入チャネル別顧客一覧_ユニーク!D169)</f>
        <v>0</v>
      </c>
    </row>
    <row r="170" spans="2:23" ht="15.75" customHeight="1">
      <c r="B170" s="70" t="s">
        <v>1955</v>
      </c>
      <c r="C170" s="71">
        <v>45894.425694444442</v>
      </c>
      <c r="D170" s="70" t="s">
        <v>1963</v>
      </c>
      <c r="E170" s="70" t="s">
        <v>1964</v>
      </c>
      <c r="F170" s="70" t="s">
        <v>1965</v>
      </c>
      <c r="H170" s="70" t="s">
        <v>1334</v>
      </c>
      <c r="Q170" s="73" t="str">
        <f t="shared" si="5"/>
        <v>2025-08</v>
      </c>
      <c r="V170" s="70" t="s">
        <v>1965</v>
      </c>
      <c r="W170" s="73">
        <f>COUNTIF('IS｜CVレポート'!H:H,流入チャネル別顧客一覧_ユニーク!D170)</f>
        <v>0</v>
      </c>
    </row>
    <row r="171" spans="2:23" ht="15.75" customHeight="1">
      <c r="B171" s="70" t="s">
        <v>1966</v>
      </c>
      <c r="C171" s="71">
        <v>45894.425694444442</v>
      </c>
      <c r="D171" s="70" t="s">
        <v>1967</v>
      </c>
      <c r="E171" s="70" t="s">
        <v>1968</v>
      </c>
      <c r="F171" s="70" t="s">
        <v>1969</v>
      </c>
      <c r="H171" s="70" t="s">
        <v>1334</v>
      </c>
      <c r="Q171" s="73" t="str">
        <f t="shared" si="5"/>
        <v>2025-08</v>
      </c>
      <c r="V171" s="70" t="s">
        <v>1969</v>
      </c>
      <c r="W171" s="73">
        <f>COUNTIF('IS｜CVレポート'!H:H,流入チャネル別顧客一覧_ユニーク!D171)</f>
        <v>0</v>
      </c>
    </row>
    <row r="172" spans="2:23" ht="15.75" customHeight="1">
      <c r="B172" s="70" t="s">
        <v>1950</v>
      </c>
      <c r="C172" s="71">
        <v>45894.426388888889</v>
      </c>
      <c r="D172" s="70" t="s">
        <v>1970</v>
      </c>
      <c r="E172" s="70" t="s">
        <v>1971</v>
      </c>
      <c r="F172" s="70" t="s">
        <v>1972</v>
      </c>
      <c r="H172" s="70" t="s">
        <v>1334</v>
      </c>
      <c r="Q172" s="73" t="str">
        <f t="shared" si="5"/>
        <v>2025-08</v>
      </c>
      <c r="R172" s="75">
        <v>45870</v>
      </c>
      <c r="V172" s="70" t="s">
        <v>1972</v>
      </c>
      <c r="W172" s="73">
        <f>COUNTIF('IS｜CVレポート'!H:H,流入チャネル別顧客一覧_ユニーク!D172)</f>
        <v>0</v>
      </c>
    </row>
    <row r="173" spans="2:23" ht="15.75" customHeight="1">
      <c r="B173" s="70" t="s">
        <v>1973</v>
      </c>
      <c r="C173" s="71">
        <v>45894.426388888889</v>
      </c>
      <c r="D173" s="70" t="s">
        <v>1974</v>
      </c>
      <c r="E173" s="70" t="s">
        <v>1975</v>
      </c>
      <c r="F173" s="70" t="s">
        <v>1976</v>
      </c>
      <c r="H173" s="70" t="s">
        <v>1334</v>
      </c>
      <c r="Q173" s="73" t="str">
        <f t="shared" si="5"/>
        <v>2025-08</v>
      </c>
      <c r="V173" s="70" t="s">
        <v>1976</v>
      </c>
      <c r="W173" s="73">
        <f>COUNTIF('IS｜CVレポート'!H:H,流入チャネル別顧客一覧_ユニーク!D173)</f>
        <v>0</v>
      </c>
    </row>
    <row r="174" spans="2:23" ht="15.75" customHeight="1">
      <c r="B174" s="70" t="s">
        <v>1950</v>
      </c>
      <c r="C174" s="71">
        <v>45894.427083333336</v>
      </c>
      <c r="D174" s="70" t="s">
        <v>1963</v>
      </c>
      <c r="E174" s="70" t="s">
        <v>1964</v>
      </c>
      <c r="F174" s="70" t="s">
        <v>1965</v>
      </c>
      <c r="H174" s="70" t="s">
        <v>1334</v>
      </c>
      <c r="Q174" s="73" t="str">
        <f t="shared" si="5"/>
        <v>2025-08</v>
      </c>
      <c r="V174" s="70" t="s">
        <v>1965</v>
      </c>
      <c r="W174" s="73">
        <f>COUNTIF('IS｜CVレポート'!H:H,流入チャネル別顧客一覧_ユニーク!D174)</f>
        <v>0</v>
      </c>
    </row>
    <row r="175" spans="2:23" ht="15.75" customHeight="1">
      <c r="B175" s="70" t="s">
        <v>1955</v>
      </c>
      <c r="C175" s="71">
        <v>45894.429166666669</v>
      </c>
      <c r="D175" s="70" t="s">
        <v>1940</v>
      </c>
      <c r="E175" s="70" t="s">
        <v>1941</v>
      </c>
      <c r="F175" s="70" t="s">
        <v>1942</v>
      </c>
      <c r="H175" s="70" t="s">
        <v>1334</v>
      </c>
      <c r="Q175" s="73" t="str">
        <f t="shared" si="5"/>
        <v>2025-08</v>
      </c>
      <c r="V175" s="70" t="s">
        <v>1942</v>
      </c>
      <c r="W175" s="73">
        <f>COUNTIF('IS｜CVレポート'!H:H,流入チャネル別顧客一覧_ユニーク!D175)</f>
        <v>0</v>
      </c>
    </row>
    <row r="176" spans="2:23" ht="15.75" customHeight="1">
      <c r="B176" s="70" t="s">
        <v>1950</v>
      </c>
      <c r="C176" s="71">
        <v>45894.432638888888</v>
      </c>
      <c r="D176" s="70" t="s">
        <v>1495</v>
      </c>
      <c r="E176" s="70" t="s">
        <v>149</v>
      </c>
      <c r="F176" s="70" t="s">
        <v>1497</v>
      </c>
      <c r="H176" s="70" t="s">
        <v>1334</v>
      </c>
      <c r="Q176" s="73" t="str">
        <f t="shared" si="5"/>
        <v>2025-08</v>
      </c>
      <c r="V176" s="70" t="s">
        <v>1497</v>
      </c>
      <c r="W176" s="73">
        <f>COUNTIF('IS｜CVレポート'!H:H,流入チャネル別顧客一覧_ユニーク!D176)</f>
        <v>0</v>
      </c>
    </row>
    <row r="177" spans="2:23" ht="15.75" customHeight="1">
      <c r="B177" s="70" t="s">
        <v>1950</v>
      </c>
      <c r="C177" s="71">
        <v>45894.436111111114</v>
      </c>
      <c r="D177" s="70" t="s">
        <v>1871</v>
      </c>
      <c r="E177" s="70" t="s">
        <v>1872</v>
      </c>
      <c r="F177" s="70" t="s">
        <v>1874</v>
      </c>
      <c r="H177" s="70" t="s">
        <v>1334</v>
      </c>
      <c r="Q177" s="73" t="str">
        <f t="shared" si="5"/>
        <v>2025-08</v>
      </c>
      <c r="V177" s="70" t="s">
        <v>1874</v>
      </c>
      <c r="W177" s="73">
        <f>COUNTIF('IS｜CVレポート'!H:H,流入チャネル別顧客一覧_ユニーク!D177)</f>
        <v>0</v>
      </c>
    </row>
    <row r="178" spans="2:23" ht="15.75" customHeight="1">
      <c r="B178" s="70" t="s">
        <v>1955</v>
      </c>
      <c r="C178" s="71">
        <v>45894.436805555553</v>
      </c>
      <c r="D178" s="70" t="s">
        <v>1977</v>
      </c>
      <c r="E178" s="70" t="s">
        <v>1978</v>
      </c>
      <c r="F178" s="70" t="s">
        <v>1979</v>
      </c>
      <c r="H178" s="70" t="s">
        <v>1334</v>
      </c>
      <c r="Q178" s="73" t="str">
        <f t="shared" si="5"/>
        <v>2025-08</v>
      </c>
      <c r="V178" s="70" t="s">
        <v>1979</v>
      </c>
      <c r="W178" s="73">
        <f>COUNTIF('IS｜CVレポート'!H:H,流入チャネル別顧客一覧_ユニーク!D178)</f>
        <v>0</v>
      </c>
    </row>
    <row r="179" spans="2:23" ht="15.75" customHeight="1">
      <c r="B179" s="70" t="s">
        <v>1950</v>
      </c>
      <c r="C179" s="71">
        <v>45894.4375</v>
      </c>
      <c r="D179" s="70" t="s">
        <v>1715</v>
      </c>
      <c r="E179" s="70" t="s">
        <v>1667</v>
      </c>
      <c r="F179" s="70" t="s">
        <v>1717</v>
      </c>
      <c r="H179" s="70" t="s">
        <v>1334</v>
      </c>
      <c r="Q179" s="73" t="str">
        <f t="shared" si="5"/>
        <v>2025-08</v>
      </c>
      <c r="V179" s="70" t="s">
        <v>1717</v>
      </c>
      <c r="W179" s="73">
        <f>COUNTIF('IS｜CVレポート'!H:H,流入チャネル別顧客一覧_ユニーク!D179)</f>
        <v>0</v>
      </c>
    </row>
    <row r="180" spans="2:23" ht="15.75" customHeight="1">
      <c r="B180" s="70" t="s">
        <v>1966</v>
      </c>
      <c r="C180" s="71">
        <v>45894.443749999999</v>
      </c>
      <c r="D180" s="70" t="s">
        <v>1980</v>
      </c>
      <c r="E180" s="70" t="s">
        <v>1981</v>
      </c>
      <c r="F180" s="70" t="s">
        <v>1982</v>
      </c>
      <c r="H180" s="70" t="s">
        <v>1334</v>
      </c>
      <c r="Q180" s="73" t="str">
        <f t="shared" si="5"/>
        <v>2025-08</v>
      </c>
      <c r="V180" s="70" t="s">
        <v>1982</v>
      </c>
      <c r="W180" s="73">
        <f>COUNTIF('IS｜CVレポート'!H:H,流入チャネル別顧客一覧_ユニーク!D180)</f>
        <v>0</v>
      </c>
    </row>
    <row r="181" spans="2:23" ht="15.75" customHeight="1">
      <c r="B181" s="70" t="s">
        <v>1966</v>
      </c>
      <c r="C181" s="71">
        <v>45894.448611111111</v>
      </c>
      <c r="D181" s="70" t="s">
        <v>1983</v>
      </c>
      <c r="E181" s="70" t="s">
        <v>1984</v>
      </c>
      <c r="F181" s="70" t="s">
        <v>1985</v>
      </c>
      <c r="H181" s="70" t="s">
        <v>1334</v>
      </c>
      <c r="Q181" s="73" t="str">
        <f t="shared" si="5"/>
        <v>2025-08</v>
      </c>
      <c r="V181" s="70" t="s">
        <v>1985</v>
      </c>
      <c r="W181" s="73">
        <f>COUNTIF('IS｜CVレポート'!H:H,流入チャネル別顧客一覧_ユニーク!D181)</f>
        <v>0</v>
      </c>
    </row>
    <row r="182" spans="2:23" ht="15.75" customHeight="1">
      <c r="B182" s="70" t="s">
        <v>1973</v>
      </c>
      <c r="C182" s="71">
        <v>45894.481944444444</v>
      </c>
      <c r="D182" s="70" t="s">
        <v>1986</v>
      </c>
      <c r="E182" s="70" t="s">
        <v>1140</v>
      </c>
      <c r="F182" s="70" t="s">
        <v>1987</v>
      </c>
      <c r="H182" s="70" t="s">
        <v>1334</v>
      </c>
      <c r="Q182" s="73" t="str">
        <f t="shared" si="5"/>
        <v>2025-08</v>
      </c>
      <c r="V182" s="70" t="s">
        <v>1987</v>
      </c>
      <c r="W182" s="73">
        <f>COUNTIF('IS｜CVレポート'!H:H,流入チャネル別顧客一覧_ユニーク!D182)</f>
        <v>0</v>
      </c>
    </row>
    <row r="183" spans="2:23" ht="15.75" customHeight="1">
      <c r="B183" s="70" t="s">
        <v>1966</v>
      </c>
      <c r="C183" s="71">
        <v>45894.536111111112</v>
      </c>
      <c r="D183" s="70" t="s">
        <v>1988</v>
      </c>
      <c r="E183" s="70" t="s">
        <v>252</v>
      </c>
      <c r="F183" s="70" t="s">
        <v>1989</v>
      </c>
      <c r="H183" s="70" t="s">
        <v>1334</v>
      </c>
      <c r="Q183" s="73" t="str">
        <f t="shared" si="5"/>
        <v>2025-08</v>
      </c>
      <c r="V183" s="70" t="s">
        <v>1989</v>
      </c>
      <c r="W183" s="73">
        <f>COUNTIF('IS｜CVレポート'!H:H,流入チャネル別顧客一覧_ユニーク!D183)</f>
        <v>0</v>
      </c>
    </row>
    <row r="184" spans="2:23" ht="15.75" customHeight="1">
      <c r="B184" s="70" t="s">
        <v>1950</v>
      </c>
      <c r="C184" s="71">
        <v>45894.570138888892</v>
      </c>
      <c r="D184" s="70" t="s">
        <v>1990</v>
      </c>
      <c r="E184" s="70" t="s">
        <v>410</v>
      </c>
      <c r="F184" s="70" t="s">
        <v>1991</v>
      </c>
      <c r="H184" s="70" t="s">
        <v>1334</v>
      </c>
      <c r="Q184" s="73" t="str">
        <f t="shared" si="5"/>
        <v>2025-08</v>
      </c>
      <c r="R184" s="75">
        <v>45870</v>
      </c>
      <c r="V184" s="70" t="s">
        <v>1991</v>
      </c>
      <c r="W184" s="73">
        <f>COUNTIF('IS｜CVレポート'!H:H,流入チャネル別顧客一覧_ユニーク!D184)</f>
        <v>0</v>
      </c>
    </row>
    <row r="185" spans="2:23" ht="15.75" customHeight="1">
      <c r="B185" s="70" t="s">
        <v>1973</v>
      </c>
      <c r="C185" s="71">
        <v>45895.420138888891</v>
      </c>
      <c r="D185" s="70" t="s">
        <v>1992</v>
      </c>
      <c r="E185" s="70" t="s">
        <v>1993</v>
      </c>
      <c r="F185" s="70" t="s">
        <v>1994</v>
      </c>
      <c r="H185" s="70" t="s">
        <v>1334</v>
      </c>
      <c r="Q185" s="73" t="str">
        <f t="shared" si="5"/>
        <v>2025-08</v>
      </c>
      <c r="V185" s="70" t="s">
        <v>1994</v>
      </c>
      <c r="W185" s="73">
        <f>COUNTIF('IS｜CVレポート'!H:H,流入チャネル別顧客一覧_ユニーク!D185)</f>
        <v>0</v>
      </c>
    </row>
    <row r="186" spans="2:23" ht="15.75" customHeight="1">
      <c r="B186" s="70" t="s">
        <v>1950</v>
      </c>
      <c r="C186" s="71">
        <v>45895.449305555558</v>
      </c>
      <c r="D186" s="70" t="s">
        <v>1867</v>
      </c>
      <c r="E186" s="70" t="s">
        <v>1868</v>
      </c>
      <c r="F186" s="70" t="s">
        <v>1870</v>
      </c>
      <c r="H186" s="70" t="s">
        <v>1334</v>
      </c>
      <c r="Q186" s="73" t="str">
        <f t="shared" si="5"/>
        <v>2025-08</v>
      </c>
      <c r="V186" s="70" t="s">
        <v>1870</v>
      </c>
      <c r="W186" s="73">
        <f>COUNTIF('IS｜CVレポート'!H:H,流入チャネル別顧客一覧_ユニーク!D186)</f>
        <v>0</v>
      </c>
    </row>
    <row r="187" spans="2:23" ht="15.75" customHeight="1">
      <c r="B187" s="70" t="s">
        <v>1889</v>
      </c>
      <c r="C187" s="71">
        <v>45899.713194444441</v>
      </c>
      <c r="D187" s="70" t="s">
        <v>1995</v>
      </c>
      <c r="E187" s="70" t="s">
        <v>1996</v>
      </c>
      <c r="F187" s="70" t="s">
        <v>1997</v>
      </c>
      <c r="G187" s="70" t="s">
        <v>1893</v>
      </c>
      <c r="H187" s="70" t="s">
        <v>1998</v>
      </c>
      <c r="Q187" s="73" t="str">
        <f t="shared" si="5"/>
        <v>2025-08</v>
      </c>
      <c r="V187" s="70" t="s">
        <v>1997</v>
      </c>
      <c r="W187" s="73">
        <f>COUNTIF('IS｜CVレポート'!H:H,流入チャネル別顧客一覧_ユニーク!D187)</f>
        <v>2</v>
      </c>
    </row>
    <row r="188" spans="2:23" ht="15.75" customHeight="1">
      <c r="B188" s="70" t="s">
        <v>1889</v>
      </c>
      <c r="C188" s="71">
        <v>45902.394444444442</v>
      </c>
      <c r="D188" s="70" t="s">
        <v>1999</v>
      </c>
      <c r="E188" s="70" t="s">
        <v>2000</v>
      </c>
      <c r="F188" s="70" t="s">
        <v>2001</v>
      </c>
      <c r="G188" s="70" t="s">
        <v>1893</v>
      </c>
      <c r="H188" s="70" t="s">
        <v>1331</v>
      </c>
      <c r="Q188" s="73" t="str">
        <f t="shared" si="5"/>
        <v>2025-09</v>
      </c>
      <c r="V188" s="70" t="s">
        <v>2001</v>
      </c>
      <c r="W188" s="73">
        <f>COUNTIF('IS｜CVレポート'!H:H,流入チャネル別顧客一覧_ユニーク!D188)</f>
        <v>2</v>
      </c>
    </row>
    <row r="189" spans="2:23" ht="15.75" customHeight="1">
      <c r="B189" s="70" t="s">
        <v>1900</v>
      </c>
      <c r="C189" s="71">
        <v>45916.55972222222</v>
      </c>
      <c r="D189" s="70" t="s">
        <v>2002</v>
      </c>
      <c r="E189" s="70" t="s">
        <v>2003</v>
      </c>
      <c r="F189" s="70" t="s">
        <v>2004</v>
      </c>
      <c r="G189" s="70" t="s">
        <v>1893</v>
      </c>
      <c r="H189" s="70" t="s">
        <v>1331</v>
      </c>
      <c r="Q189" s="73" t="str">
        <f t="shared" si="5"/>
        <v>2025-09</v>
      </c>
      <c r="R189" s="75">
        <v>45931</v>
      </c>
      <c r="S189" s="75">
        <v>45931</v>
      </c>
      <c r="T189" s="126">
        <v>45931</v>
      </c>
      <c r="V189" s="70" t="s">
        <v>2004</v>
      </c>
      <c r="W189" s="73">
        <f>COUNTIF('IS｜CVレポート'!H:H,流入チャネル別顧客一覧_ユニーク!D189)</f>
        <v>2</v>
      </c>
    </row>
    <row r="190" spans="2:23" ht="15.75" customHeight="1">
      <c r="B190" s="70" t="s">
        <v>1889</v>
      </c>
      <c r="C190" s="71">
        <v>45916.581944444442</v>
      </c>
      <c r="D190" s="70" t="s">
        <v>2005</v>
      </c>
      <c r="E190" s="70" t="s">
        <v>2006</v>
      </c>
      <c r="F190" s="70" t="s">
        <v>2007</v>
      </c>
      <c r="G190" s="70" t="s">
        <v>1893</v>
      </c>
      <c r="H190" s="70" t="s">
        <v>1998</v>
      </c>
      <c r="Q190" s="73" t="str">
        <f t="shared" si="5"/>
        <v>2025-09</v>
      </c>
      <c r="V190" s="70" t="s">
        <v>2007</v>
      </c>
      <c r="W190" s="73">
        <f>COUNTIF('IS｜CVレポート'!H:H,流入チャネル別顧客一覧_ユニーク!D190)</f>
        <v>2</v>
      </c>
    </row>
    <row r="191" spans="2:23" ht="15.75" customHeight="1">
      <c r="B191" s="70" t="s">
        <v>1950</v>
      </c>
      <c r="C191" s="71">
        <v>45917.46597222222</v>
      </c>
      <c r="D191" s="73" t="s">
        <v>2008</v>
      </c>
      <c r="E191" s="70" t="s">
        <v>2009</v>
      </c>
      <c r="F191" s="70" t="s">
        <v>2010</v>
      </c>
      <c r="G191" s="70"/>
      <c r="H191" s="70" t="s">
        <v>1334</v>
      </c>
      <c r="Q191" s="73" t="str">
        <f t="shared" si="5"/>
        <v>2025-09</v>
      </c>
      <c r="R191" s="75">
        <v>45901</v>
      </c>
      <c r="V191" s="70" t="s">
        <v>2010</v>
      </c>
      <c r="W191" s="73">
        <f>COUNTIF('IS｜CVレポート'!H:H,流入チャネル別顧客一覧_ユニーク!D191)</f>
        <v>0</v>
      </c>
    </row>
    <row r="192" spans="2:23" ht="15.75" customHeight="1">
      <c r="B192" s="70" t="s">
        <v>1889</v>
      </c>
      <c r="C192" s="71">
        <v>45924.738888888889</v>
      </c>
      <c r="D192" s="70" t="s">
        <v>2011</v>
      </c>
      <c r="E192" s="70" t="s">
        <v>2012</v>
      </c>
      <c r="F192" s="70" t="s">
        <v>2013</v>
      </c>
      <c r="G192" s="70" t="s">
        <v>1893</v>
      </c>
      <c r="H192" s="70" t="s">
        <v>1908</v>
      </c>
      <c r="Q192" s="73" t="str">
        <f t="shared" si="5"/>
        <v>2025-09</v>
      </c>
      <c r="V192" s="70" t="s">
        <v>2013</v>
      </c>
      <c r="W192" s="73">
        <f>COUNTIF('IS｜CVレポート'!H:H,流入チャネル別顧客一覧_ユニーク!D192)</f>
        <v>2</v>
      </c>
    </row>
    <row r="193" spans="2:23" ht="15.75" customHeight="1">
      <c r="B193" s="70" t="s">
        <v>1889</v>
      </c>
      <c r="C193" s="80">
        <v>45937.416666666664</v>
      </c>
      <c r="D193" s="70" t="s">
        <v>2014</v>
      </c>
      <c r="E193" s="70" t="s">
        <v>2015</v>
      </c>
      <c r="F193" s="70" t="s">
        <v>2016</v>
      </c>
      <c r="G193" s="70" t="s">
        <v>1893</v>
      </c>
      <c r="H193" s="70" t="s">
        <v>1908</v>
      </c>
      <c r="Q193" s="73" t="str">
        <f t="shared" si="5"/>
        <v>2025-10</v>
      </c>
      <c r="V193" s="70" t="s">
        <v>2016</v>
      </c>
      <c r="W193" s="73">
        <f>COUNTIF('IS｜CVレポート'!H:H,流入チャネル別顧客一覧_ユニーク!D193)</f>
        <v>2</v>
      </c>
    </row>
    <row r="194" spans="2:23" ht="15.75" customHeight="1">
      <c r="B194" s="70" t="s">
        <v>1900</v>
      </c>
      <c r="C194" s="80">
        <v>45947.916666666664</v>
      </c>
      <c r="D194" s="70" t="s">
        <v>2017</v>
      </c>
      <c r="E194" s="70" t="s">
        <v>2018</v>
      </c>
      <c r="F194" s="70" t="s">
        <v>2019</v>
      </c>
      <c r="G194" s="70" t="s">
        <v>2020</v>
      </c>
      <c r="H194" s="70" t="s">
        <v>1946</v>
      </c>
      <c r="Q194" s="73" t="str">
        <f t="shared" si="5"/>
        <v>2025-10</v>
      </c>
      <c r="V194" s="70" t="s">
        <v>2019</v>
      </c>
      <c r="W194" s="73">
        <f>COUNTIF('IS｜CVレポート'!H:H,流入チャネル別顧客一覧_ユニーク!D194)</f>
        <v>2</v>
      </c>
    </row>
    <row r="195" spans="2:23" ht="15.75" customHeight="1">
      <c r="B195" s="70" t="s">
        <v>2021</v>
      </c>
      <c r="C195" s="71">
        <v>45940.515277777777</v>
      </c>
      <c r="D195" s="70" t="s">
        <v>1940</v>
      </c>
      <c r="E195" s="70" t="s">
        <v>1941</v>
      </c>
      <c r="F195" s="70" t="s">
        <v>1942</v>
      </c>
      <c r="H195" s="70" t="s">
        <v>1334</v>
      </c>
      <c r="Q195" s="73" t="str">
        <f t="shared" si="5"/>
        <v>2025-10</v>
      </c>
      <c r="V195" s="70" t="s">
        <v>1942</v>
      </c>
      <c r="W195" s="73">
        <f>COUNTIF('IS｜CVレポート'!H:H,流入チャネル別顧客一覧_ユニーク!D195)</f>
        <v>0</v>
      </c>
    </row>
    <row r="196" spans="2:23" ht="15.75" customHeight="1">
      <c r="B196" s="70" t="s">
        <v>2022</v>
      </c>
      <c r="C196" s="71">
        <v>45940.518750000003</v>
      </c>
      <c r="D196" s="70" t="s">
        <v>2023</v>
      </c>
      <c r="E196" s="70" t="s">
        <v>2024</v>
      </c>
      <c r="F196" s="70" t="s">
        <v>2025</v>
      </c>
      <c r="H196" s="70" t="s">
        <v>1334</v>
      </c>
      <c r="Q196" s="73" t="str">
        <f t="shared" si="5"/>
        <v>2025-10</v>
      </c>
      <c r="V196" s="70" t="s">
        <v>2025</v>
      </c>
      <c r="W196" s="73">
        <f>COUNTIF('IS｜CVレポート'!H:H,流入チャネル別顧客一覧_ユニーク!D196)</f>
        <v>0</v>
      </c>
    </row>
    <row r="197" spans="2:23" ht="15.75" customHeight="1">
      <c r="B197" s="70" t="s">
        <v>2022</v>
      </c>
      <c r="C197" s="71">
        <v>45940.521527777775</v>
      </c>
      <c r="D197" s="70" t="s">
        <v>2026</v>
      </c>
      <c r="E197" s="70" t="s">
        <v>2027</v>
      </c>
      <c r="F197" s="70" t="s">
        <v>2028</v>
      </c>
      <c r="H197" s="70" t="s">
        <v>1334</v>
      </c>
      <c r="Q197" s="73" t="str">
        <f t="shared" si="5"/>
        <v>2025-10</v>
      </c>
      <c r="V197" s="70" t="s">
        <v>2028</v>
      </c>
      <c r="W197" s="73">
        <f>COUNTIF('IS｜CVレポート'!H:H,流入チャネル別顧客一覧_ユニーク!D197)</f>
        <v>0</v>
      </c>
    </row>
    <row r="198" spans="2:23" ht="15.75" customHeight="1">
      <c r="B198" s="70" t="s">
        <v>2022</v>
      </c>
      <c r="C198" s="71">
        <v>45940.569444444445</v>
      </c>
      <c r="D198" s="70" t="s">
        <v>2029</v>
      </c>
      <c r="E198" s="70" t="s">
        <v>2030</v>
      </c>
      <c r="F198" s="70" t="s">
        <v>2031</v>
      </c>
      <c r="H198" s="70" t="s">
        <v>1334</v>
      </c>
      <c r="Q198" s="73" t="str">
        <f t="shared" si="5"/>
        <v>2025-10</v>
      </c>
      <c r="R198" s="75">
        <v>45931</v>
      </c>
      <c r="V198" s="70" t="s">
        <v>2031</v>
      </c>
      <c r="W198" s="73">
        <f>COUNTIF('IS｜CVレポート'!H:H,流入チャネル別顧客一覧_ユニーク!D198)</f>
        <v>0</v>
      </c>
    </row>
    <row r="199" spans="2:23" ht="15.75" customHeight="1">
      <c r="B199" s="70" t="s">
        <v>2022</v>
      </c>
      <c r="C199" s="71">
        <v>45940.570138888892</v>
      </c>
      <c r="D199" s="70" t="s">
        <v>1700</v>
      </c>
      <c r="E199" s="70" t="s">
        <v>2032</v>
      </c>
      <c r="F199" s="70" t="s">
        <v>1702</v>
      </c>
      <c r="H199" s="70" t="s">
        <v>1334</v>
      </c>
      <c r="Q199" s="73" t="str">
        <f t="shared" si="5"/>
        <v>2025-10</v>
      </c>
      <c r="V199" s="70" t="s">
        <v>1702</v>
      </c>
      <c r="W199" s="73">
        <f>COUNTIF('IS｜CVレポート'!H:H,流入チャネル別顧客一覧_ユニーク!D199)</f>
        <v>0</v>
      </c>
    </row>
    <row r="200" spans="2:23" ht="15.75" customHeight="1">
      <c r="B200" s="70" t="s">
        <v>2022</v>
      </c>
      <c r="C200" s="71">
        <v>45940.582638888889</v>
      </c>
      <c r="D200" s="70" t="s">
        <v>2033</v>
      </c>
      <c r="E200" s="70" t="s">
        <v>2034</v>
      </c>
      <c r="F200" s="70" t="s">
        <v>2035</v>
      </c>
      <c r="H200" s="70" t="s">
        <v>1334</v>
      </c>
      <c r="Q200" s="73" t="str">
        <f t="shared" si="5"/>
        <v>2025-10</v>
      </c>
      <c r="R200" s="75">
        <v>45931</v>
      </c>
      <c r="V200" s="70" t="s">
        <v>2035</v>
      </c>
      <c r="W200" s="73">
        <f>COUNTIF('IS｜CVレポート'!H:H,流入チャネル別顧客一覧_ユニーク!D200)</f>
        <v>0</v>
      </c>
    </row>
    <row r="201" spans="2:23" ht="15.75" customHeight="1">
      <c r="B201" s="70" t="s">
        <v>2022</v>
      </c>
      <c r="C201" s="71">
        <v>45940.590277777781</v>
      </c>
      <c r="D201" s="70" t="s">
        <v>2036</v>
      </c>
      <c r="E201" s="70" t="s">
        <v>2037</v>
      </c>
      <c r="F201" s="70" t="s">
        <v>2038</v>
      </c>
      <c r="H201" s="70" t="s">
        <v>1334</v>
      </c>
      <c r="Q201" s="73" t="str">
        <f t="shared" si="5"/>
        <v>2025-10</v>
      </c>
      <c r="V201" s="70" t="s">
        <v>2038</v>
      </c>
      <c r="W201" s="73">
        <f>COUNTIF('IS｜CVレポート'!H:H,流入チャネル別顧客一覧_ユニーク!D201)</f>
        <v>0</v>
      </c>
    </row>
    <row r="202" spans="2:23" ht="15.75" customHeight="1">
      <c r="B202" s="70" t="s">
        <v>2022</v>
      </c>
      <c r="C202" s="71">
        <v>45940.601388888892</v>
      </c>
      <c r="D202" s="70" t="s">
        <v>2039</v>
      </c>
      <c r="E202" s="70" t="s">
        <v>2040</v>
      </c>
      <c r="F202" s="70" t="s">
        <v>2041</v>
      </c>
      <c r="H202" s="70" t="s">
        <v>1334</v>
      </c>
      <c r="Q202" s="73" t="str">
        <f t="shared" si="5"/>
        <v>2025-10</v>
      </c>
      <c r="V202" s="70" t="s">
        <v>2041</v>
      </c>
      <c r="W202" s="73">
        <f>COUNTIF('IS｜CVレポート'!H:H,流入チャネル別顧客一覧_ユニーク!D202)</f>
        <v>0</v>
      </c>
    </row>
    <row r="203" spans="2:23" ht="15.75" customHeight="1">
      <c r="B203" s="70" t="s">
        <v>2022</v>
      </c>
      <c r="C203" s="71">
        <v>45940.631944444445</v>
      </c>
      <c r="D203" s="70" t="s">
        <v>2042</v>
      </c>
      <c r="E203" s="70" t="s">
        <v>2043</v>
      </c>
      <c r="F203" s="70" t="s">
        <v>2044</v>
      </c>
      <c r="H203" s="70" t="s">
        <v>1334</v>
      </c>
      <c r="Q203" s="73" t="str">
        <f t="shared" si="5"/>
        <v>2025-10</v>
      </c>
      <c r="V203" s="70" t="s">
        <v>2044</v>
      </c>
      <c r="W203" s="73">
        <f>COUNTIF('IS｜CVレポート'!H:H,流入チャネル別顧客一覧_ユニーク!D203)</f>
        <v>0</v>
      </c>
    </row>
    <row r="204" spans="2:23" ht="15.75" customHeight="1">
      <c r="B204" s="70" t="s">
        <v>2045</v>
      </c>
      <c r="C204" s="71">
        <v>45941.39166666667</v>
      </c>
      <c r="D204" s="70" t="s">
        <v>2046</v>
      </c>
      <c r="E204" s="70" t="s">
        <v>2047</v>
      </c>
      <c r="F204" s="70" t="s">
        <v>2048</v>
      </c>
      <c r="H204" s="70" t="s">
        <v>1334</v>
      </c>
      <c r="Q204" s="73" t="str">
        <f t="shared" si="5"/>
        <v>2025-10</v>
      </c>
      <c r="R204" s="75">
        <v>45931</v>
      </c>
      <c r="V204" s="70" t="s">
        <v>2048</v>
      </c>
      <c r="W204" s="73">
        <f>COUNTIF('IS｜CVレポート'!H:H,流入チャネル別顧客一覧_ユニーク!D204)</f>
        <v>0</v>
      </c>
    </row>
    <row r="205" spans="2:23" ht="15.75" customHeight="1">
      <c r="B205" s="70" t="s">
        <v>2022</v>
      </c>
      <c r="C205" s="71">
        <v>45941.444444444445</v>
      </c>
      <c r="D205" s="70" t="s">
        <v>1532</v>
      </c>
      <c r="E205" s="70" t="s">
        <v>1533</v>
      </c>
      <c r="F205" s="70" t="s">
        <v>1535</v>
      </c>
      <c r="H205" s="70" t="s">
        <v>1334</v>
      </c>
      <c r="Q205" s="73" t="str">
        <f t="shared" si="5"/>
        <v>2025-10</v>
      </c>
      <c r="V205" s="70" t="s">
        <v>1535</v>
      </c>
      <c r="W205" s="73">
        <f>COUNTIF('IS｜CVレポート'!H:H,流入チャネル別顧客一覧_ユニーク!D205)</f>
        <v>0</v>
      </c>
    </row>
    <row r="206" spans="2:23" ht="15.75" customHeight="1">
      <c r="B206" s="70" t="s">
        <v>2022</v>
      </c>
      <c r="C206" s="71">
        <v>45944.431944444441</v>
      </c>
      <c r="D206" s="70" t="s">
        <v>2049</v>
      </c>
      <c r="E206" s="70" t="s">
        <v>2050</v>
      </c>
      <c r="F206" s="70" t="s">
        <v>2051</v>
      </c>
      <c r="H206" s="70" t="s">
        <v>1334</v>
      </c>
      <c r="Q206" s="73" t="str">
        <f t="shared" si="5"/>
        <v>2025-10</v>
      </c>
      <c r="V206" s="70" t="s">
        <v>2051</v>
      </c>
      <c r="W206" s="73">
        <f>COUNTIF('IS｜CVレポート'!H:H,流入チャネル別顧客一覧_ユニーク!D206)</f>
        <v>0</v>
      </c>
    </row>
    <row r="207" spans="2:23" ht="15.75" customHeight="1">
      <c r="B207" s="70" t="s">
        <v>1900</v>
      </c>
      <c r="C207" s="71">
        <v>45947.949305555558</v>
      </c>
      <c r="D207" s="73" t="s">
        <v>2017</v>
      </c>
      <c r="E207" s="81" t="s">
        <v>2018</v>
      </c>
      <c r="F207" s="70" t="s">
        <v>2019</v>
      </c>
      <c r="G207" s="70" t="s">
        <v>2020</v>
      </c>
      <c r="H207" s="70" t="s">
        <v>1946</v>
      </c>
      <c r="Q207" s="73" t="str">
        <f t="shared" si="5"/>
        <v>2025-10</v>
      </c>
      <c r="V207" s="70" t="s">
        <v>2019</v>
      </c>
      <c r="W207" s="73">
        <f>COUNTIF('IS｜CVレポート'!H:H,流入チャネル別顧客一覧_ユニーク!D207)</f>
        <v>2</v>
      </c>
    </row>
    <row r="208" spans="2:23" ht="15.75" customHeight="1">
      <c r="B208" s="70" t="s">
        <v>2022</v>
      </c>
      <c r="C208" s="71">
        <v>45952.789583333331</v>
      </c>
      <c r="D208" s="70" t="s">
        <v>2052</v>
      </c>
      <c r="E208" s="70" t="s">
        <v>2053</v>
      </c>
      <c r="F208" s="70" t="s">
        <v>2054</v>
      </c>
      <c r="H208" s="70" t="s">
        <v>1334</v>
      </c>
      <c r="Q208" s="73" t="str">
        <f t="shared" si="5"/>
        <v>2025-10</v>
      </c>
      <c r="V208" s="70" t="s">
        <v>2054</v>
      </c>
      <c r="W208" s="73">
        <f>COUNTIF('IS｜CVレポート'!H:H,流入チャネル別顧客一覧_ユニーク!D208)</f>
        <v>0</v>
      </c>
    </row>
    <row r="209" spans="2:23" ht="15.75" customHeight="1">
      <c r="B209" s="70" t="s">
        <v>2055</v>
      </c>
      <c r="C209" s="71">
        <v>45971.419444444444</v>
      </c>
      <c r="D209" s="70" t="s">
        <v>1940</v>
      </c>
      <c r="E209" s="70" t="s">
        <v>1941</v>
      </c>
      <c r="F209" s="70" t="s">
        <v>1942</v>
      </c>
      <c r="H209" s="70" t="s">
        <v>1334</v>
      </c>
      <c r="Q209" s="73" t="str">
        <f t="shared" si="5"/>
        <v>2025-11</v>
      </c>
      <c r="V209" s="70" t="s">
        <v>1942</v>
      </c>
      <c r="W209" s="73">
        <f>COUNTIF('IS｜CVレポート'!H:H,流入チャネル別顧客一覧_ユニーク!D209)</f>
        <v>0</v>
      </c>
    </row>
    <row r="210" spans="2:23" ht="15.75" customHeight="1">
      <c r="B210" s="70" t="s">
        <v>2056</v>
      </c>
      <c r="C210" s="71">
        <v>45971.42291666667</v>
      </c>
      <c r="D210" s="70" t="s">
        <v>2057</v>
      </c>
      <c r="E210" s="70" t="s">
        <v>278</v>
      </c>
      <c r="F210" s="70" t="s">
        <v>2058</v>
      </c>
      <c r="H210" s="70" t="s">
        <v>1334</v>
      </c>
      <c r="Q210" s="73" t="str">
        <f t="shared" ref="Q210:Q217" si="6">TEXT(C210, "yyyy-mm")</f>
        <v>2025-11</v>
      </c>
      <c r="V210" s="70" t="s">
        <v>2058</v>
      </c>
      <c r="W210" s="73">
        <f>COUNTIF('IS｜CVレポート'!H:H,流入チャネル別顧客一覧_ユニーク!D210)</f>
        <v>0</v>
      </c>
    </row>
    <row r="211" spans="2:23" ht="15.75" customHeight="1">
      <c r="B211" s="70" t="s">
        <v>2059</v>
      </c>
      <c r="C211" s="71">
        <v>45971.43472222222</v>
      </c>
      <c r="D211" s="70" t="s">
        <v>1501</v>
      </c>
      <c r="E211" s="70" t="s">
        <v>1502</v>
      </c>
      <c r="F211" s="70" t="s">
        <v>1504</v>
      </c>
      <c r="H211" s="70" t="s">
        <v>1334</v>
      </c>
      <c r="Q211" s="73" t="str">
        <f t="shared" si="6"/>
        <v>2025-11</v>
      </c>
      <c r="V211" s="70" t="s">
        <v>1504</v>
      </c>
      <c r="W211" s="73">
        <f>COUNTIF('IS｜CVレポート'!H:H,流入チャネル別顧客一覧_ユニーク!D211)</f>
        <v>0</v>
      </c>
    </row>
    <row r="212" spans="2:23" ht="15.75" customHeight="1">
      <c r="B212" s="70" t="s">
        <v>2059</v>
      </c>
      <c r="C212" s="71">
        <v>45971.4375</v>
      </c>
      <c r="D212" s="70" t="s">
        <v>2060</v>
      </c>
      <c r="E212" s="70" t="s">
        <v>2061</v>
      </c>
      <c r="F212" s="70" t="s">
        <v>2062</v>
      </c>
      <c r="H212" s="70" t="s">
        <v>1334</v>
      </c>
      <c r="Q212" s="73" t="str">
        <f t="shared" si="6"/>
        <v>2025-11</v>
      </c>
      <c r="R212" s="75">
        <v>45962</v>
      </c>
      <c r="V212" s="70" t="s">
        <v>2062</v>
      </c>
      <c r="W212" s="73">
        <f>COUNTIF('IS｜CVレポート'!H:H,流入チャネル別顧客一覧_ユニーク!D212)</f>
        <v>0</v>
      </c>
    </row>
    <row r="213" spans="2:23" ht="15.75" customHeight="1">
      <c r="B213" s="70" t="s">
        <v>2063</v>
      </c>
      <c r="C213" s="71">
        <v>45971.464583333334</v>
      </c>
      <c r="D213" s="70" t="s">
        <v>2064</v>
      </c>
      <c r="E213" s="70" t="s">
        <v>2065</v>
      </c>
      <c r="F213" s="70" t="s">
        <v>2066</v>
      </c>
      <c r="H213" s="70" t="s">
        <v>1334</v>
      </c>
      <c r="Q213" s="73" t="str">
        <f t="shared" si="6"/>
        <v>2025-11</v>
      </c>
      <c r="V213" s="70" t="s">
        <v>2066</v>
      </c>
      <c r="W213" s="73">
        <f>COUNTIF('IS｜CVレポート'!H:H,流入チャネル別顧客一覧_ユニーク!D213)</f>
        <v>0</v>
      </c>
    </row>
    <row r="214" spans="2:23" ht="15.75" customHeight="1">
      <c r="B214" s="70" t="s">
        <v>2056</v>
      </c>
      <c r="C214" s="71">
        <v>45971.464583333334</v>
      </c>
      <c r="D214" s="70" t="s">
        <v>2067</v>
      </c>
      <c r="E214" s="70" t="s">
        <v>1057</v>
      </c>
      <c r="F214" s="70" t="s">
        <v>2068</v>
      </c>
      <c r="H214" s="70" t="s">
        <v>1334</v>
      </c>
      <c r="Q214" s="73" t="str">
        <f t="shared" si="6"/>
        <v>2025-11</v>
      </c>
      <c r="V214" s="70" t="s">
        <v>2068</v>
      </c>
      <c r="W214" s="73">
        <f>COUNTIF('IS｜CVレポート'!H:H,流入チャネル別顧客一覧_ユニーク!D214)</f>
        <v>0</v>
      </c>
    </row>
    <row r="215" spans="2:23" ht="15.75" customHeight="1">
      <c r="B215" s="70" t="s">
        <v>2059</v>
      </c>
      <c r="C215" s="71">
        <v>45971.465277777781</v>
      </c>
      <c r="D215" s="70" t="s">
        <v>2069</v>
      </c>
      <c r="E215" s="70" t="s">
        <v>916</v>
      </c>
      <c r="F215" s="70" t="s">
        <v>2070</v>
      </c>
      <c r="H215" s="70" t="s">
        <v>1334</v>
      </c>
      <c r="Q215" s="73" t="str">
        <f t="shared" si="6"/>
        <v>2025-11</v>
      </c>
      <c r="V215" s="70" t="s">
        <v>2070</v>
      </c>
      <c r="W215" s="73">
        <f>COUNTIF('IS｜CVレポート'!H:H,流入チャネル別顧客一覧_ユニーク!D215)</f>
        <v>0</v>
      </c>
    </row>
    <row r="216" spans="2:23" ht="15.75" customHeight="1">
      <c r="B216" s="70" t="s">
        <v>2056</v>
      </c>
      <c r="C216" s="71">
        <v>45971.479861111111</v>
      </c>
      <c r="D216" s="70" t="s">
        <v>2071</v>
      </c>
      <c r="E216" s="70" t="s">
        <v>2072</v>
      </c>
      <c r="F216" s="70" t="s">
        <v>2073</v>
      </c>
      <c r="H216" s="70" t="s">
        <v>1334</v>
      </c>
      <c r="Q216" s="73" t="str">
        <f t="shared" si="6"/>
        <v>2025-11</v>
      </c>
      <c r="V216" s="70" t="s">
        <v>2073</v>
      </c>
      <c r="W216" s="73">
        <f>COUNTIF('IS｜CVレポート'!H:H,流入チャネル別顧客一覧_ユニーク!D216)</f>
        <v>0</v>
      </c>
    </row>
    <row r="217" spans="2:23" ht="15.75" customHeight="1">
      <c r="B217" s="70" t="s">
        <v>2056</v>
      </c>
      <c r="C217" s="71">
        <v>45971.631249999999</v>
      </c>
      <c r="D217" s="70" t="s">
        <v>2074</v>
      </c>
      <c r="E217" s="70" t="s">
        <v>2075</v>
      </c>
      <c r="F217" s="70" t="s">
        <v>2076</v>
      </c>
      <c r="H217" s="70" t="s">
        <v>1334</v>
      </c>
      <c r="Q217" s="73" t="str">
        <f t="shared" si="6"/>
        <v>2025-11</v>
      </c>
      <c r="V217" s="70" t="s">
        <v>2076</v>
      </c>
      <c r="W217" s="73">
        <f>COUNTIF('IS｜CVレポート'!H:H,流入チャネル別顧客一覧_ユニーク!D217)</f>
        <v>0</v>
      </c>
    </row>
    <row r="218" spans="2:23" ht="15.75" customHeight="1">
      <c r="B218" s="82" t="s">
        <v>2055</v>
      </c>
      <c r="C218" s="83">
        <v>45994.619247685187</v>
      </c>
      <c r="D218" s="82" t="s">
        <v>2077</v>
      </c>
      <c r="E218" s="82" t="s">
        <v>2078</v>
      </c>
      <c r="F218" s="82" t="s">
        <v>2079</v>
      </c>
      <c r="H218" s="70" t="s">
        <v>1334</v>
      </c>
      <c r="Q218" s="73" t="str">
        <f t="shared" ref="Q218:Q245" si="7">TEXT(C218, "yyyy-mm")</f>
        <v>2025-12</v>
      </c>
      <c r="R218" s="76">
        <v>45992</v>
      </c>
      <c r="U218" s="75"/>
      <c r="V218" s="82" t="s">
        <v>2079</v>
      </c>
      <c r="W218" s="73">
        <f>COUNTIF('IS｜CVレポート'!H:H,流入チャネル別顧客一覧_ユニーク!D218)</f>
        <v>0</v>
      </c>
    </row>
    <row r="219" spans="2:23" ht="15.75" customHeight="1">
      <c r="B219" s="70" t="s">
        <v>1889</v>
      </c>
      <c r="C219" s="84">
        <v>46006.758333333331</v>
      </c>
      <c r="D219" s="70" t="s">
        <v>2080</v>
      </c>
      <c r="E219" s="70" t="s">
        <v>2081</v>
      </c>
      <c r="F219" s="70" t="s">
        <v>2082</v>
      </c>
      <c r="H219" s="70" t="s">
        <v>2083</v>
      </c>
      <c r="Q219" s="73" t="str">
        <f t="shared" si="7"/>
        <v>2025-12</v>
      </c>
      <c r="V219" s="70" t="s">
        <v>2082</v>
      </c>
      <c r="W219" s="73">
        <f>COUNTIF('IS｜CVレポート'!H:H,流入チャネル別顧客一覧_ユニーク!D219)</f>
        <v>2</v>
      </c>
    </row>
    <row r="220" spans="2:23" ht="15.75" customHeight="1">
      <c r="B220" s="82" t="s">
        <v>2084</v>
      </c>
      <c r="C220" s="85">
        <v>46014.41915509259</v>
      </c>
      <c r="D220" s="82" t="s">
        <v>2085</v>
      </c>
      <c r="E220" s="82" t="s">
        <v>2086</v>
      </c>
      <c r="F220" s="82" t="s">
        <v>2087</v>
      </c>
      <c r="G220" s="82"/>
      <c r="H220" s="70" t="s">
        <v>1334</v>
      </c>
      <c r="Q220" s="73" t="str">
        <f t="shared" si="7"/>
        <v>2025-12</v>
      </c>
      <c r="V220" s="82" t="s">
        <v>2087</v>
      </c>
      <c r="W220" s="73">
        <f>COUNTIF('IS｜CVレポート'!H:H,流入チャネル別顧客一覧_ユニーク!D220)</f>
        <v>0</v>
      </c>
    </row>
    <row r="221" spans="2:23" ht="15.75" customHeight="1">
      <c r="B221" s="82" t="s">
        <v>2088</v>
      </c>
      <c r="C221" s="85">
        <v>46014.41920138889</v>
      </c>
      <c r="D221" s="82" t="s">
        <v>2089</v>
      </c>
      <c r="E221" s="82" t="s">
        <v>2090</v>
      </c>
      <c r="F221" s="82" t="s">
        <v>2091</v>
      </c>
      <c r="G221" s="82"/>
      <c r="H221" s="70" t="s">
        <v>1334</v>
      </c>
      <c r="Q221" s="73" t="str">
        <f t="shared" si="7"/>
        <v>2025-12</v>
      </c>
      <c r="V221" s="82" t="s">
        <v>2091</v>
      </c>
      <c r="W221" s="73">
        <f>COUNTIF('IS｜CVレポート'!H:H,流入チャネル別顧客一覧_ユニーク!D221)</f>
        <v>0</v>
      </c>
    </row>
    <row r="222" spans="2:23" ht="15.75" customHeight="1">
      <c r="B222" s="82" t="s">
        <v>2084</v>
      </c>
      <c r="C222" s="85">
        <v>46014.419236111113</v>
      </c>
      <c r="D222" s="82" t="s">
        <v>2092</v>
      </c>
      <c r="E222" s="82" t="s">
        <v>297</v>
      </c>
      <c r="F222" s="82" t="s">
        <v>2093</v>
      </c>
      <c r="G222" s="82"/>
      <c r="H222" s="70" t="s">
        <v>1334</v>
      </c>
      <c r="Q222" s="73" t="str">
        <f t="shared" si="7"/>
        <v>2025-12</v>
      </c>
      <c r="V222" s="82" t="s">
        <v>2093</v>
      </c>
      <c r="W222" s="73">
        <f>COUNTIF('IS｜CVレポート'!H:H,流入チャネル別顧客一覧_ユニーク!D222)</f>
        <v>0</v>
      </c>
    </row>
    <row r="223" spans="2:23" ht="15.75" customHeight="1">
      <c r="B223" s="82" t="s">
        <v>2084</v>
      </c>
      <c r="C223" s="85">
        <v>46014.419386574074</v>
      </c>
      <c r="D223" s="82" t="s">
        <v>2094</v>
      </c>
      <c r="E223" s="82" t="s">
        <v>2095</v>
      </c>
      <c r="F223" s="82" t="s">
        <v>2096</v>
      </c>
      <c r="G223" s="82"/>
      <c r="H223" s="70" t="s">
        <v>1334</v>
      </c>
      <c r="Q223" s="73" t="str">
        <f t="shared" si="7"/>
        <v>2025-12</v>
      </c>
      <c r="V223" s="82" t="s">
        <v>2096</v>
      </c>
      <c r="W223" s="73">
        <f>COUNTIF('IS｜CVレポート'!H:H,流入チャネル別顧客一覧_ユニーク!D223)</f>
        <v>0</v>
      </c>
    </row>
    <row r="224" spans="2:23" ht="15.75" customHeight="1">
      <c r="B224" s="82" t="s">
        <v>2088</v>
      </c>
      <c r="C224" s="85">
        <v>46014.419641203705</v>
      </c>
      <c r="D224" s="82" t="s">
        <v>2097</v>
      </c>
      <c r="E224" s="82" t="s">
        <v>2098</v>
      </c>
      <c r="F224" s="82" t="s">
        <v>2099</v>
      </c>
      <c r="G224" s="82"/>
      <c r="H224" s="70" t="s">
        <v>1334</v>
      </c>
      <c r="Q224" s="73" t="str">
        <f t="shared" si="7"/>
        <v>2025-12</v>
      </c>
      <c r="V224" s="82" t="s">
        <v>2099</v>
      </c>
      <c r="W224" s="73">
        <f>COUNTIF('IS｜CVレポート'!H:H,流入チャネル別顧客一覧_ユニーク!D224)</f>
        <v>0</v>
      </c>
    </row>
    <row r="225" spans="2:23" ht="15.75" customHeight="1">
      <c r="B225" s="82" t="s">
        <v>2084</v>
      </c>
      <c r="C225" s="85">
        <v>46014.420659722222</v>
      </c>
      <c r="D225" s="82" t="s">
        <v>2100</v>
      </c>
      <c r="E225" s="82" t="s">
        <v>2101</v>
      </c>
      <c r="F225" s="82" t="s">
        <v>2102</v>
      </c>
      <c r="G225" s="82"/>
      <c r="H225" s="70" t="s">
        <v>1334</v>
      </c>
      <c r="Q225" s="73" t="str">
        <f t="shared" si="7"/>
        <v>2025-12</v>
      </c>
      <c r="R225" s="76">
        <v>45992</v>
      </c>
      <c r="S225" s="75">
        <v>46045</v>
      </c>
      <c r="V225" s="82" t="s">
        <v>2102</v>
      </c>
      <c r="W225" s="73">
        <f>COUNTIF('IS｜CVレポート'!H:H,流入チャネル別顧客一覧_ユニーク!D225)</f>
        <v>0</v>
      </c>
    </row>
    <row r="226" spans="2:23" ht="15.75" customHeight="1">
      <c r="B226" s="82" t="s">
        <v>2103</v>
      </c>
      <c r="C226" s="85">
        <v>46014.42119212963</v>
      </c>
      <c r="D226" s="82" t="s">
        <v>2104</v>
      </c>
      <c r="E226" s="82" t="s">
        <v>2105</v>
      </c>
      <c r="F226" s="82" t="s">
        <v>2106</v>
      </c>
      <c r="G226" s="82"/>
      <c r="H226" s="70" t="s">
        <v>1334</v>
      </c>
      <c r="Q226" s="73" t="str">
        <f t="shared" si="7"/>
        <v>2025-12</v>
      </c>
      <c r="V226" s="82" t="s">
        <v>2106</v>
      </c>
      <c r="W226" s="73">
        <f>COUNTIF('IS｜CVレポート'!H:H,流入チャネル別顧客一覧_ユニーク!D226)</f>
        <v>0</v>
      </c>
    </row>
    <row r="227" spans="2:23" ht="15.75" customHeight="1">
      <c r="B227" s="82" t="s">
        <v>2084</v>
      </c>
      <c r="C227" s="85">
        <v>46014.421273148146</v>
      </c>
      <c r="D227" s="82" t="s">
        <v>2107</v>
      </c>
      <c r="E227" s="82" t="s">
        <v>171</v>
      </c>
      <c r="F227" s="82" t="s">
        <v>2108</v>
      </c>
      <c r="G227" s="82"/>
      <c r="H227" s="70" t="s">
        <v>1334</v>
      </c>
      <c r="Q227" s="73" t="str">
        <f t="shared" si="7"/>
        <v>2025-12</v>
      </c>
      <c r="V227" s="82" t="s">
        <v>2108</v>
      </c>
      <c r="W227" s="73">
        <f>COUNTIF('IS｜CVレポート'!H:H,流入チャネル別顧客一覧_ユニーク!D227)</f>
        <v>0</v>
      </c>
    </row>
    <row r="228" spans="2:23" ht="15.75" customHeight="1">
      <c r="B228" s="82" t="s">
        <v>2084</v>
      </c>
      <c r="C228" s="85">
        <v>46014.421527777777</v>
      </c>
      <c r="D228" s="82" t="s">
        <v>2109</v>
      </c>
      <c r="E228" s="82" t="s">
        <v>2110</v>
      </c>
      <c r="F228" s="82" t="s">
        <v>2111</v>
      </c>
      <c r="G228" s="82"/>
      <c r="H228" s="70" t="s">
        <v>1334</v>
      </c>
      <c r="Q228" s="73" t="str">
        <f t="shared" si="7"/>
        <v>2025-12</v>
      </c>
      <c r="V228" s="82" t="s">
        <v>2111</v>
      </c>
      <c r="W228" s="73">
        <f>COUNTIF('IS｜CVレポート'!H:H,流入チャネル別顧客一覧_ユニーク!D228)</f>
        <v>0</v>
      </c>
    </row>
    <row r="229" spans="2:23" ht="15.75" customHeight="1">
      <c r="B229" s="82" t="s">
        <v>2088</v>
      </c>
      <c r="C229" s="85">
        <v>46014.421527777777</v>
      </c>
      <c r="D229" s="82" t="s">
        <v>2112</v>
      </c>
      <c r="E229" s="82" t="s">
        <v>2113</v>
      </c>
      <c r="F229" s="82" t="s">
        <v>2114</v>
      </c>
      <c r="G229" s="82"/>
      <c r="H229" s="70" t="s">
        <v>1334</v>
      </c>
      <c r="Q229" s="73" t="str">
        <f t="shared" si="7"/>
        <v>2025-12</v>
      </c>
      <c r="V229" s="82" t="s">
        <v>2114</v>
      </c>
      <c r="W229" s="73">
        <f>COUNTIF('IS｜CVレポート'!H:H,流入チャネル別顧客一覧_ユニーク!D229)</f>
        <v>0</v>
      </c>
    </row>
    <row r="230" spans="2:23" ht="15.75" customHeight="1">
      <c r="B230" s="82" t="s">
        <v>2103</v>
      </c>
      <c r="C230" s="85">
        <v>46014.421597222223</v>
      </c>
      <c r="D230" s="82" t="s">
        <v>2115</v>
      </c>
      <c r="E230" s="82" t="s">
        <v>2116</v>
      </c>
      <c r="F230" s="82" t="s">
        <v>2117</v>
      </c>
      <c r="G230" s="82"/>
      <c r="H230" s="70" t="s">
        <v>1334</v>
      </c>
      <c r="Q230" s="73" t="str">
        <f t="shared" si="7"/>
        <v>2025-12</v>
      </c>
      <c r="V230" s="82" t="s">
        <v>2117</v>
      </c>
      <c r="W230" s="73">
        <f>COUNTIF('IS｜CVレポート'!H:H,流入チャネル別顧客一覧_ユニーク!D230)</f>
        <v>0</v>
      </c>
    </row>
    <row r="231" spans="2:23" ht="15.75" customHeight="1">
      <c r="B231" s="82" t="s">
        <v>2084</v>
      </c>
      <c r="C231" s="85">
        <v>46014.421979166669</v>
      </c>
      <c r="D231" s="82" t="s">
        <v>2118</v>
      </c>
      <c r="E231" s="82" t="s">
        <v>2119</v>
      </c>
      <c r="F231" s="82" t="s">
        <v>2120</v>
      </c>
      <c r="G231" s="82"/>
      <c r="H231" s="70" t="s">
        <v>1334</v>
      </c>
      <c r="Q231" s="73" t="str">
        <f t="shared" si="7"/>
        <v>2025-12</v>
      </c>
      <c r="R231" s="76">
        <v>45992</v>
      </c>
      <c r="S231" s="121">
        <v>46054</v>
      </c>
      <c r="V231" s="82" t="s">
        <v>2120</v>
      </c>
      <c r="W231" s="73">
        <f>COUNTIF('IS｜CVレポート'!H:H,流入チャネル別顧客一覧_ユニーク!D231)</f>
        <v>0</v>
      </c>
    </row>
    <row r="232" spans="2:23" ht="15.75" customHeight="1">
      <c r="B232" s="82" t="s">
        <v>2084</v>
      </c>
      <c r="C232" s="85">
        <v>46014.427071759259</v>
      </c>
      <c r="D232" s="82" t="s">
        <v>2121</v>
      </c>
      <c r="E232" s="82" t="s">
        <v>2122</v>
      </c>
      <c r="F232" s="82" t="s">
        <v>2123</v>
      </c>
      <c r="G232" s="82"/>
      <c r="H232" s="70" t="s">
        <v>1334</v>
      </c>
      <c r="Q232" s="73" t="str">
        <f t="shared" si="7"/>
        <v>2025-12</v>
      </c>
      <c r="V232" s="82" t="s">
        <v>2123</v>
      </c>
      <c r="W232" s="73">
        <f>COUNTIF('IS｜CVレポート'!H:H,流入チャネル別顧客一覧_ユニーク!D232)</f>
        <v>0</v>
      </c>
    </row>
    <row r="233" spans="2:23" ht="15.75" customHeight="1">
      <c r="B233" s="82" t="s">
        <v>2084</v>
      </c>
      <c r="C233" s="85">
        <v>46014.435173611113</v>
      </c>
      <c r="D233" s="82" t="s">
        <v>2124</v>
      </c>
      <c r="E233" s="82" t="s">
        <v>934</v>
      </c>
      <c r="F233" s="82" t="s">
        <v>2125</v>
      </c>
      <c r="G233" s="82"/>
      <c r="H233" s="70" t="s">
        <v>1334</v>
      </c>
      <c r="Q233" s="73" t="str">
        <f t="shared" si="7"/>
        <v>2025-12</v>
      </c>
      <c r="V233" s="82" t="s">
        <v>2125</v>
      </c>
      <c r="W233" s="73">
        <f>COUNTIF('IS｜CVレポート'!H:H,流入チャネル別顧客一覧_ユニーク!D233)</f>
        <v>0</v>
      </c>
    </row>
    <row r="234" spans="2:23" ht="15.75" customHeight="1">
      <c r="B234" s="82" t="s">
        <v>2084</v>
      </c>
      <c r="C234" s="85">
        <v>46014.490937499999</v>
      </c>
      <c r="D234" s="82" t="s">
        <v>2126</v>
      </c>
      <c r="E234" s="82" t="s">
        <v>2127</v>
      </c>
      <c r="F234" s="82" t="s">
        <v>2128</v>
      </c>
      <c r="G234" s="82"/>
      <c r="H234" s="70" t="s">
        <v>1334</v>
      </c>
      <c r="Q234" s="73" t="str">
        <f t="shared" si="7"/>
        <v>2025-12</v>
      </c>
      <c r="V234" s="82" t="s">
        <v>2128</v>
      </c>
      <c r="W234" s="73">
        <f>COUNTIF('IS｜CVレポート'!H:H,流入チャネル別顧客一覧_ユニーク!D234)</f>
        <v>0</v>
      </c>
    </row>
    <row r="235" spans="2:23" ht="15.75" customHeight="1">
      <c r="B235" s="82" t="s">
        <v>2084</v>
      </c>
      <c r="C235" s="85">
        <v>46014.500983796293</v>
      </c>
      <c r="D235" s="82" t="s">
        <v>2129</v>
      </c>
      <c r="E235" s="82" t="s">
        <v>179</v>
      </c>
      <c r="F235" s="82" t="s">
        <v>2130</v>
      </c>
      <c r="G235" s="82"/>
      <c r="H235" s="70" t="s">
        <v>1334</v>
      </c>
      <c r="Q235" s="73" t="str">
        <f t="shared" si="7"/>
        <v>2025-12</v>
      </c>
      <c r="V235" s="82" t="s">
        <v>2130</v>
      </c>
      <c r="W235" s="73">
        <f>COUNTIF('IS｜CVレポート'!H:H,流入チャネル別顧客一覧_ユニーク!D235)</f>
        <v>0</v>
      </c>
    </row>
    <row r="236" spans="2:23" ht="15.75" customHeight="1">
      <c r="B236" s="82" t="s">
        <v>2084</v>
      </c>
      <c r="C236" s="85">
        <v>46014.502384259256</v>
      </c>
      <c r="D236" s="82" t="s">
        <v>1475</v>
      </c>
      <c r="E236" s="82" t="s">
        <v>1476</v>
      </c>
      <c r="F236" s="82" t="s">
        <v>1478</v>
      </c>
      <c r="G236" s="82"/>
      <c r="H236" s="70" t="s">
        <v>1334</v>
      </c>
      <c r="Q236" s="73" t="str">
        <f t="shared" si="7"/>
        <v>2025-12</v>
      </c>
      <c r="V236" s="82" t="s">
        <v>1478</v>
      </c>
      <c r="W236" s="73">
        <f>COUNTIF('IS｜CVレポート'!H:H,流入チャネル別顧客一覧_ユニーク!D236)</f>
        <v>0</v>
      </c>
    </row>
    <row r="237" spans="2:23" ht="15.75" customHeight="1">
      <c r="B237" s="82" t="s">
        <v>2084</v>
      </c>
      <c r="C237" s="85">
        <v>46014.502627314818</v>
      </c>
      <c r="D237" s="82" t="s">
        <v>1437</v>
      </c>
      <c r="E237" s="82" t="s">
        <v>90</v>
      </c>
      <c r="F237" s="82" t="s">
        <v>2131</v>
      </c>
      <c r="G237" s="82"/>
      <c r="H237" s="70" t="s">
        <v>1334</v>
      </c>
      <c r="Q237" s="73" t="str">
        <f t="shared" si="7"/>
        <v>2025-12</v>
      </c>
      <c r="V237" s="82" t="s">
        <v>2131</v>
      </c>
      <c r="W237" s="73">
        <f>COUNTIF('IS｜CVレポート'!H:H,流入チャネル別顧客一覧_ユニーク!D237)</f>
        <v>0</v>
      </c>
    </row>
    <row r="238" spans="2:23" ht="15.75" customHeight="1">
      <c r="B238" s="82" t="s">
        <v>2084</v>
      </c>
      <c r="C238" s="85">
        <v>46014.538217592592</v>
      </c>
      <c r="D238" s="82" t="s">
        <v>2132</v>
      </c>
      <c r="E238" s="82" t="s">
        <v>136</v>
      </c>
      <c r="F238" s="82" t="s">
        <v>2133</v>
      </c>
      <c r="G238" s="82"/>
      <c r="H238" s="70" t="s">
        <v>1334</v>
      </c>
      <c r="Q238" s="73" t="str">
        <f t="shared" si="7"/>
        <v>2025-12</v>
      </c>
      <c r="V238" s="82" t="s">
        <v>2133</v>
      </c>
      <c r="W238" s="73">
        <f>COUNTIF('IS｜CVレポート'!H:H,流入チャネル別顧客一覧_ユニーク!D238)</f>
        <v>0</v>
      </c>
    </row>
    <row r="239" spans="2:23" ht="15.75" customHeight="1">
      <c r="B239" s="82" t="s">
        <v>2084</v>
      </c>
      <c r="C239" s="85">
        <v>46014.609513888892</v>
      </c>
      <c r="D239" s="82" t="s">
        <v>2134</v>
      </c>
      <c r="E239" s="82" t="s">
        <v>2135</v>
      </c>
      <c r="F239" s="82" t="s">
        <v>2136</v>
      </c>
      <c r="G239" s="82"/>
      <c r="H239" s="70" t="s">
        <v>1334</v>
      </c>
      <c r="Q239" s="73" t="str">
        <f t="shared" si="7"/>
        <v>2025-12</v>
      </c>
      <c r="V239" s="82" t="s">
        <v>2136</v>
      </c>
      <c r="W239" s="73">
        <f>COUNTIF('IS｜CVレポート'!H:H,流入チャネル別顧客一覧_ユニーク!D239)</f>
        <v>0</v>
      </c>
    </row>
    <row r="240" spans="2:23" ht="15.75" customHeight="1">
      <c r="B240" s="82" t="s">
        <v>2084</v>
      </c>
      <c r="C240" s="85">
        <v>46015.400694444441</v>
      </c>
      <c r="D240" s="82" t="s">
        <v>1642</v>
      </c>
      <c r="E240" s="82" t="s">
        <v>252</v>
      </c>
      <c r="F240" s="82" t="s">
        <v>1644</v>
      </c>
      <c r="G240" s="82"/>
      <c r="H240" s="70" t="s">
        <v>1334</v>
      </c>
      <c r="Q240" s="73" t="str">
        <f t="shared" si="7"/>
        <v>2025-12</v>
      </c>
      <c r="V240" s="82" t="s">
        <v>1644</v>
      </c>
      <c r="W240" s="73">
        <f>COUNTIF('IS｜CVレポート'!H:H,流入チャネル別顧客一覧_ユニーク!D240)</f>
        <v>0</v>
      </c>
    </row>
    <row r="241" spans="1:23" ht="15.75" customHeight="1">
      <c r="B241" s="82" t="s">
        <v>2084</v>
      </c>
      <c r="C241" s="85">
        <v>46015.485891203702</v>
      </c>
      <c r="D241" s="82" t="s">
        <v>2137</v>
      </c>
      <c r="E241" s="82" t="s">
        <v>1057</v>
      </c>
      <c r="F241" s="82" t="s">
        <v>2138</v>
      </c>
      <c r="G241" s="82"/>
      <c r="H241" s="70" t="s">
        <v>1334</v>
      </c>
      <c r="Q241" s="73" t="str">
        <f t="shared" si="7"/>
        <v>2025-12</v>
      </c>
      <c r="V241" s="82" t="s">
        <v>2138</v>
      </c>
      <c r="W241" s="73">
        <f>COUNTIF('IS｜CVレポート'!H:H,流入チャネル別顧客一覧_ユニーク!D241)</f>
        <v>0</v>
      </c>
    </row>
    <row r="242" spans="1:23" ht="15.75" customHeight="1">
      <c r="A242" s="114"/>
      <c r="B242" s="115" t="s">
        <v>2139</v>
      </c>
      <c r="C242" s="116">
        <v>46028.417361111111</v>
      </c>
      <c r="D242" s="115" t="s">
        <v>2140</v>
      </c>
      <c r="E242" s="115" t="s">
        <v>2141</v>
      </c>
      <c r="F242" s="115" t="s">
        <v>2142</v>
      </c>
      <c r="H242" s="70" t="s">
        <v>1334</v>
      </c>
      <c r="Q242" s="73" t="str">
        <f t="shared" si="7"/>
        <v>2026-01</v>
      </c>
      <c r="R242" s="114"/>
      <c r="V242" s="82" t="s">
        <v>2142</v>
      </c>
      <c r="W242" s="73">
        <f>COUNTIF('IS｜CVレポート'!H:H,流入チャネル別顧客一覧_ユニーク!D242)</f>
        <v>0</v>
      </c>
    </row>
    <row r="243" spans="1:23" ht="15.75" customHeight="1">
      <c r="A243" s="114"/>
      <c r="B243" s="115" t="s">
        <v>2143</v>
      </c>
      <c r="C243" s="116">
        <v>46035.444444444445</v>
      </c>
      <c r="D243" s="115" t="s">
        <v>1715</v>
      </c>
      <c r="E243" s="115" t="s">
        <v>275</v>
      </c>
      <c r="F243" s="115" t="s">
        <v>2144</v>
      </c>
      <c r="H243" s="70" t="s">
        <v>1334</v>
      </c>
      <c r="Q243" s="73" t="str">
        <f t="shared" si="7"/>
        <v>2026-01</v>
      </c>
      <c r="R243" s="114"/>
      <c r="V243" s="82" t="s">
        <v>2144</v>
      </c>
      <c r="W243" s="73">
        <f>COUNTIF('IS｜CVレポート'!H:H,流入チャネル別顧客一覧_ユニーク!D243)</f>
        <v>0</v>
      </c>
    </row>
    <row r="244" spans="1:23" ht="15.75" customHeight="1">
      <c r="A244" s="114"/>
      <c r="B244" s="115" t="s">
        <v>2143</v>
      </c>
      <c r="C244" s="116">
        <v>46038.421527777777</v>
      </c>
      <c r="D244" s="115" t="s">
        <v>2145</v>
      </c>
      <c r="E244" s="115" t="s">
        <v>2146</v>
      </c>
      <c r="F244" s="115" t="s">
        <v>2147</v>
      </c>
      <c r="H244" s="70" t="s">
        <v>1334</v>
      </c>
      <c r="Q244" s="73" t="str">
        <f t="shared" si="7"/>
        <v>2026-01</v>
      </c>
      <c r="R244" s="121">
        <v>46023</v>
      </c>
      <c r="S244" s="121">
        <v>46054</v>
      </c>
      <c r="V244" s="82" t="s">
        <v>2147</v>
      </c>
      <c r="W244" s="73">
        <f>COUNTIF('IS｜CVレポート'!H:H,流入チャネル別顧客一覧_ユニーク!D244)</f>
        <v>0</v>
      </c>
    </row>
    <row r="245" spans="1:23" ht="15.75" customHeight="1">
      <c r="B245" s="115" t="s">
        <v>1889</v>
      </c>
      <c r="C245" s="116">
        <v>46039.390972222223</v>
      </c>
      <c r="D245" s="115" t="s">
        <v>2148</v>
      </c>
      <c r="E245" s="115" t="s">
        <v>2149</v>
      </c>
      <c r="F245" s="115" t="s">
        <v>2150</v>
      </c>
      <c r="H245" s="70" t="s">
        <v>1908</v>
      </c>
      <c r="Q245" s="73" t="str">
        <f t="shared" si="7"/>
        <v>2026-01</v>
      </c>
      <c r="R245" s="115"/>
      <c r="V245" s="82" t="s">
        <v>2150</v>
      </c>
      <c r="W245" s="73">
        <f>COUNTIF('IS｜CVレポート'!H:H,流入チャネル別顧客一覧_ユニーク!D245)</f>
        <v>2</v>
      </c>
    </row>
    <row r="246" spans="1:23" ht="15.75" customHeight="1">
      <c r="B246" s="69" t="s">
        <v>2151</v>
      </c>
      <c r="C246" s="113">
        <v>46041.338888888888</v>
      </c>
      <c r="D246" s="69" t="s">
        <v>2152</v>
      </c>
      <c r="E246" s="69" t="s">
        <v>2153</v>
      </c>
      <c r="F246" s="69" t="s">
        <v>2154</v>
      </c>
      <c r="H246" s="70" t="s">
        <v>1334</v>
      </c>
      <c r="R246" s="114"/>
      <c r="W246" s="73">
        <f>COUNTIF('IS｜CVレポート'!H:H,流入チャネル別顧客一覧_ユニーク!D246)</f>
        <v>0</v>
      </c>
    </row>
    <row r="247" spans="1:23" ht="15.75" customHeight="1">
      <c r="A247" s="69"/>
      <c r="B247" s="69" t="s">
        <v>2155</v>
      </c>
      <c r="C247" s="14">
        <v>46041.545138888891</v>
      </c>
      <c r="D247" s="69" t="s">
        <v>2156</v>
      </c>
      <c r="E247" s="69" t="s">
        <v>2157</v>
      </c>
      <c r="F247" s="69" t="s">
        <v>2158</v>
      </c>
      <c r="H247" s="70" t="s">
        <v>1334</v>
      </c>
      <c r="R247" s="114"/>
      <c r="W247" s="73">
        <f>COUNTIF('IS｜CVレポート'!H:H,流入チャネル別顧客一覧_ユニーク!D247)</f>
        <v>0</v>
      </c>
    </row>
    <row r="248" spans="1:23" ht="15.75" customHeight="1">
      <c r="A248" s="114"/>
      <c r="B248" s="69" t="s">
        <v>1889</v>
      </c>
      <c r="C248" s="14">
        <v>46041.890972222223</v>
      </c>
      <c r="D248" s="69" t="s">
        <v>2159</v>
      </c>
      <c r="E248" s="69" t="s">
        <v>2160</v>
      </c>
      <c r="F248" s="69" t="s">
        <v>2161</v>
      </c>
      <c r="H248" s="70" t="s">
        <v>1946</v>
      </c>
      <c r="R248" s="13"/>
      <c r="W248" s="73">
        <f>COUNTIF('IS｜CVレポート'!H:H,流入チャネル別顧客一覧_ユニーク!D248)</f>
        <v>2</v>
      </c>
    </row>
    <row r="249" spans="1:23" ht="15.75" customHeight="1">
      <c r="A249" s="114"/>
      <c r="B249" s="69" t="s">
        <v>1889</v>
      </c>
      <c r="C249" s="14">
        <v>46042.379166666666</v>
      </c>
      <c r="D249" s="69" t="s">
        <v>2162</v>
      </c>
      <c r="E249" s="69" t="s">
        <v>2163</v>
      </c>
      <c r="F249" s="69" t="s">
        <v>2164</v>
      </c>
      <c r="H249" s="70" t="s">
        <v>1908</v>
      </c>
      <c r="R249" s="13"/>
      <c r="W249" s="73">
        <f>COUNTIF('IS｜CVレポート'!H:H,流入チャネル別顧客一覧_ユニーク!D249)</f>
        <v>2</v>
      </c>
    </row>
    <row r="250" spans="1:23" ht="15.75" customHeight="1">
      <c r="A250" s="114"/>
      <c r="B250" s="69" t="s">
        <v>1900</v>
      </c>
      <c r="C250" s="14">
        <v>46042.675000000003</v>
      </c>
      <c r="D250" s="69" t="s">
        <v>2165</v>
      </c>
      <c r="E250" s="69" t="s">
        <v>2166</v>
      </c>
      <c r="F250" s="69" t="s">
        <v>2167</v>
      </c>
      <c r="H250" s="70" t="s">
        <v>2168</v>
      </c>
      <c r="R250" s="13"/>
      <c r="W250" s="73">
        <f>COUNTIF('IS｜CVレポート'!H:H,流入チャネル別顧客一覧_ユニーク!D250)</f>
        <v>4</v>
      </c>
    </row>
    <row r="251" spans="1:23" ht="15.75" customHeight="1">
      <c r="A251" s="114"/>
      <c r="B251" s="69" t="s">
        <v>2151</v>
      </c>
      <c r="C251" s="14">
        <v>46043.395833333336</v>
      </c>
      <c r="D251" s="69" t="s">
        <v>2169</v>
      </c>
      <c r="E251" s="69" t="s">
        <v>2170</v>
      </c>
      <c r="F251" s="69" t="s">
        <v>2171</v>
      </c>
      <c r="H251" s="70" t="s">
        <v>1334</v>
      </c>
      <c r="R251" s="114"/>
      <c r="W251" s="73">
        <f>COUNTIF('IS｜CVレポート'!H:H,流入チャネル別顧客一覧_ユニーク!D251)</f>
        <v>0</v>
      </c>
    </row>
    <row r="252" spans="1:23" ht="15.75" customHeight="1">
      <c r="A252" s="114"/>
      <c r="B252" s="69" t="s">
        <v>1889</v>
      </c>
      <c r="C252" s="14">
        <v>46043.725694444445</v>
      </c>
      <c r="D252" s="69" t="s">
        <v>2172</v>
      </c>
      <c r="E252" s="69" t="s">
        <v>2173</v>
      </c>
      <c r="F252" s="69" t="s">
        <v>2174</v>
      </c>
      <c r="H252" s="70" t="s">
        <v>1899</v>
      </c>
      <c r="R252" s="13"/>
      <c r="W252" s="73">
        <f>COUNTIF('IS｜CVレポート'!H:H,流入チャネル別顧客一覧_ユニーク!D252)</f>
        <v>2</v>
      </c>
    </row>
    <row r="253" spans="1:23" ht="15.75" customHeight="1">
      <c r="A253" s="114"/>
      <c r="B253" s="69" t="s">
        <v>2175</v>
      </c>
      <c r="C253" s="14">
        <v>46048.336805555555</v>
      </c>
      <c r="D253" s="69" t="s">
        <v>2176</v>
      </c>
      <c r="E253" s="69" t="s">
        <v>2177</v>
      </c>
      <c r="F253" s="69" t="s">
        <v>2178</v>
      </c>
      <c r="H253" s="70" t="s">
        <v>1334</v>
      </c>
      <c r="R253" s="114"/>
      <c r="W253" s="73">
        <f>COUNTIF('IS｜CVレポート'!H:H,流入チャネル別顧客一覧_ユニーク!D253)</f>
        <v>0</v>
      </c>
    </row>
    <row r="254" spans="1:23" ht="15.75" customHeight="1">
      <c r="A254" s="114"/>
      <c r="B254" s="69" t="s">
        <v>2175</v>
      </c>
      <c r="C254" s="14">
        <v>46048.339583333334</v>
      </c>
      <c r="D254" s="69" t="s">
        <v>2179</v>
      </c>
      <c r="E254" s="118" t="s">
        <v>2180</v>
      </c>
      <c r="F254" s="69" t="s">
        <v>2181</v>
      </c>
      <c r="H254" s="70" t="s">
        <v>1334</v>
      </c>
      <c r="R254" s="114"/>
      <c r="W254" s="73">
        <f>COUNTIF('IS｜CVレポート'!H:H,流入チャネル別顧客一覧_ユニーク!D254)</f>
        <v>0</v>
      </c>
    </row>
    <row r="255" spans="1:23" ht="15.75" customHeight="1">
      <c r="A255" s="114"/>
      <c r="B255" s="69" t="s">
        <v>2175</v>
      </c>
      <c r="C255" s="14">
        <v>46048.343055555553</v>
      </c>
      <c r="D255" s="69" t="s">
        <v>2182</v>
      </c>
      <c r="E255" s="69" t="s">
        <v>2183</v>
      </c>
      <c r="F255" s="69" t="s">
        <v>2184</v>
      </c>
      <c r="H255" s="70" t="s">
        <v>1334</v>
      </c>
      <c r="R255" s="114"/>
      <c r="W255" s="73">
        <f>COUNTIF('IS｜CVレポート'!H:H,流入チャネル別顧客一覧_ユニーク!D255)</f>
        <v>0</v>
      </c>
    </row>
    <row r="256" spans="1:23" ht="15.75" customHeight="1">
      <c r="A256" s="114"/>
      <c r="B256" s="69" t="s">
        <v>2185</v>
      </c>
      <c r="C256" s="14">
        <v>46048.348611111112</v>
      </c>
      <c r="D256" s="69" t="s">
        <v>1642</v>
      </c>
      <c r="E256" s="118" t="s">
        <v>252</v>
      </c>
      <c r="F256" s="69" t="s">
        <v>1644</v>
      </c>
      <c r="H256" s="70" t="s">
        <v>1334</v>
      </c>
      <c r="R256" s="114"/>
      <c r="W256" s="73">
        <f>COUNTIF('IS｜CVレポート'!H:H,流入チャネル別顧客一覧_ユニーク!D256)</f>
        <v>0</v>
      </c>
    </row>
    <row r="257" spans="1:23" ht="15.75" customHeight="1">
      <c r="A257" s="114"/>
      <c r="B257" s="69" t="s">
        <v>2175</v>
      </c>
      <c r="C257" s="113">
        <v>46048.348611111112</v>
      </c>
      <c r="D257" s="69" t="s">
        <v>2186</v>
      </c>
      <c r="E257" s="118" t="s">
        <v>2187</v>
      </c>
      <c r="F257" s="69" t="s">
        <v>2188</v>
      </c>
      <c r="H257" s="70" t="s">
        <v>1334</v>
      </c>
      <c r="R257" s="114"/>
      <c r="W257" s="73">
        <f>COUNTIF('IS｜CVレポート'!H:H,流入チャネル別顧客一覧_ユニーク!D257)</f>
        <v>0</v>
      </c>
    </row>
    <row r="258" spans="1:23" ht="15.75" customHeight="1">
      <c r="A258" s="114"/>
      <c r="B258" s="69" t="s">
        <v>2175</v>
      </c>
      <c r="C258" s="113">
        <v>46048.354861111111</v>
      </c>
      <c r="D258" s="69" t="s">
        <v>2189</v>
      </c>
      <c r="E258" s="118" t="s">
        <v>1271</v>
      </c>
      <c r="F258" s="69" t="s">
        <v>2190</v>
      </c>
      <c r="H258" s="70" t="s">
        <v>1334</v>
      </c>
      <c r="R258" s="114"/>
      <c r="W258" s="73">
        <f>COUNTIF('IS｜CVレポート'!H:H,流入チャネル別顧客一覧_ユニーク!D258)</f>
        <v>0</v>
      </c>
    </row>
    <row r="259" spans="1:23" ht="15.75" customHeight="1">
      <c r="A259" s="114"/>
      <c r="B259" s="69" t="s">
        <v>2175</v>
      </c>
      <c r="C259" s="113">
        <v>46048.362500000003</v>
      </c>
      <c r="D259" s="69" t="s">
        <v>2191</v>
      </c>
      <c r="E259" s="69" t="s">
        <v>2192</v>
      </c>
      <c r="F259" s="69" t="s">
        <v>2193</v>
      </c>
      <c r="H259" s="70" t="s">
        <v>1334</v>
      </c>
      <c r="R259" s="114"/>
      <c r="W259" s="73">
        <f>COUNTIF('IS｜CVレポート'!H:H,流入チャネル別顧客一覧_ユニーク!D259)</f>
        <v>0</v>
      </c>
    </row>
    <row r="260" spans="1:23" ht="15.75" customHeight="1">
      <c r="A260" s="114"/>
      <c r="B260" s="69" t="s">
        <v>2175</v>
      </c>
      <c r="C260" s="113">
        <v>46048.378472222219</v>
      </c>
      <c r="D260" s="69" t="s">
        <v>2194</v>
      </c>
      <c r="E260" s="69" t="s">
        <v>90</v>
      </c>
      <c r="F260" s="69" t="s">
        <v>2195</v>
      </c>
      <c r="H260" s="70" t="s">
        <v>1334</v>
      </c>
      <c r="R260" s="114"/>
      <c r="W260" s="73">
        <f>COUNTIF('IS｜CVレポート'!H:H,流入チャネル別顧客一覧_ユニーク!D260)</f>
        <v>0</v>
      </c>
    </row>
    <row r="261" spans="1:23" ht="15.75" customHeight="1">
      <c r="A261" s="114"/>
      <c r="B261" s="69" t="s">
        <v>2175</v>
      </c>
      <c r="C261" s="113">
        <v>46048.394444444442</v>
      </c>
      <c r="D261" s="69" t="s">
        <v>2196</v>
      </c>
      <c r="E261" s="69" t="s">
        <v>126</v>
      </c>
      <c r="F261" s="69" t="s">
        <v>2197</v>
      </c>
      <c r="H261" s="70" t="s">
        <v>1334</v>
      </c>
      <c r="R261" s="114"/>
      <c r="W261" s="73">
        <f>COUNTIF('IS｜CVレポート'!H:H,流入チャネル別顧客一覧_ユニーク!D261)</f>
        <v>0</v>
      </c>
    </row>
    <row r="262" spans="1:23" ht="15.75" customHeight="1">
      <c r="A262" s="114"/>
      <c r="B262" s="69" t="s">
        <v>2185</v>
      </c>
      <c r="C262" s="14">
        <v>46048.402777777781</v>
      </c>
      <c r="D262" s="69" t="s">
        <v>2060</v>
      </c>
      <c r="E262" s="69" t="s">
        <v>2061</v>
      </c>
      <c r="F262" s="69" t="s">
        <v>2062</v>
      </c>
      <c r="H262" s="70" t="s">
        <v>1334</v>
      </c>
      <c r="R262" s="114"/>
      <c r="W262" s="73">
        <f>COUNTIF('IS｜CVレポート'!H:H,流入チャネル別顧客一覧_ユニーク!D262)</f>
        <v>0</v>
      </c>
    </row>
    <row r="263" spans="1:23" ht="15.75" customHeight="1">
      <c r="A263" s="114"/>
      <c r="B263" s="69" t="s">
        <v>2175</v>
      </c>
      <c r="C263" s="113">
        <v>46048.417361111111</v>
      </c>
      <c r="D263" s="69" t="s">
        <v>2198</v>
      </c>
      <c r="E263" s="69" t="s">
        <v>2199</v>
      </c>
      <c r="F263" s="69" t="s">
        <v>2200</v>
      </c>
      <c r="H263" s="70" t="s">
        <v>1334</v>
      </c>
      <c r="R263" s="114"/>
      <c r="W263" s="73">
        <f>COUNTIF('IS｜CVレポート'!H:H,流入チャネル別顧客一覧_ユニーク!D263)</f>
        <v>0</v>
      </c>
    </row>
    <row r="264" spans="1:23" ht="15.75" customHeight="1">
      <c r="A264" s="114"/>
      <c r="B264" s="69" t="s">
        <v>2175</v>
      </c>
      <c r="C264" s="113">
        <v>46048.426388888889</v>
      </c>
      <c r="D264" s="69" t="s">
        <v>2201</v>
      </c>
      <c r="E264" s="69" t="s">
        <v>32</v>
      </c>
      <c r="F264" s="69" t="s">
        <v>2202</v>
      </c>
      <c r="H264" s="70" t="s">
        <v>1334</v>
      </c>
      <c r="R264" s="114"/>
      <c r="W264" s="73">
        <f>COUNTIF('IS｜CVレポート'!H:H,流入チャネル別顧客一覧_ユニーク!D264)</f>
        <v>0</v>
      </c>
    </row>
    <row r="265" spans="1:23" ht="15.75" customHeight="1">
      <c r="A265" s="114"/>
      <c r="B265" s="69" t="s">
        <v>2175</v>
      </c>
      <c r="C265" s="14">
        <v>46048.455555555556</v>
      </c>
      <c r="D265" s="69" t="s">
        <v>2074</v>
      </c>
      <c r="E265" s="69" t="s">
        <v>2075</v>
      </c>
      <c r="F265" s="69" t="s">
        <v>2076</v>
      </c>
      <c r="H265" s="70" t="s">
        <v>1334</v>
      </c>
      <c r="R265" s="114"/>
      <c r="W265" s="73">
        <f>COUNTIF('IS｜CVレポート'!H:H,流入チャネル別顧客一覧_ユニーク!D265)</f>
        <v>0</v>
      </c>
    </row>
    <row r="266" spans="1:23" ht="15.75" customHeight="1">
      <c r="A266" s="114"/>
      <c r="B266" s="69" t="s">
        <v>2175</v>
      </c>
      <c r="C266" s="14">
        <v>46048.493750000001</v>
      </c>
      <c r="D266" s="69" t="s">
        <v>2026</v>
      </c>
      <c r="E266" s="69" t="s">
        <v>2027</v>
      </c>
      <c r="F266" s="69" t="s">
        <v>2028</v>
      </c>
      <c r="H266" s="70" t="s">
        <v>1334</v>
      </c>
      <c r="R266" s="114"/>
      <c r="W266" s="73">
        <f>COUNTIF('IS｜CVレポート'!H:H,流入チャネル別顧客一覧_ユニーク!D266)</f>
        <v>0</v>
      </c>
    </row>
    <row r="267" spans="1:23" ht="15.75" customHeight="1">
      <c r="A267" s="114"/>
      <c r="B267" s="69" t="s">
        <v>2185</v>
      </c>
      <c r="C267" s="14">
        <v>46048.496527777781</v>
      </c>
      <c r="D267" s="69" t="s">
        <v>2203</v>
      </c>
      <c r="E267" s="69" t="s">
        <v>1840</v>
      </c>
      <c r="F267" s="69" t="s">
        <v>2204</v>
      </c>
      <c r="H267" s="70" t="s">
        <v>1334</v>
      </c>
      <c r="R267" s="114"/>
      <c r="W267" s="73">
        <f>COUNTIF('IS｜CVレポート'!H:H,流入チャネル別顧客一覧_ユニーク!D267)</f>
        <v>0</v>
      </c>
    </row>
    <row r="268" spans="1:23" ht="15.75" customHeight="1">
      <c r="A268" s="114"/>
      <c r="B268" s="69" t="s">
        <v>2175</v>
      </c>
      <c r="C268" s="113">
        <v>46048.506944444445</v>
      </c>
      <c r="D268" s="69" t="s">
        <v>2205</v>
      </c>
      <c r="E268" s="69" t="s">
        <v>1037</v>
      </c>
      <c r="F268" s="69" t="s">
        <v>2206</v>
      </c>
      <c r="H268" s="70" t="s">
        <v>1334</v>
      </c>
      <c r="R268" s="114"/>
      <c r="W268" s="73">
        <f>COUNTIF('IS｜CVレポート'!H:H,流入チャネル別顧客一覧_ユニーク!D268)</f>
        <v>0</v>
      </c>
    </row>
    <row r="269" spans="1:23" ht="15.75" customHeight="1">
      <c r="A269" s="114"/>
      <c r="B269" s="69" t="s">
        <v>2175</v>
      </c>
      <c r="C269" s="113">
        <v>46048.521527777775</v>
      </c>
      <c r="D269" s="69" t="s">
        <v>2207</v>
      </c>
      <c r="E269" s="69" t="s">
        <v>2208</v>
      </c>
      <c r="F269" s="69" t="s">
        <v>2209</v>
      </c>
      <c r="H269" s="70" t="s">
        <v>1334</v>
      </c>
      <c r="R269" s="114"/>
      <c r="W269" s="73">
        <f>COUNTIF('IS｜CVレポート'!H:H,流入チャネル別顧客一覧_ユニーク!D269)</f>
        <v>0</v>
      </c>
    </row>
    <row r="270" spans="1:23" ht="15.75" customHeight="1">
      <c r="A270" s="114"/>
      <c r="B270" s="69" t="s">
        <v>2175</v>
      </c>
      <c r="C270" s="14">
        <v>46048.578472222223</v>
      </c>
      <c r="D270" s="69" t="s">
        <v>2210</v>
      </c>
      <c r="E270" s="118" t="s">
        <v>1008</v>
      </c>
      <c r="F270" s="69" t="s">
        <v>2211</v>
      </c>
      <c r="H270" s="70" t="s">
        <v>1334</v>
      </c>
      <c r="R270" s="114"/>
      <c r="W270" s="73">
        <f>COUNTIF('IS｜CVレポート'!H:H,流入チャネル別顧客一覧_ユニーク!D270)</f>
        <v>0</v>
      </c>
    </row>
    <row r="271" spans="1:23" ht="15.75" customHeight="1">
      <c r="A271" s="114"/>
      <c r="B271" s="69" t="s">
        <v>2175</v>
      </c>
      <c r="C271" s="14">
        <v>46049.368055555555</v>
      </c>
      <c r="D271" s="69" t="s">
        <v>2212</v>
      </c>
      <c r="E271" s="69" t="s">
        <v>869</v>
      </c>
      <c r="F271" s="69" t="s">
        <v>2213</v>
      </c>
      <c r="H271" s="70" t="s">
        <v>1334</v>
      </c>
      <c r="R271" s="114"/>
      <c r="W271" s="73">
        <f>COUNTIF('IS｜CVレポート'!H:H,流入チャネル別顧客一覧_ユニーク!D271)</f>
        <v>0</v>
      </c>
    </row>
    <row r="272" spans="1:23" ht="15.75" customHeight="1">
      <c r="A272" s="114"/>
      <c r="B272" s="69" t="s">
        <v>1889</v>
      </c>
      <c r="C272" s="14">
        <v>46050.709722222222</v>
      </c>
      <c r="D272" s="69" t="s">
        <v>2214</v>
      </c>
      <c r="E272" s="69" t="s">
        <v>2215</v>
      </c>
      <c r="F272" s="69" t="s">
        <v>2216</v>
      </c>
      <c r="H272" s="70" t="s">
        <v>1908</v>
      </c>
      <c r="R272" s="13"/>
      <c r="W272" s="73">
        <f>COUNTIF('IS｜CVレポート'!H:H,流入チャネル別顧客一覧_ユニーク!D272)</f>
        <v>2</v>
      </c>
    </row>
    <row r="273" spans="1:23" ht="15.75" customHeight="1">
      <c r="A273" s="114"/>
      <c r="B273" s="69" t="s">
        <v>2175</v>
      </c>
      <c r="C273" s="14">
        <v>46051.611805555556</v>
      </c>
      <c r="D273" s="69" t="s">
        <v>2217</v>
      </c>
      <c r="E273" s="69" t="s">
        <v>2218</v>
      </c>
      <c r="F273" s="69" t="s">
        <v>2219</v>
      </c>
      <c r="H273" s="70" t="s">
        <v>1334</v>
      </c>
      <c r="R273" s="121">
        <v>46023</v>
      </c>
      <c r="W273" s="73">
        <f>COUNTIF('IS｜CVレポート'!H:H,流入チャネル別顧客一覧_ユニーク!D273)</f>
        <v>0</v>
      </c>
    </row>
    <row r="274" spans="1:23" ht="15.75" customHeight="1">
      <c r="A274" s="114"/>
      <c r="B274" s="69" t="s">
        <v>2175</v>
      </c>
      <c r="C274" s="113">
        <v>46055.598611111112</v>
      </c>
      <c r="D274" s="69" t="s">
        <v>2220</v>
      </c>
      <c r="E274" s="69" t="s">
        <v>1302</v>
      </c>
      <c r="F274" s="69" t="s">
        <v>2221</v>
      </c>
      <c r="H274" s="70" t="s">
        <v>1334</v>
      </c>
      <c r="R274" s="114"/>
      <c r="W274" s="73">
        <f>COUNTIF('IS｜CVレポート'!H:H,流入チャネル別顧客一覧_ユニーク!D274)</f>
        <v>0</v>
      </c>
    </row>
    <row r="275" spans="1:23" ht="15.75" customHeight="1">
      <c r="A275" s="114"/>
      <c r="B275" s="69" t="s">
        <v>2222</v>
      </c>
      <c r="C275" s="113">
        <v>46056.343055555553</v>
      </c>
      <c r="D275" s="69" t="s">
        <v>2223</v>
      </c>
      <c r="E275" s="69" t="s">
        <v>892</v>
      </c>
      <c r="F275" s="69" t="s">
        <v>2224</v>
      </c>
      <c r="H275" s="70" t="s">
        <v>1334</v>
      </c>
      <c r="R275" s="114"/>
      <c r="W275" s="73">
        <f>COUNTIF('IS｜CVレポート'!H:H,流入チャネル別顧客一覧_ユニーク!D275)</f>
        <v>0</v>
      </c>
    </row>
    <row r="276" spans="1:23" ht="15.75" customHeight="1">
      <c r="A276" s="114"/>
      <c r="B276" s="69" t="s">
        <v>2222</v>
      </c>
      <c r="C276" s="113">
        <v>46056.34652777778</v>
      </c>
      <c r="D276" s="69" t="s">
        <v>2225</v>
      </c>
      <c r="E276" s="69" t="s">
        <v>2226</v>
      </c>
      <c r="F276" s="69" t="s">
        <v>2227</v>
      </c>
      <c r="H276" s="70" t="s">
        <v>1334</v>
      </c>
      <c r="R276" s="114"/>
      <c r="W276" s="73">
        <f>COUNTIF('IS｜CVレポート'!H:H,流入チャネル別顧客一覧_ユニーク!D276)</f>
        <v>0</v>
      </c>
    </row>
    <row r="277" spans="1:23" ht="15.75" customHeight="1">
      <c r="A277" s="114"/>
      <c r="B277" s="69" t="s">
        <v>2222</v>
      </c>
      <c r="C277" s="113">
        <v>46056.349305555559</v>
      </c>
      <c r="D277" s="69" t="s">
        <v>1642</v>
      </c>
      <c r="E277" s="118" t="s">
        <v>252</v>
      </c>
      <c r="F277" s="69" t="s">
        <v>1644</v>
      </c>
      <c r="H277" s="70" t="s">
        <v>1334</v>
      </c>
      <c r="R277" s="114"/>
      <c r="W277" s="73">
        <f>COUNTIF('IS｜CVレポート'!H:H,流入チャネル別顧客一覧_ユニーク!D277)</f>
        <v>0</v>
      </c>
    </row>
    <row r="278" spans="1:23" ht="15.75" customHeight="1">
      <c r="A278" s="114"/>
      <c r="B278" s="69" t="s">
        <v>2222</v>
      </c>
      <c r="C278" s="113">
        <v>46056.349305555559</v>
      </c>
      <c r="D278" s="69" t="s">
        <v>2228</v>
      </c>
      <c r="E278" s="69" t="s">
        <v>2229</v>
      </c>
      <c r="F278" s="69" t="s">
        <v>2230</v>
      </c>
      <c r="H278" s="70" t="s">
        <v>1334</v>
      </c>
      <c r="R278" s="114"/>
      <c r="W278" s="73">
        <f>COUNTIF('IS｜CVレポート'!H:H,流入チャネル別顧客一覧_ユニーク!D278)</f>
        <v>0</v>
      </c>
    </row>
    <row r="279" spans="1:23" ht="15.75" customHeight="1">
      <c r="A279" s="114"/>
      <c r="B279" s="69" t="s">
        <v>2222</v>
      </c>
      <c r="C279" s="113">
        <v>46056.356944444444</v>
      </c>
      <c r="D279" s="69" t="s">
        <v>2231</v>
      </c>
      <c r="E279" s="69" t="s">
        <v>2232</v>
      </c>
      <c r="F279" s="69" t="s">
        <v>2233</v>
      </c>
      <c r="H279" s="70" t="s">
        <v>1334</v>
      </c>
      <c r="R279" s="114"/>
      <c r="W279" s="73">
        <f>COUNTIF('IS｜CVレポート'!H:H,流入チャネル別顧客一覧_ユニーク!D279)</f>
        <v>0</v>
      </c>
    </row>
    <row r="280" spans="1:23" ht="15.75" customHeight="1">
      <c r="A280" s="114"/>
      <c r="B280" s="69" t="s">
        <v>2234</v>
      </c>
      <c r="C280" s="113">
        <v>46056.35833333333</v>
      </c>
      <c r="D280" s="69" t="s">
        <v>2235</v>
      </c>
      <c r="E280" s="69" t="s">
        <v>965</v>
      </c>
      <c r="F280" s="69" t="s">
        <v>2236</v>
      </c>
      <c r="H280" s="70" t="s">
        <v>1334</v>
      </c>
      <c r="R280" s="114"/>
      <c r="W280" s="73">
        <f>COUNTIF('IS｜CVレポート'!H:H,流入チャネル別顧客一覧_ユニーク!D280)</f>
        <v>0</v>
      </c>
    </row>
    <row r="281" spans="1:23" ht="15.75" customHeight="1">
      <c r="A281" s="114"/>
      <c r="B281" s="69" t="s">
        <v>2222</v>
      </c>
      <c r="C281" s="113">
        <v>46056.359722222223</v>
      </c>
      <c r="D281" s="69" t="s">
        <v>2186</v>
      </c>
      <c r="E281" s="118" t="s">
        <v>2187</v>
      </c>
      <c r="F281" s="69" t="s">
        <v>2188</v>
      </c>
      <c r="H281" s="70" t="s">
        <v>1334</v>
      </c>
      <c r="R281" s="114"/>
      <c r="W281" s="73">
        <f>COUNTIF('IS｜CVレポート'!H:H,流入チャネル別顧客一覧_ユニーク!D281)</f>
        <v>0</v>
      </c>
    </row>
    <row r="282" spans="1:23" ht="15.75" customHeight="1">
      <c r="A282" s="114"/>
      <c r="B282" s="69" t="s">
        <v>2222</v>
      </c>
      <c r="C282" s="113">
        <v>46056.362500000003</v>
      </c>
      <c r="D282" s="69" t="s">
        <v>2237</v>
      </c>
      <c r="E282" s="69" t="s">
        <v>2238</v>
      </c>
      <c r="F282" s="69" t="s">
        <v>2239</v>
      </c>
      <c r="H282" s="70" t="s">
        <v>1334</v>
      </c>
      <c r="R282" s="121">
        <v>46054</v>
      </c>
      <c r="W282" s="73">
        <f>COUNTIF('IS｜CVレポート'!H:H,流入チャネル別顧客一覧_ユニーク!D282)</f>
        <v>0</v>
      </c>
    </row>
    <row r="283" spans="1:23" ht="15.75" customHeight="1">
      <c r="A283" s="114"/>
      <c r="B283" s="69" t="s">
        <v>2222</v>
      </c>
      <c r="C283" s="113">
        <v>46056.363194444442</v>
      </c>
      <c r="D283" s="69" t="s">
        <v>2240</v>
      </c>
      <c r="E283" s="69" t="s">
        <v>2241</v>
      </c>
      <c r="F283" s="69" t="s">
        <v>2242</v>
      </c>
      <c r="H283" s="70" t="s">
        <v>1334</v>
      </c>
      <c r="R283" s="114"/>
      <c r="W283" s="73">
        <f>COUNTIF('IS｜CVレポート'!H:H,流入チャネル別顧客一覧_ユニーク!D283)</f>
        <v>0</v>
      </c>
    </row>
    <row r="284" spans="1:23" ht="15.75" customHeight="1">
      <c r="A284" s="114"/>
      <c r="B284" s="69" t="s">
        <v>2234</v>
      </c>
      <c r="C284" s="113">
        <v>46056.365277777775</v>
      </c>
      <c r="D284" s="69" t="s">
        <v>2243</v>
      </c>
      <c r="E284" s="69" t="s">
        <v>2244</v>
      </c>
      <c r="F284" s="69" t="s">
        <v>2245</v>
      </c>
      <c r="H284" s="70" t="s">
        <v>1334</v>
      </c>
      <c r="R284" s="121">
        <v>46054</v>
      </c>
      <c r="S284" s="121">
        <v>46054</v>
      </c>
      <c r="W284" s="73">
        <f>COUNTIF('IS｜CVレポート'!H:H,流入チャネル別顧客一覧_ユニーク!D284)</f>
        <v>0</v>
      </c>
    </row>
    <row r="285" spans="1:23" ht="15.75" customHeight="1">
      <c r="A285" s="114"/>
      <c r="B285" s="69" t="s">
        <v>2222</v>
      </c>
      <c r="C285" s="113">
        <v>46056.369444444441</v>
      </c>
      <c r="D285" s="69" t="s">
        <v>1977</v>
      </c>
      <c r="E285" s="69" t="s">
        <v>1978</v>
      </c>
      <c r="F285" s="69" t="s">
        <v>1979</v>
      </c>
      <c r="H285" s="70" t="s">
        <v>1334</v>
      </c>
      <c r="R285" s="114"/>
      <c r="W285" s="73">
        <f>COUNTIF('IS｜CVレポート'!H:H,流入チャネル別顧客一覧_ユニーク!D285)</f>
        <v>0</v>
      </c>
    </row>
    <row r="286" spans="1:23" ht="15.75" customHeight="1">
      <c r="A286" s="114"/>
      <c r="B286" s="69" t="s">
        <v>2234</v>
      </c>
      <c r="C286" s="113">
        <v>46056.381249999999</v>
      </c>
      <c r="D286" s="69" t="s">
        <v>2246</v>
      </c>
      <c r="E286" s="69" t="s">
        <v>2247</v>
      </c>
      <c r="F286" s="69" t="s">
        <v>2248</v>
      </c>
      <c r="H286" s="70" t="s">
        <v>1334</v>
      </c>
      <c r="R286" s="114"/>
      <c r="W286" s="73">
        <f>COUNTIF('IS｜CVレポート'!H:H,流入チャネル別顧客一覧_ユニーク!D286)</f>
        <v>0</v>
      </c>
    </row>
    <row r="287" spans="1:23" ht="15.75" customHeight="1">
      <c r="A287" s="114"/>
      <c r="B287" s="69" t="s">
        <v>2175</v>
      </c>
      <c r="C287" s="113">
        <v>46056.387499999997</v>
      </c>
      <c r="D287" s="69" t="s">
        <v>2249</v>
      </c>
      <c r="E287" s="69" t="s">
        <v>2250</v>
      </c>
      <c r="F287" s="69" t="s">
        <v>2251</v>
      </c>
      <c r="H287" s="70" t="s">
        <v>1334</v>
      </c>
      <c r="R287" s="114"/>
      <c r="W287" s="73">
        <f>COUNTIF('IS｜CVレポート'!H:H,流入チャネル別顧客一覧_ユニーク!D287)</f>
        <v>0</v>
      </c>
    </row>
    <row r="288" spans="1:23" ht="15.75" customHeight="1">
      <c r="A288" s="114"/>
      <c r="B288" s="69" t="s">
        <v>2222</v>
      </c>
      <c r="C288" s="113">
        <v>46056.402777777781</v>
      </c>
      <c r="D288" s="69" t="s">
        <v>2252</v>
      </c>
      <c r="E288" s="69" t="s">
        <v>300</v>
      </c>
      <c r="F288" s="69" t="s">
        <v>2253</v>
      </c>
      <c r="H288" s="70" t="s">
        <v>1334</v>
      </c>
      <c r="R288" s="121">
        <v>46054</v>
      </c>
      <c r="W288" s="73">
        <f>COUNTIF('IS｜CVレポート'!H:H,流入チャネル別顧客一覧_ユニーク!D288)</f>
        <v>0</v>
      </c>
    </row>
    <row r="289" spans="1:23" ht="15.75" customHeight="1">
      <c r="A289" s="114"/>
      <c r="B289" s="69" t="s">
        <v>2222</v>
      </c>
      <c r="C289" s="113">
        <v>46056.413194444445</v>
      </c>
      <c r="D289" s="69" t="s">
        <v>2254</v>
      </c>
      <c r="E289" s="69" t="s">
        <v>2255</v>
      </c>
      <c r="F289" s="69" t="s">
        <v>2256</v>
      </c>
      <c r="H289" s="70" t="s">
        <v>1334</v>
      </c>
      <c r="R289" s="114"/>
      <c r="W289" s="73">
        <f>COUNTIF('IS｜CVレポート'!H:H,流入チャネル別顧客一覧_ユニーク!D289)</f>
        <v>0</v>
      </c>
    </row>
    <row r="290" spans="1:23" ht="15.75" customHeight="1">
      <c r="A290" s="114"/>
      <c r="B290" s="69" t="s">
        <v>2222</v>
      </c>
      <c r="C290" s="113">
        <v>46056.462500000001</v>
      </c>
      <c r="D290" s="69" t="s">
        <v>2257</v>
      </c>
      <c r="E290" s="69" t="s">
        <v>2258</v>
      </c>
      <c r="F290" s="69" t="s">
        <v>2259</v>
      </c>
      <c r="H290" s="70" t="s">
        <v>1334</v>
      </c>
      <c r="R290" s="121">
        <v>46054</v>
      </c>
      <c r="W290" s="73">
        <f>COUNTIF('IS｜CVレポート'!H:H,流入チャネル別顧客一覧_ユニーク!D290)</f>
        <v>0</v>
      </c>
    </row>
    <row r="291" spans="1:23" ht="15.75" customHeight="1">
      <c r="A291" s="114"/>
      <c r="B291" s="69" t="s">
        <v>2222</v>
      </c>
      <c r="C291" s="113">
        <v>46056.495833333334</v>
      </c>
      <c r="D291" s="69" t="s">
        <v>2260</v>
      </c>
      <c r="E291" s="69" t="s">
        <v>207</v>
      </c>
      <c r="F291" s="69" t="s">
        <v>2261</v>
      </c>
      <c r="H291" s="70" t="s">
        <v>1334</v>
      </c>
      <c r="R291" s="114"/>
      <c r="W291" s="73">
        <f>COUNTIF('IS｜CVレポート'!H:H,流入チャネル別顧客一覧_ユニーク!D291)</f>
        <v>0</v>
      </c>
    </row>
    <row r="292" spans="1:23" ht="15.75" customHeight="1">
      <c r="A292" s="114"/>
      <c r="B292" s="69" t="s">
        <v>2222</v>
      </c>
      <c r="C292" s="113">
        <v>46056.574999999997</v>
      </c>
      <c r="D292" s="69" t="s">
        <v>2262</v>
      </c>
      <c r="E292" s="69" t="s">
        <v>2263</v>
      </c>
      <c r="F292" s="69" t="s">
        <v>2264</v>
      </c>
      <c r="H292" s="70" t="s">
        <v>1334</v>
      </c>
      <c r="R292" s="114"/>
      <c r="W292" s="73">
        <f>COUNTIF('IS｜CVレポート'!H:H,流入チャネル別顧客一覧_ユニーク!D292)</f>
        <v>0</v>
      </c>
    </row>
    <row r="293" spans="1:23" ht="15.75" customHeight="1">
      <c r="A293" s="114"/>
      <c r="B293" s="69" t="s">
        <v>2222</v>
      </c>
      <c r="C293" s="113">
        <v>46056.57916666667</v>
      </c>
      <c r="D293" s="69" t="s">
        <v>2265</v>
      </c>
      <c r="E293" s="69" t="s">
        <v>2266</v>
      </c>
      <c r="F293" s="69" t="s">
        <v>2267</v>
      </c>
      <c r="H293" s="70" t="s">
        <v>1334</v>
      </c>
      <c r="R293" s="121">
        <v>46054</v>
      </c>
      <c r="W293" s="73">
        <f>COUNTIF('IS｜CVレポート'!H:H,流入チャネル別顧客一覧_ユニーク!D293)</f>
        <v>0</v>
      </c>
    </row>
    <row r="294" spans="1:23" ht="15.75" customHeight="1">
      <c r="A294" s="114"/>
      <c r="B294" s="69" t="s">
        <v>2234</v>
      </c>
      <c r="C294" s="113">
        <v>46056.628472222219</v>
      </c>
      <c r="D294" s="69" t="s">
        <v>2268</v>
      </c>
      <c r="E294" s="69" t="s">
        <v>938</v>
      </c>
      <c r="F294" s="69" t="s">
        <v>2269</v>
      </c>
      <c r="H294" s="70" t="s">
        <v>1334</v>
      </c>
      <c r="R294" s="121">
        <v>46054</v>
      </c>
      <c r="S294" s="126">
        <v>46082</v>
      </c>
      <c r="W294" s="73">
        <f>COUNTIF('IS｜CVレポート'!H:H,流入チャネル別顧客一覧_ユニーク!D294)</f>
        <v>0</v>
      </c>
    </row>
    <row r="295" spans="1:23" ht="15.75" customHeight="1">
      <c r="A295" s="114"/>
      <c r="B295" s="69" t="s">
        <v>2222</v>
      </c>
      <c r="C295" s="113">
        <v>46058.615972222222</v>
      </c>
      <c r="D295" s="69" t="s">
        <v>2270</v>
      </c>
      <c r="E295" s="118" t="s">
        <v>1271</v>
      </c>
      <c r="F295" s="69" t="s">
        <v>2271</v>
      </c>
      <c r="H295" s="70" t="s">
        <v>1334</v>
      </c>
      <c r="R295" s="114"/>
      <c r="W295" s="73">
        <f>COUNTIF('IS｜CVレポート'!H:H,流入チャネル別顧客一覧_ユニーク!D295)</f>
        <v>0</v>
      </c>
    </row>
    <row r="296" spans="1:23" ht="15.75" customHeight="1">
      <c r="A296" s="114"/>
      <c r="B296" s="69" t="s">
        <v>2272</v>
      </c>
      <c r="C296" s="113">
        <v>46062.336111111108</v>
      </c>
      <c r="D296" s="69" t="s">
        <v>2273</v>
      </c>
      <c r="E296" s="69" t="s">
        <v>2274</v>
      </c>
      <c r="F296" s="69" t="s">
        <v>2275</v>
      </c>
      <c r="H296" s="70" t="s">
        <v>1334</v>
      </c>
      <c r="R296" s="121">
        <v>46054</v>
      </c>
      <c r="W296" s="73">
        <f>COUNTIF('IS｜CVレポート'!H:H,流入チャネル別顧客一覧_ユニーク!D296)</f>
        <v>0</v>
      </c>
    </row>
    <row r="297" spans="1:23" ht="15.75" customHeight="1">
      <c r="A297" s="114"/>
      <c r="B297" s="69" t="s">
        <v>2272</v>
      </c>
      <c r="C297" s="113">
        <v>46062.336805555555</v>
      </c>
      <c r="D297" s="69" t="s">
        <v>2276</v>
      </c>
      <c r="E297" s="69" t="s">
        <v>925</v>
      </c>
      <c r="F297" s="69" t="s">
        <v>2277</v>
      </c>
      <c r="H297" s="70" t="s">
        <v>1334</v>
      </c>
      <c r="R297" s="114"/>
      <c r="W297" s="73">
        <f>COUNTIF('IS｜CVレポート'!H:H,流入チャネル別顧客一覧_ユニーク!D297)</f>
        <v>0</v>
      </c>
    </row>
    <row r="298" spans="1:23" ht="15.75" customHeight="1">
      <c r="A298" s="114"/>
      <c r="B298" s="69" t="s">
        <v>2278</v>
      </c>
      <c r="C298" s="113">
        <v>46065.333333333336</v>
      </c>
      <c r="D298" s="69" t="s">
        <v>2179</v>
      </c>
      <c r="E298" s="118" t="s">
        <v>2180</v>
      </c>
      <c r="F298" s="69" t="s">
        <v>2181</v>
      </c>
      <c r="H298" s="70" t="s">
        <v>1334</v>
      </c>
      <c r="R298" s="114"/>
      <c r="W298" s="73">
        <f>COUNTIF('IS｜CVレポート'!H:H,流入チャネル別顧客一覧_ユニーク!D298)</f>
        <v>0</v>
      </c>
    </row>
    <row r="299" spans="1:23" ht="15.75" customHeight="1">
      <c r="A299" s="114"/>
      <c r="B299" s="69" t="s">
        <v>2278</v>
      </c>
      <c r="C299" s="113">
        <v>46065.35</v>
      </c>
      <c r="D299" s="69" t="s">
        <v>2279</v>
      </c>
      <c r="E299" s="118" t="s">
        <v>1008</v>
      </c>
      <c r="F299" s="69" t="s">
        <v>2280</v>
      </c>
      <c r="H299" s="70" t="s">
        <v>1334</v>
      </c>
      <c r="R299" s="114"/>
      <c r="W299" s="73">
        <f>COUNTIF('IS｜CVレポート'!H:H,流入チャネル別顧客一覧_ユニーク!D299)</f>
        <v>0</v>
      </c>
    </row>
    <row r="300" spans="1:23" ht="15.75" customHeight="1">
      <c r="A300" s="114"/>
      <c r="B300" s="69" t="s">
        <v>2281</v>
      </c>
      <c r="C300" s="113">
        <v>46065.363194444442</v>
      </c>
      <c r="D300" s="69" t="s">
        <v>2282</v>
      </c>
      <c r="E300" s="69" t="s">
        <v>2283</v>
      </c>
      <c r="F300" s="69" t="s">
        <v>2284</v>
      </c>
      <c r="H300" s="70" t="s">
        <v>1334</v>
      </c>
      <c r="R300" s="114"/>
      <c r="W300" s="73">
        <f>COUNTIF('IS｜CVレポート'!H:H,流入チャネル別顧客一覧_ユニーク!D300)</f>
        <v>0</v>
      </c>
    </row>
    <row r="301" spans="1:23" ht="15.75" customHeight="1">
      <c r="A301" s="114"/>
      <c r="B301" s="69" t="s">
        <v>2278</v>
      </c>
      <c r="C301" s="113">
        <v>46065.399305555555</v>
      </c>
      <c r="D301" s="69" t="s">
        <v>2285</v>
      </c>
      <c r="E301" s="69" t="s">
        <v>1014</v>
      </c>
      <c r="F301" s="69" t="s">
        <v>2286</v>
      </c>
      <c r="H301" s="70" t="s">
        <v>1334</v>
      </c>
      <c r="R301" s="114"/>
      <c r="W301" s="73">
        <f>COUNTIF('IS｜CVレポート'!H:H,流入チャネル別顧客一覧_ユニーク!D301)</f>
        <v>0</v>
      </c>
    </row>
    <row r="302" spans="1:23" ht="15.75" customHeight="1">
      <c r="A302" s="114"/>
      <c r="B302" s="69" t="s">
        <v>2278</v>
      </c>
      <c r="C302" s="113">
        <v>46065.410416666666</v>
      </c>
      <c r="D302" s="69" t="s">
        <v>2287</v>
      </c>
      <c r="E302" s="69" t="s">
        <v>2288</v>
      </c>
      <c r="F302" s="69" t="s">
        <v>2289</v>
      </c>
      <c r="H302" s="70" t="s">
        <v>1334</v>
      </c>
      <c r="R302" s="121">
        <v>46054</v>
      </c>
      <c r="W302" s="73">
        <f>COUNTIF('IS｜CVレポート'!H:H,流入チャネル別顧客一覧_ユニーク!D302)</f>
        <v>0</v>
      </c>
    </row>
    <row r="303" spans="1:23" ht="15.75" customHeight="1">
      <c r="A303" s="114"/>
      <c r="B303" s="69" t="s">
        <v>2278</v>
      </c>
      <c r="C303" s="113">
        <v>46065.436805555553</v>
      </c>
      <c r="D303" s="69" t="s">
        <v>2290</v>
      </c>
      <c r="E303" s="69" t="s">
        <v>2291</v>
      </c>
      <c r="F303" s="69" t="s">
        <v>2292</v>
      </c>
      <c r="H303" s="70" t="s">
        <v>1334</v>
      </c>
      <c r="R303" s="114"/>
      <c r="W303" s="73">
        <f>COUNTIF('IS｜CVレポート'!H:H,流入チャネル別顧客一覧_ユニーク!D303)</f>
        <v>0</v>
      </c>
    </row>
    <row r="304" spans="1:23" ht="15.75" customHeight="1">
      <c r="A304" s="114"/>
      <c r="B304" s="69" t="s">
        <v>2278</v>
      </c>
      <c r="C304" s="113">
        <v>46065.438194444447</v>
      </c>
      <c r="D304" s="69" t="s">
        <v>2293</v>
      </c>
      <c r="E304" s="69" t="s">
        <v>2294</v>
      </c>
      <c r="F304" s="69" t="s">
        <v>2295</v>
      </c>
      <c r="H304" s="70" t="s">
        <v>1334</v>
      </c>
      <c r="R304" s="114"/>
      <c r="W304" s="73">
        <f>COUNTIF('IS｜CVレポート'!H:H,流入チャネル別顧客一覧_ユニーク!D304)</f>
        <v>0</v>
      </c>
    </row>
    <row r="305" spans="1:23" ht="15.75" customHeight="1">
      <c r="A305" s="114"/>
      <c r="B305" s="69" t="s">
        <v>2278</v>
      </c>
      <c r="C305" s="113">
        <v>46065.458333333336</v>
      </c>
      <c r="D305" s="69" t="s">
        <v>2296</v>
      </c>
      <c r="E305" s="69" t="s">
        <v>2078</v>
      </c>
      <c r="F305" s="69" t="s">
        <v>2297</v>
      </c>
      <c r="H305" s="70" t="s">
        <v>1334</v>
      </c>
      <c r="R305" s="121">
        <v>46054</v>
      </c>
      <c r="W305" s="73">
        <f>COUNTIF('IS｜CVレポート'!H:H,流入チャネル別顧客一覧_ユニーク!D305)</f>
        <v>0</v>
      </c>
    </row>
    <row r="306" spans="1:23" ht="15.75" customHeight="1">
      <c r="A306" s="114"/>
      <c r="B306" s="69" t="s">
        <v>2278</v>
      </c>
      <c r="C306" s="113">
        <v>46065.460416666669</v>
      </c>
      <c r="D306" s="69" t="s">
        <v>2298</v>
      </c>
      <c r="E306" s="69" t="s">
        <v>2299</v>
      </c>
      <c r="F306" s="69" t="s">
        <v>2300</v>
      </c>
      <c r="H306" s="70" t="s">
        <v>1334</v>
      </c>
      <c r="R306" s="121">
        <v>46054</v>
      </c>
      <c r="W306" s="73">
        <f>COUNTIF('IS｜CVレポート'!H:H,流入チャネル別顧客一覧_ユニーク!D306)</f>
        <v>0</v>
      </c>
    </row>
    <row r="307" spans="1:23" ht="15.75" customHeight="1">
      <c r="A307" s="114"/>
      <c r="B307" s="69" t="s">
        <v>2278</v>
      </c>
      <c r="C307" s="113">
        <v>46065.476388888892</v>
      </c>
      <c r="D307" s="69" t="s">
        <v>2301</v>
      </c>
      <c r="E307" s="69" t="s">
        <v>2127</v>
      </c>
      <c r="F307" s="69" t="s">
        <v>2302</v>
      </c>
      <c r="H307" s="70" t="s">
        <v>1334</v>
      </c>
      <c r="R307" s="114"/>
      <c r="W307" s="73">
        <f>COUNTIF('IS｜CVレポート'!H:H,流入チャネル別顧客一覧_ユニーク!D307)</f>
        <v>0</v>
      </c>
    </row>
    <row r="308" spans="1:23" ht="15.75" customHeight="1">
      <c r="A308" s="114"/>
      <c r="B308" s="69" t="s">
        <v>2278</v>
      </c>
      <c r="C308" s="113">
        <v>46065.493055555555</v>
      </c>
      <c r="D308" s="69" t="s">
        <v>1475</v>
      </c>
      <c r="E308" s="69" t="s">
        <v>1476</v>
      </c>
      <c r="F308" s="69" t="s">
        <v>1478</v>
      </c>
      <c r="H308" s="70" t="s">
        <v>1334</v>
      </c>
      <c r="R308" s="114"/>
      <c r="W308" s="73">
        <f>COUNTIF('IS｜CVレポート'!H:H,流入チャネル別顧客一覧_ユニーク!D308)</f>
        <v>0</v>
      </c>
    </row>
    <row r="309" spans="1:23" ht="15.75" customHeight="1">
      <c r="A309" s="114"/>
      <c r="B309" s="69" t="s">
        <v>2278</v>
      </c>
      <c r="C309" s="113">
        <v>46065.609027777777</v>
      </c>
      <c r="D309" s="69" t="s">
        <v>2303</v>
      </c>
      <c r="E309" s="69" t="s">
        <v>2304</v>
      </c>
      <c r="F309" s="69" t="s">
        <v>2305</v>
      </c>
      <c r="H309" s="70" t="s">
        <v>1334</v>
      </c>
      <c r="R309" s="114"/>
      <c r="W309" s="73">
        <f>COUNTIF('IS｜CVレポート'!H:H,流入チャネル別顧客一覧_ユニーク!D309)</f>
        <v>0</v>
      </c>
    </row>
    <row r="310" spans="1:23" ht="15.75" customHeight="1">
      <c r="A310" s="114"/>
      <c r="B310" s="69" t="s">
        <v>2278</v>
      </c>
      <c r="C310" s="113">
        <v>46070.559027777781</v>
      </c>
      <c r="D310" s="69" t="s">
        <v>2306</v>
      </c>
      <c r="E310" s="69" t="s">
        <v>2307</v>
      </c>
      <c r="F310" s="69" t="s">
        <v>2308</v>
      </c>
      <c r="H310" s="70" t="s">
        <v>1334</v>
      </c>
      <c r="R310" s="114"/>
      <c r="W310" s="73">
        <f>COUNTIF('IS｜CVレポート'!H:H,流入チャネル別顧客一覧_ユニーク!D310)</f>
        <v>0</v>
      </c>
    </row>
    <row r="311" spans="1:23" ht="15.75" customHeight="1">
      <c r="A311" s="122"/>
      <c r="B311" s="69" t="s">
        <v>1889</v>
      </c>
      <c r="C311" s="113">
        <v>46071.484224537038</v>
      </c>
      <c r="D311" s="69" t="s">
        <v>2309</v>
      </c>
      <c r="E311" s="69" t="s">
        <v>2310</v>
      </c>
      <c r="F311" s="69" t="s">
        <v>2311</v>
      </c>
      <c r="G311" s="69" t="s">
        <v>2312</v>
      </c>
      <c r="H311" s="69" t="s">
        <v>1908</v>
      </c>
      <c r="W311" s="73">
        <f>COUNTIF('IS｜CVレポート'!H:H,流入チャネル別顧客一覧_ユニーク!D311)</f>
        <v>2</v>
      </c>
    </row>
    <row r="312" spans="1:23" ht="15.75" customHeight="1">
      <c r="B312" s="69" t="s">
        <v>1900</v>
      </c>
      <c r="C312" s="113">
        <v>46071.566180555557</v>
      </c>
      <c r="D312" s="69" t="s">
        <v>2313</v>
      </c>
      <c r="E312" s="69" t="s">
        <v>2314</v>
      </c>
      <c r="F312" s="69" t="s">
        <v>2315</v>
      </c>
      <c r="G312" s="69" t="s">
        <v>2020</v>
      </c>
      <c r="H312" s="69" t="s">
        <v>1899</v>
      </c>
      <c r="W312" s="73">
        <f>COUNTIF('IS｜CVレポート'!H:H,流入チャネル別顧客一覧_ユニーク!D312)</f>
        <v>2</v>
      </c>
    </row>
    <row r="313" spans="1:23" ht="15.75" customHeight="1">
      <c r="B313" s="69" t="s">
        <v>1889</v>
      </c>
      <c r="C313" s="113">
        <v>46090.58965277778</v>
      </c>
      <c r="D313" s="69" t="s">
        <v>2316</v>
      </c>
      <c r="E313" s="69" t="s">
        <v>2317</v>
      </c>
      <c r="F313" s="69" t="s">
        <v>2318</v>
      </c>
      <c r="G313" s="69" t="s">
        <v>2319</v>
      </c>
      <c r="H313" s="69" t="s">
        <v>1908</v>
      </c>
      <c r="I313" s="69"/>
    </row>
    <row r="314" spans="1:23" ht="15.75" customHeight="1">
      <c r="B314" s="69" t="s">
        <v>2320</v>
      </c>
      <c r="C314" s="113">
        <v>46097.334074074075</v>
      </c>
      <c r="D314" s="69" t="s">
        <v>2321</v>
      </c>
      <c r="E314" s="69" t="s">
        <v>297</v>
      </c>
      <c r="F314" s="69" t="s">
        <v>2322</v>
      </c>
      <c r="G314" s="69"/>
      <c r="H314" s="70" t="s">
        <v>1334</v>
      </c>
      <c r="I314" s="69"/>
    </row>
    <row r="315" spans="1:23" ht="15.75" customHeight="1">
      <c r="B315" s="69" t="s">
        <v>2320</v>
      </c>
      <c r="C315" s="113">
        <v>46097.334687499999</v>
      </c>
      <c r="D315" s="69" t="s">
        <v>2176</v>
      </c>
      <c r="E315" s="69" t="s">
        <v>2177</v>
      </c>
      <c r="F315" s="69" t="s">
        <v>2178</v>
      </c>
      <c r="G315" s="69"/>
      <c r="H315" s="70" t="s">
        <v>1334</v>
      </c>
      <c r="I315" s="69"/>
    </row>
    <row r="316" spans="1:23" ht="15.75" customHeight="1">
      <c r="B316" s="69" t="s">
        <v>2320</v>
      </c>
      <c r="C316" s="113">
        <v>46097.34611111111</v>
      </c>
      <c r="D316" s="69" t="s">
        <v>1443</v>
      </c>
      <c r="E316" s="69" t="s">
        <v>1444</v>
      </c>
      <c r="F316" s="69" t="s">
        <v>2323</v>
      </c>
      <c r="G316" s="69"/>
      <c r="H316" s="70" t="s">
        <v>1334</v>
      </c>
      <c r="I316" s="69"/>
    </row>
    <row r="317" spans="1:23" ht="15.75" customHeight="1">
      <c r="B317" s="69" t="s">
        <v>2324</v>
      </c>
      <c r="C317" s="113">
        <v>46097.346932870372</v>
      </c>
      <c r="D317" s="69" t="s">
        <v>2276</v>
      </c>
      <c r="E317" s="69" t="s">
        <v>925</v>
      </c>
      <c r="F317" s="69" t="s">
        <v>2277</v>
      </c>
      <c r="G317" s="69"/>
      <c r="H317" s="70" t="s">
        <v>1334</v>
      </c>
      <c r="I317" s="69"/>
    </row>
    <row r="318" spans="1:23" ht="15.75" customHeight="1">
      <c r="B318" s="69" t="s">
        <v>2320</v>
      </c>
      <c r="C318" s="113">
        <v>46097.360023148147</v>
      </c>
      <c r="D318" s="69" t="s">
        <v>2212</v>
      </c>
      <c r="E318" s="69" t="s">
        <v>869</v>
      </c>
      <c r="F318" s="69" t="s">
        <v>2213</v>
      </c>
      <c r="G318" s="69"/>
      <c r="H318" s="70" t="s">
        <v>1334</v>
      </c>
      <c r="I318" s="69"/>
    </row>
    <row r="319" spans="1:23" ht="15.75" customHeight="1">
      <c r="B319" s="69" t="s">
        <v>2320</v>
      </c>
      <c r="C319" s="113">
        <v>46097.386157407411</v>
      </c>
      <c r="D319" s="69" t="s">
        <v>2325</v>
      </c>
      <c r="E319" s="69" t="s">
        <v>2326</v>
      </c>
      <c r="F319" s="69" t="s">
        <v>2327</v>
      </c>
      <c r="G319" s="69"/>
      <c r="H319" s="70" t="s">
        <v>1334</v>
      </c>
      <c r="I319" s="69"/>
    </row>
    <row r="320" spans="1:23" ht="15.75" customHeight="1">
      <c r="B320" s="69" t="s">
        <v>2320</v>
      </c>
      <c r="C320" s="113">
        <v>46097.403599537036</v>
      </c>
      <c r="D320" s="69" t="s">
        <v>2328</v>
      </c>
      <c r="E320" s="69" t="s">
        <v>2146</v>
      </c>
      <c r="F320" s="69" t="s">
        <v>2329</v>
      </c>
      <c r="G320" s="69"/>
      <c r="H320" s="70" t="s">
        <v>1334</v>
      </c>
      <c r="I320" s="69"/>
    </row>
    <row r="321" spans="2:20" ht="15.75" customHeight="1">
      <c r="B321" s="69" t="s">
        <v>2320</v>
      </c>
      <c r="C321" s="113">
        <v>46097.408912037034</v>
      </c>
      <c r="D321" s="69" t="s">
        <v>2330</v>
      </c>
      <c r="E321" s="69" t="s">
        <v>921</v>
      </c>
      <c r="F321" s="69" t="s">
        <v>2331</v>
      </c>
      <c r="G321" s="69"/>
      <c r="H321" s="70" t="s">
        <v>1334</v>
      </c>
      <c r="I321" s="69"/>
    </row>
    <row r="322" spans="2:20" ht="15.75" customHeight="1">
      <c r="B322" s="69" t="s">
        <v>1900</v>
      </c>
      <c r="C322" s="113">
        <v>46097.477199074077</v>
      </c>
      <c r="D322" s="69" t="s">
        <v>2332</v>
      </c>
      <c r="E322" s="69" t="s">
        <v>2333</v>
      </c>
      <c r="F322" s="69" t="s">
        <v>2334</v>
      </c>
      <c r="G322" s="69" t="s">
        <v>1893</v>
      </c>
      <c r="H322" s="69" t="s">
        <v>2168</v>
      </c>
      <c r="I322" s="69"/>
    </row>
    <row r="323" spans="2:20" ht="15.75" customHeight="1">
      <c r="B323" s="69" t="s">
        <v>2320</v>
      </c>
      <c r="C323" s="113">
        <v>46098.436412037037</v>
      </c>
      <c r="D323" s="69" t="s">
        <v>1977</v>
      </c>
      <c r="E323" s="69" t="s">
        <v>1978</v>
      </c>
      <c r="F323" s="69" t="s">
        <v>1979</v>
      </c>
      <c r="G323" s="69"/>
      <c r="H323" s="70" t="s">
        <v>1334</v>
      </c>
      <c r="I323" s="69"/>
    </row>
    <row r="324" spans="2:20" ht="15.75" customHeight="1">
      <c r="B324" s="69" t="s">
        <v>2324</v>
      </c>
      <c r="C324" s="113">
        <v>46098.929097222222</v>
      </c>
      <c r="D324" s="69" t="s">
        <v>2186</v>
      </c>
      <c r="E324" s="69" t="s">
        <v>2187</v>
      </c>
      <c r="F324" s="69" t="s">
        <v>2188</v>
      </c>
      <c r="G324" s="69"/>
      <c r="H324" s="70" t="s">
        <v>1334</v>
      </c>
      <c r="I324" s="69"/>
    </row>
    <row r="325" spans="2:20" ht="15.75" customHeight="1">
      <c r="B325" s="69" t="s">
        <v>1900</v>
      </c>
      <c r="C325" s="113">
        <v>46100.652407407404</v>
      </c>
      <c r="D325" s="69" t="s">
        <v>2335</v>
      </c>
      <c r="E325" s="69" t="s">
        <v>2336</v>
      </c>
      <c r="F325" s="69" t="s">
        <v>2337</v>
      </c>
      <c r="G325" s="69" t="s">
        <v>1893</v>
      </c>
      <c r="H325" s="69" t="s">
        <v>1899</v>
      </c>
      <c r="I325" s="69"/>
    </row>
    <row r="326" spans="2:20" ht="15.75" customHeight="1">
      <c r="B326" s="69" t="s">
        <v>2272</v>
      </c>
      <c r="C326" s="113">
        <v>46124.967013888891</v>
      </c>
      <c r="D326" s="69" t="s">
        <v>2338</v>
      </c>
      <c r="E326" s="69" t="s">
        <v>2339</v>
      </c>
      <c r="F326" s="69" t="s">
        <v>2340</v>
      </c>
      <c r="H326" s="70" t="s">
        <v>1334</v>
      </c>
      <c r="R326" s="121">
        <v>46113</v>
      </c>
    </row>
    <row r="327" spans="2:20" ht="15.75" customHeight="1">
      <c r="B327" s="69" t="s">
        <v>2341</v>
      </c>
      <c r="C327" s="113">
        <v>46125.34033564815</v>
      </c>
      <c r="D327" s="69" t="s">
        <v>2342</v>
      </c>
      <c r="E327" s="69" t="s">
        <v>2343</v>
      </c>
      <c r="F327" s="69" t="s">
        <v>2344</v>
      </c>
      <c r="H327" s="70" t="s">
        <v>1334</v>
      </c>
    </row>
    <row r="328" spans="2:20" ht="15.75" customHeight="1">
      <c r="B328" s="69" t="s">
        <v>2320</v>
      </c>
      <c r="C328" s="113">
        <v>46126.698703703703</v>
      </c>
      <c r="D328" s="69" t="s">
        <v>2345</v>
      </c>
      <c r="E328" s="69" t="s">
        <v>2346</v>
      </c>
      <c r="F328" s="69" t="s">
        <v>2347</v>
      </c>
      <c r="H328" s="70" t="s">
        <v>1334</v>
      </c>
    </row>
    <row r="329" spans="2:20" ht="15.75" customHeight="1">
      <c r="B329" s="69" t="s">
        <v>2348</v>
      </c>
      <c r="C329" s="113">
        <v>46128.569444444445</v>
      </c>
      <c r="D329" s="125" t="s">
        <v>2349</v>
      </c>
      <c r="E329" s="69" t="s">
        <v>2350</v>
      </c>
      <c r="F329" s="69" t="s">
        <v>2351</v>
      </c>
      <c r="H329" s="128" t="s">
        <v>2352</v>
      </c>
      <c r="R329" s="121">
        <v>46113</v>
      </c>
      <c r="S329" s="121">
        <v>46113</v>
      </c>
      <c r="T329" s="121">
        <v>46113</v>
      </c>
    </row>
    <row r="330" spans="2:20" ht="15.75" customHeight="1">
      <c r="B330" s="69" t="s">
        <v>1900</v>
      </c>
      <c r="C330" s="113">
        <v>46129.426516203705</v>
      </c>
      <c r="D330" s="69" t="s">
        <v>2353</v>
      </c>
      <c r="E330" s="69" t="s">
        <v>2354</v>
      </c>
      <c r="F330" s="69" t="s">
        <v>2355</v>
      </c>
      <c r="G330" s="69" t="s">
        <v>1893</v>
      </c>
      <c r="H330" s="69" t="s">
        <v>1946</v>
      </c>
    </row>
    <row r="331" spans="2:20" ht="15.75" customHeight="1">
      <c r="B331" s="69" t="s">
        <v>2356</v>
      </c>
      <c r="C331" s="113">
        <v>46162.356759259259</v>
      </c>
      <c r="D331" s="69" t="s">
        <v>2357</v>
      </c>
      <c r="E331" s="69" t="s">
        <v>2358</v>
      </c>
      <c r="F331" s="69" t="s">
        <v>2359</v>
      </c>
      <c r="G331" s="69"/>
      <c r="H331" s="70" t="s">
        <v>1334</v>
      </c>
    </row>
    <row r="332" spans="2:20" ht="15.75" customHeight="1">
      <c r="B332" s="69" t="s">
        <v>2356</v>
      </c>
      <c r="C332" s="113">
        <v>46162.472349537034</v>
      </c>
      <c r="D332" s="69" t="s">
        <v>2360</v>
      </c>
      <c r="E332" s="69" t="s">
        <v>2361</v>
      </c>
      <c r="F332" s="69" t="s">
        <v>2362</v>
      </c>
      <c r="G332" s="69"/>
      <c r="H332" s="70" t="s">
        <v>1334</v>
      </c>
    </row>
    <row r="333" spans="2:20" ht="15.75" customHeight="1">
      <c r="B333" s="69" t="s">
        <v>2363</v>
      </c>
      <c r="C333" s="113">
        <v>46162.540300925924</v>
      </c>
      <c r="D333" s="69" t="s">
        <v>2364</v>
      </c>
      <c r="E333" s="69" t="s">
        <v>1200</v>
      </c>
      <c r="F333" s="69" t="s">
        <v>2365</v>
      </c>
      <c r="G333" s="69"/>
      <c r="H333" s="70" t="s">
        <v>1334</v>
      </c>
    </row>
    <row r="334" spans="2:20" ht="15.75" customHeight="1">
      <c r="B334" s="69" t="s">
        <v>2356</v>
      </c>
      <c r="C334" s="113">
        <v>46162.547812500001</v>
      </c>
      <c r="D334" s="69" t="s">
        <v>2366</v>
      </c>
      <c r="E334" s="69" t="s">
        <v>2367</v>
      </c>
      <c r="F334" s="69" t="s">
        <v>2368</v>
      </c>
      <c r="G334" s="69"/>
      <c r="H334" s="70" t="s">
        <v>1334</v>
      </c>
      <c r="R334" s="121">
        <v>46143</v>
      </c>
    </row>
    <row r="335" spans="2:20" ht="15.75" customHeight="1">
      <c r="B335" s="69" t="s">
        <v>2363</v>
      </c>
      <c r="C335" s="113">
        <v>46162.569386574076</v>
      </c>
      <c r="D335" s="69" t="s">
        <v>2369</v>
      </c>
      <c r="E335" s="69" t="s">
        <v>2370</v>
      </c>
      <c r="F335" s="69" t="s">
        <v>2371</v>
      </c>
      <c r="G335" s="69"/>
      <c r="H335" s="70" t="s">
        <v>1334</v>
      </c>
    </row>
    <row r="336" spans="2:20" ht="15.75" customHeight="1">
      <c r="B336" s="69" t="s">
        <v>1889</v>
      </c>
      <c r="C336" s="113">
        <v>46162.590555555558</v>
      </c>
      <c r="D336" s="69" t="s">
        <v>2372</v>
      </c>
      <c r="E336" s="69" t="s">
        <v>2373</v>
      </c>
      <c r="F336" s="69" t="s">
        <v>2374</v>
      </c>
      <c r="G336" s="69" t="s">
        <v>2020</v>
      </c>
      <c r="H336" s="69" t="s">
        <v>1946</v>
      </c>
    </row>
    <row r="337" spans="2:19" ht="15.75" customHeight="1">
      <c r="B337" s="69" t="s">
        <v>2375</v>
      </c>
      <c r="C337" s="113">
        <v>46162.607442129629</v>
      </c>
      <c r="D337" s="69" t="s">
        <v>2376</v>
      </c>
      <c r="E337" s="69" t="s">
        <v>2377</v>
      </c>
      <c r="F337" s="69" t="s">
        <v>2378</v>
      </c>
      <c r="G337" s="69" t="s">
        <v>2379</v>
      </c>
      <c r="H337" s="69" t="s">
        <v>2168</v>
      </c>
      <c r="R337" s="121">
        <v>46143</v>
      </c>
      <c r="S337" s="121">
        <v>46174</v>
      </c>
    </row>
    <row r="338" spans="2:19" ht="15.75" customHeight="1">
      <c r="B338" s="69" t="s">
        <v>1889</v>
      </c>
      <c r="C338" s="113">
        <v>46163.922002314815</v>
      </c>
      <c r="D338" s="69" t="s">
        <v>2380</v>
      </c>
      <c r="E338" s="69" t="s">
        <v>2381</v>
      </c>
      <c r="F338" s="69" t="s">
        <v>2382</v>
      </c>
      <c r="G338" s="69" t="s">
        <v>2020</v>
      </c>
      <c r="H338" s="69" t="s">
        <v>1908</v>
      </c>
    </row>
    <row r="339" spans="2:19" ht="15.75" customHeight="1">
      <c r="B339" s="69" t="s">
        <v>2383</v>
      </c>
      <c r="C339" s="113">
        <v>46171.334120370368</v>
      </c>
      <c r="D339" s="69" t="s">
        <v>2384</v>
      </c>
      <c r="E339" s="69" t="s">
        <v>2385</v>
      </c>
      <c r="F339" s="69" t="s">
        <v>2386</v>
      </c>
      <c r="G339" s="69"/>
      <c r="H339" s="70" t="s">
        <v>1334</v>
      </c>
    </row>
    <row r="340" spans="2:19" ht="15.75" customHeight="1">
      <c r="B340" s="69" t="s">
        <v>2387</v>
      </c>
      <c r="C340" s="113">
        <v>46171.337581018517</v>
      </c>
      <c r="D340" s="69" t="s">
        <v>2388</v>
      </c>
      <c r="E340" s="69" t="s">
        <v>2389</v>
      </c>
      <c r="F340" s="69" t="s">
        <v>2390</v>
      </c>
      <c r="G340" s="69"/>
      <c r="H340" s="70" t="s">
        <v>1334</v>
      </c>
    </row>
    <row r="341" spans="2:19" ht="15.75" customHeight="1">
      <c r="B341" s="69" t="s">
        <v>2387</v>
      </c>
      <c r="C341" s="113">
        <v>46171.340046296296</v>
      </c>
      <c r="D341" s="69" t="s">
        <v>2391</v>
      </c>
      <c r="E341" s="69" t="s">
        <v>2392</v>
      </c>
      <c r="F341" s="69" t="s">
        <v>2393</v>
      </c>
      <c r="G341" s="69"/>
      <c r="H341" s="70" t="s">
        <v>1334</v>
      </c>
    </row>
    <row r="342" spans="2:19" ht="23.25" customHeight="1">
      <c r="B342" s="69" t="s">
        <v>2387</v>
      </c>
      <c r="C342" s="113">
        <v>46171.432615740741</v>
      </c>
      <c r="D342" s="69" t="s">
        <v>2394</v>
      </c>
      <c r="E342" s="69" t="s">
        <v>2395</v>
      </c>
      <c r="F342" s="69" t="s">
        <v>2396</v>
      </c>
      <c r="G342" s="69"/>
      <c r="H342" s="70" t="s">
        <v>1334</v>
      </c>
    </row>
    <row r="343" spans="2:19" ht="15.75" customHeight="1">
      <c r="B343" s="69" t="s">
        <v>2387</v>
      </c>
      <c r="C343" s="113">
        <v>46171.485138888886</v>
      </c>
      <c r="D343" s="69" t="s">
        <v>2397</v>
      </c>
      <c r="E343" s="69" t="s">
        <v>6</v>
      </c>
      <c r="F343" s="69" t="s">
        <v>2398</v>
      </c>
      <c r="G343" s="69"/>
      <c r="H343" s="70" t="s">
        <v>1334</v>
      </c>
    </row>
    <row r="344" spans="2:19" ht="15.75" customHeight="1">
      <c r="B344" s="69" t="s">
        <v>2387</v>
      </c>
      <c r="C344" s="113">
        <v>46171.751018518517</v>
      </c>
      <c r="D344" s="69" t="s">
        <v>2399</v>
      </c>
      <c r="E344" s="69" t="s">
        <v>2400</v>
      </c>
      <c r="F344" s="69" t="s">
        <v>2401</v>
      </c>
      <c r="G344" s="69"/>
      <c r="H344" s="70" t="s">
        <v>1334</v>
      </c>
      <c r="R344" s="121">
        <v>46143</v>
      </c>
      <c r="S344" s="129">
        <v>46174</v>
      </c>
    </row>
    <row r="345" spans="2:19" ht="15.75" customHeight="1">
      <c r="B345" s="69" t="s">
        <v>1889</v>
      </c>
      <c r="C345" s="113">
        <v>46175.544074074074</v>
      </c>
      <c r="D345" s="69" t="s">
        <v>2402</v>
      </c>
      <c r="E345" s="69" t="s">
        <v>2403</v>
      </c>
      <c r="F345" s="69" t="s">
        <v>2404</v>
      </c>
      <c r="G345" s="69" t="s">
        <v>2020</v>
      </c>
      <c r="H345" s="69" t="s">
        <v>1946</v>
      </c>
    </row>
    <row r="346" spans="2:19" ht="15.75" customHeight="1">
      <c r="B346" s="69" t="s">
        <v>2405</v>
      </c>
      <c r="C346" s="113">
        <v>46181.347025462965</v>
      </c>
      <c r="D346" s="69" t="s">
        <v>2406</v>
      </c>
      <c r="E346" s="69" t="s">
        <v>2407</v>
      </c>
      <c r="F346" s="69" t="s">
        <v>2408</v>
      </c>
      <c r="G346" s="69"/>
      <c r="H346" s="70" t="s">
        <v>1334</v>
      </c>
    </row>
    <row r="347" spans="2:19" ht="15.75" customHeight="1">
      <c r="B347" s="69" t="s">
        <v>2409</v>
      </c>
      <c r="C347" s="113">
        <v>46181.429710648146</v>
      </c>
      <c r="D347" s="69" t="s">
        <v>2410</v>
      </c>
      <c r="E347" s="69" t="s">
        <v>1085</v>
      </c>
      <c r="F347" s="69" t="s">
        <v>2411</v>
      </c>
      <c r="G347" s="69"/>
      <c r="H347" s="70" t="s">
        <v>1334</v>
      </c>
    </row>
    <row r="348" spans="2:19" ht="15.75" customHeight="1">
      <c r="B348" s="69" t="s">
        <v>2412</v>
      </c>
      <c r="C348" s="113">
        <v>46183.344178240739</v>
      </c>
      <c r="D348" s="69" t="s">
        <v>2391</v>
      </c>
      <c r="E348" s="69" t="s">
        <v>2392</v>
      </c>
      <c r="F348" s="69" t="s">
        <v>2393</v>
      </c>
      <c r="G348" s="69"/>
      <c r="H348" s="70" t="s">
        <v>1334</v>
      </c>
    </row>
    <row r="349" spans="2:19" ht="15.75" customHeight="1">
      <c r="B349" s="69" t="s">
        <v>2413</v>
      </c>
      <c r="C349" s="113">
        <v>46185.723773148151</v>
      </c>
      <c r="D349" s="69" t="s">
        <v>2414</v>
      </c>
      <c r="E349" s="69" t="s">
        <v>2415</v>
      </c>
      <c r="F349" s="69" t="s">
        <v>2416</v>
      </c>
      <c r="G349" s="69" t="s">
        <v>1893</v>
      </c>
      <c r="H349" s="69" t="s">
        <v>2083</v>
      </c>
    </row>
    <row r="350" spans="2:19" ht="15.75" customHeight="1">
      <c r="B350" s="69" t="s">
        <v>2417</v>
      </c>
      <c r="C350" s="113">
        <v>46189.413206018522</v>
      </c>
      <c r="D350" s="69" t="s">
        <v>1715</v>
      </c>
      <c r="E350" s="69" t="s">
        <v>275</v>
      </c>
      <c r="F350" s="69" t="s">
        <v>1717</v>
      </c>
      <c r="G350" s="69"/>
      <c r="H350" s="70" t="s">
        <v>1334</v>
      </c>
    </row>
    <row r="351" spans="2:19" ht="15.75" customHeight="1">
      <c r="B351" s="69" t="s">
        <v>1889</v>
      </c>
      <c r="C351" s="113">
        <v>46189.648310185185</v>
      </c>
      <c r="D351" s="69" t="s">
        <v>2418</v>
      </c>
      <c r="E351" s="69" t="s">
        <v>2419</v>
      </c>
      <c r="F351" s="69" t="s">
        <v>2420</v>
      </c>
      <c r="G351" s="69" t="s">
        <v>1893</v>
      </c>
      <c r="H351" s="69" t="s">
        <v>1908</v>
      </c>
    </row>
    <row r="352" spans="2:19" ht="15.75" customHeight="1">
      <c r="B352" s="69" t="s">
        <v>2421</v>
      </c>
      <c r="C352" s="113">
        <v>46195.351504629631</v>
      </c>
      <c r="D352" s="69" t="s">
        <v>2067</v>
      </c>
      <c r="E352" s="69" t="s">
        <v>1057</v>
      </c>
      <c r="F352" s="69" t="s">
        <v>2068</v>
      </c>
      <c r="G352" s="69"/>
      <c r="H352" s="70" t="s">
        <v>1334</v>
      </c>
    </row>
    <row r="353" spans="1:8" ht="15.75" customHeight="1">
      <c r="A353" s="117" t="s">
        <v>2422</v>
      </c>
      <c r="B353" s="69" t="s">
        <v>2421</v>
      </c>
      <c r="C353" s="113">
        <v>46195.368321759262</v>
      </c>
      <c r="D353" s="69" t="s">
        <v>2423</v>
      </c>
      <c r="E353" s="69" t="s">
        <v>2424</v>
      </c>
      <c r="F353" s="69" t="s">
        <v>2425</v>
      </c>
      <c r="H353" s="70" t="s">
        <v>1334</v>
      </c>
    </row>
    <row r="354" spans="1:8" ht="15.75" customHeight="1">
      <c r="B354" s="69" t="s">
        <v>2421</v>
      </c>
      <c r="C354" s="113">
        <v>46195.373807870368</v>
      </c>
      <c r="D354" s="69" t="s">
        <v>2426</v>
      </c>
      <c r="E354" s="69" t="s">
        <v>2427</v>
      </c>
      <c r="F354" s="69" t="s">
        <v>2428</v>
      </c>
      <c r="H354" s="70" t="s">
        <v>1334</v>
      </c>
    </row>
    <row r="355" spans="1:8" ht="15.75" customHeight="1">
      <c r="B355" s="69" t="s">
        <v>2421</v>
      </c>
      <c r="C355" s="113">
        <v>46195.375671296293</v>
      </c>
      <c r="D355" s="69" t="s">
        <v>2429</v>
      </c>
      <c r="E355" s="69" t="s">
        <v>2430</v>
      </c>
      <c r="F355" s="69" t="s">
        <v>2431</v>
      </c>
      <c r="H355" s="70" t="s">
        <v>1334</v>
      </c>
    </row>
    <row r="356" spans="1:8" ht="15.75" customHeight="1">
      <c r="B356" s="69" t="s">
        <v>2432</v>
      </c>
      <c r="C356" s="113">
        <v>46195.377303240741</v>
      </c>
      <c r="D356" s="69" t="s">
        <v>2433</v>
      </c>
      <c r="E356" s="69" t="s">
        <v>2274</v>
      </c>
      <c r="F356" s="69" t="s">
        <v>2434</v>
      </c>
      <c r="H356" s="70" t="s">
        <v>1334</v>
      </c>
    </row>
    <row r="357" spans="1:8" ht="15.75" customHeight="1">
      <c r="B357" s="69" t="s">
        <v>2421</v>
      </c>
      <c r="C357" s="113">
        <v>46196.38790509259</v>
      </c>
      <c r="D357" s="69" t="s">
        <v>1977</v>
      </c>
      <c r="E357" s="69" t="s">
        <v>1978</v>
      </c>
      <c r="F357" s="69" t="s">
        <v>1979</v>
      </c>
      <c r="H357" s="70" t="s">
        <v>1334</v>
      </c>
    </row>
    <row r="358" spans="1:8" ht="15.75" customHeight="1">
      <c r="B358" s="69" t="s">
        <v>2421</v>
      </c>
      <c r="C358" s="113">
        <v>46198.360034722224</v>
      </c>
      <c r="D358" s="69" t="s">
        <v>2435</v>
      </c>
      <c r="E358" s="69" t="s">
        <v>2436</v>
      </c>
      <c r="F358" s="69" t="s">
        <v>2437</v>
      </c>
      <c r="H358" s="70" t="s">
        <v>1334</v>
      </c>
    </row>
    <row r="359" spans="1:8" ht="15.75" customHeight="1">
      <c r="B359" s="69" t="s">
        <v>2438</v>
      </c>
      <c r="C359" s="113">
        <v>46202.338020833333</v>
      </c>
      <c r="D359" s="69" t="s">
        <v>2439</v>
      </c>
      <c r="E359" s="69" t="s">
        <v>2086</v>
      </c>
      <c r="F359" s="69" t="s">
        <v>2440</v>
      </c>
      <c r="H359" s="70" t="s">
        <v>1334</v>
      </c>
    </row>
    <row r="360" spans="1:8" ht="15.75" customHeight="1">
      <c r="B360" s="69" t="s">
        <v>2438</v>
      </c>
      <c r="C360" s="113">
        <v>46202.362013888887</v>
      </c>
      <c r="D360" s="69" t="s">
        <v>2441</v>
      </c>
      <c r="E360" s="69" t="s">
        <v>1035</v>
      </c>
      <c r="F360" s="69" t="s">
        <v>2442</v>
      </c>
      <c r="H360" s="70" t="s">
        <v>1334</v>
      </c>
    </row>
  </sheetData>
  <sortState xmlns:xlrd2="http://schemas.microsoft.com/office/spreadsheetml/2017/richdata2" ref="A2:U192">
    <sortCondition ref="C2:C192"/>
  </sortState>
  <phoneticPr fontId="18"/>
  <conditionalFormatting sqref="E361:E1048576 E1:E217">
    <cfRule type="duplicateValues" dxfId="2" priority="1"/>
  </conditionalFormatting>
  <conditionalFormatting sqref="E361:E1048576 E192 E1:E162">
    <cfRule type="duplicateValues" dxfId="1" priority="3"/>
  </conditionalFormatting>
  <conditionalFormatting sqref="E361:E1048576 E192 E1:E186">
    <cfRule type="duplicateValues" dxfId="0" priority="2"/>
  </conditionalFormatting>
  <hyperlinks>
    <hyperlink ref="D156" r:id="rId1" xr:uid="{31070CE0-4BA4-4C87-BAC5-69ADBA56853B}"/>
    <hyperlink ref="D147" r:id="rId2" xr:uid="{ABDF1205-AE4B-4727-AC8E-2569DD34CC09}"/>
    <hyperlink ref="D329" r:id="rId3" xr:uid="{4293EB20-6950-4395-A64E-9B6BF3D1001B}"/>
  </hyperlinks>
  <pageMargins left="0.7" right="0.7" top="0.75" bottom="0.75" header="0.3" footer="0.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E6A7-341F-49DF-A224-9FD88CFFC3C3}">
  <sheetPr>
    <tabColor theme="6" tint="0.79998168889431442"/>
  </sheetPr>
  <dimension ref="A1:T167"/>
  <sheetViews>
    <sheetView zoomScale="60" zoomScaleNormal="60" workbookViewId="0">
      <pane xSplit="2" ySplit="2" topLeftCell="C153" activePane="bottomRight" state="frozen"/>
      <selection pane="bottomRight" activeCell="A150" sqref="A150"/>
      <selection pane="bottomLeft" activeCell="B20" sqref="B20"/>
      <selection pane="topRight" activeCell="B20" sqref="B20"/>
    </sheetView>
  </sheetViews>
  <sheetFormatPr defaultColWidth="8.625" defaultRowHeight="18"/>
  <cols>
    <col min="1" max="1" width="13.875" style="45" customWidth="1"/>
    <col min="2" max="2" width="6.25" style="42" customWidth="1"/>
    <col min="3" max="3" width="35.125" style="10" customWidth="1"/>
    <col min="4" max="4" width="29.375" style="42" customWidth="1"/>
    <col min="5" max="5" width="14.875" style="10" customWidth="1"/>
    <col min="6" max="6" width="11.875" style="10" customWidth="1"/>
    <col min="7" max="7" width="11.375" style="43" customWidth="1"/>
    <col min="8" max="8" width="4.375" style="44" customWidth="1"/>
    <col min="9" max="9" width="11.25" style="42" customWidth="1"/>
    <col min="10" max="10" width="11.375" style="43" customWidth="1"/>
    <col min="11" max="11" width="4.375" style="43" customWidth="1"/>
    <col min="12" max="12" width="11.25" style="42" customWidth="1"/>
    <col min="13" max="14" width="11.375" style="27" customWidth="1"/>
    <col min="15" max="15" width="11.875" style="10" customWidth="1"/>
    <col min="16" max="16384" width="8.625" style="10"/>
  </cols>
  <sheetData>
    <row r="1" spans="1:20">
      <c r="A1" s="86" t="s">
        <v>2443</v>
      </c>
      <c r="B1" s="87" t="s">
        <v>2444</v>
      </c>
      <c r="C1" s="87" t="s">
        <v>2444</v>
      </c>
      <c r="D1" s="87" t="s">
        <v>2444</v>
      </c>
      <c r="E1" s="87" t="s">
        <v>2444</v>
      </c>
      <c r="F1" s="87" t="s">
        <v>2444</v>
      </c>
      <c r="G1" s="87" t="s">
        <v>2444</v>
      </c>
      <c r="H1" s="137" t="s">
        <v>2445</v>
      </c>
      <c r="I1" s="137"/>
      <c r="J1" s="137"/>
      <c r="K1" s="137"/>
      <c r="L1" s="137"/>
      <c r="M1" s="137"/>
      <c r="N1" s="137"/>
      <c r="O1" s="33"/>
      <c r="P1" s="33"/>
      <c r="Q1" s="33"/>
      <c r="R1" s="33"/>
      <c r="S1" s="33"/>
      <c r="T1" s="33"/>
    </row>
    <row r="2" spans="1:20">
      <c r="A2" s="88" t="s">
        <v>2446</v>
      </c>
      <c r="B2" s="33" t="s">
        <v>2447</v>
      </c>
      <c r="C2" s="33" t="s">
        <v>2448</v>
      </c>
      <c r="D2" s="88" t="s">
        <v>2449</v>
      </c>
      <c r="E2" s="88" t="s">
        <v>1324</v>
      </c>
      <c r="F2" s="88" t="s">
        <v>2450</v>
      </c>
      <c r="G2" s="89" t="s">
        <v>2451</v>
      </c>
      <c r="H2" s="88" t="s">
        <v>2452</v>
      </c>
      <c r="I2" s="88" t="s">
        <v>2453</v>
      </c>
      <c r="J2" s="88" t="s">
        <v>2454</v>
      </c>
      <c r="K2" s="88" t="s">
        <v>2455</v>
      </c>
      <c r="L2" s="88" t="s">
        <v>2453</v>
      </c>
      <c r="M2" s="88" t="s">
        <v>2456</v>
      </c>
      <c r="N2" s="88" t="s">
        <v>2457</v>
      </c>
      <c r="O2" s="33" t="s">
        <v>2458</v>
      </c>
      <c r="P2" s="88" t="s">
        <v>2459</v>
      </c>
      <c r="Q2" s="33" t="s">
        <v>2460</v>
      </c>
      <c r="R2" s="33" t="s">
        <v>2461</v>
      </c>
      <c r="S2" s="33" t="s">
        <v>2462</v>
      </c>
      <c r="T2" s="33" t="s">
        <v>2462</v>
      </c>
    </row>
    <row r="3" spans="1:20">
      <c r="A3" s="90">
        <v>45762</v>
      </c>
      <c r="B3" s="91" t="s">
        <v>2463</v>
      </c>
      <c r="C3" s="92" t="s">
        <v>1833</v>
      </c>
      <c r="D3" s="33" t="s">
        <v>2464</v>
      </c>
      <c r="E3" s="33"/>
      <c r="F3" s="33"/>
      <c r="G3" s="93" t="s">
        <v>2465</v>
      </c>
      <c r="H3" s="33" t="s">
        <v>2466</v>
      </c>
      <c r="I3" s="33"/>
      <c r="J3" s="33" t="s">
        <v>2467</v>
      </c>
      <c r="K3" s="94">
        <v>45962</v>
      </c>
      <c r="L3" s="33"/>
      <c r="M3" s="33" t="s">
        <v>2468</v>
      </c>
      <c r="N3" s="90">
        <v>45771</v>
      </c>
      <c r="O3" s="95">
        <v>45778</v>
      </c>
      <c r="P3" s="33" t="s">
        <v>2469</v>
      </c>
      <c r="Q3" s="33"/>
      <c r="R3" s="33"/>
      <c r="S3" s="33" t="s">
        <v>2470</v>
      </c>
      <c r="T3" s="33" t="s">
        <v>2470</v>
      </c>
    </row>
    <row r="4" spans="1:20">
      <c r="A4" s="90">
        <v>45705</v>
      </c>
      <c r="B4" s="96" t="s">
        <v>2463</v>
      </c>
      <c r="C4" s="33" t="s">
        <v>2471</v>
      </c>
      <c r="D4" s="33" t="s">
        <v>1658</v>
      </c>
      <c r="E4" s="33"/>
      <c r="F4" s="33" t="s">
        <v>2472</v>
      </c>
      <c r="G4" s="93" t="s">
        <v>2473</v>
      </c>
      <c r="H4" s="94">
        <v>45839</v>
      </c>
      <c r="I4" s="33"/>
      <c r="J4" s="97" t="s">
        <v>2474</v>
      </c>
      <c r="K4" s="99" t="s">
        <v>2475</v>
      </c>
      <c r="L4" s="98" t="s">
        <v>2444</v>
      </c>
      <c r="M4" s="99" t="s">
        <v>2475</v>
      </c>
      <c r="N4" s="90">
        <v>45771</v>
      </c>
      <c r="O4" s="90">
        <v>45772</v>
      </c>
      <c r="P4" s="33" t="s">
        <v>2469</v>
      </c>
      <c r="Q4" s="33"/>
      <c r="R4" s="33"/>
      <c r="S4" s="33" t="s">
        <v>2470</v>
      </c>
      <c r="T4" s="33" t="s">
        <v>2470</v>
      </c>
    </row>
    <row r="5" spans="1:20">
      <c r="A5" s="90">
        <v>45621</v>
      </c>
      <c r="B5" s="96" t="s">
        <v>2463</v>
      </c>
      <c r="C5" s="33" t="s">
        <v>1529</v>
      </c>
      <c r="D5" s="33" t="s">
        <v>1530</v>
      </c>
      <c r="E5" s="33"/>
      <c r="F5" s="33" t="s">
        <v>2476</v>
      </c>
      <c r="G5" s="93" t="s">
        <v>2477</v>
      </c>
      <c r="H5" s="94">
        <v>45627</v>
      </c>
      <c r="I5" s="33"/>
      <c r="J5" s="100" t="s">
        <v>2478</v>
      </c>
      <c r="K5" s="94">
        <v>45689</v>
      </c>
      <c r="L5" s="33"/>
      <c r="M5" s="33" t="s">
        <v>2479</v>
      </c>
      <c r="N5" s="90">
        <v>45771</v>
      </c>
      <c r="O5" s="90">
        <v>45772</v>
      </c>
      <c r="P5" s="33" t="s">
        <v>2480</v>
      </c>
      <c r="Q5" s="33" t="s">
        <v>2481</v>
      </c>
      <c r="R5" s="33" t="s">
        <v>2482</v>
      </c>
      <c r="S5" s="33" t="s">
        <v>2483</v>
      </c>
      <c r="T5" s="33" t="s">
        <v>2483</v>
      </c>
    </row>
    <row r="6" spans="1:20">
      <c r="A6" s="90">
        <v>45664</v>
      </c>
      <c r="B6" s="33" t="s">
        <v>2484</v>
      </c>
      <c r="C6" s="101" t="s">
        <v>1544</v>
      </c>
      <c r="D6" s="33" t="s">
        <v>1545</v>
      </c>
      <c r="E6" s="33"/>
      <c r="F6" s="33"/>
      <c r="G6" s="93" t="s">
        <v>2485</v>
      </c>
      <c r="H6" s="94">
        <v>44562</v>
      </c>
      <c r="I6" s="33"/>
      <c r="J6" s="33" t="s">
        <v>2486</v>
      </c>
      <c r="K6" s="99" t="s">
        <v>2475</v>
      </c>
      <c r="L6" s="98" t="s">
        <v>2444</v>
      </c>
      <c r="M6" s="99" t="s">
        <v>2475</v>
      </c>
      <c r="N6" s="33"/>
      <c r="O6" s="33"/>
      <c r="P6" s="33"/>
      <c r="Q6" s="33"/>
      <c r="R6" s="33"/>
      <c r="S6" s="33"/>
      <c r="T6" s="33"/>
    </row>
    <row r="7" spans="1:20">
      <c r="A7" s="90">
        <v>45664</v>
      </c>
      <c r="B7" s="33" t="s">
        <v>2487</v>
      </c>
      <c r="C7" s="101" t="s">
        <v>1548</v>
      </c>
      <c r="D7" s="33" t="s">
        <v>2488</v>
      </c>
      <c r="E7" s="33"/>
      <c r="F7" s="33"/>
      <c r="G7" s="93" t="s">
        <v>2489</v>
      </c>
      <c r="H7" s="102">
        <v>43556</v>
      </c>
      <c r="I7" s="33"/>
      <c r="J7" s="33" t="s">
        <v>2490</v>
      </c>
      <c r="K7" s="94">
        <v>45689</v>
      </c>
      <c r="L7" s="33"/>
      <c r="M7" s="33" t="s">
        <v>2479</v>
      </c>
      <c r="N7" s="90">
        <v>45771</v>
      </c>
      <c r="O7" s="33"/>
      <c r="P7" s="33" t="s">
        <v>2491</v>
      </c>
      <c r="Q7" s="33"/>
      <c r="R7" s="33"/>
      <c r="S7" s="33"/>
      <c r="T7" s="33"/>
    </row>
    <row r="8" spans="1:20">
      <c r="A8" s="90">
        <v>45705</v>
      </c>
      <c r="B8" s="96" t="s">
        <v>2463</v>
      </c>
      <c r="C8" s="101" t="s">
        <v>1580</v>
      </c>
      <c r="D8" s="33" t="s">
        <v>2492</v>
      </c>
      <c r="E8" s="33"/>
      <c r="F8" s="33"/>
      <c r="G8" s="93" t="s">
        <v>2493</v>
      </c>
      <c r="H8" s="102">
        <v>45597</v>
      </c>
      <c r="I8" s="33"/>
      <c r="J8" s="33" t="s">
        <v>2494</v>
      </c>
      <c r="K8" s="94">
        <v>45078</v>
      </c>
      <c r="L8" s="33"/>
      <c r="M8" s="33" t="s">
        <v>2495</v>
      </c>
      <c r="N8" s="33"/>
      <c r="O8" s="33"/>
      <c r="P8" s="33"/>
      <c r="Q8" s="33"/>
      <c r="R8" s="33"/>
      <c r="S8" s="33"/>
      <c r="T8" s="33"/>
    </row>
    <row r="9" spans="1:20">
      <c r="A9" s="90">
        <v>45705</v>
      </c>
      <c r="B9" s="96" t="s">
        <v>2463</v>
      </c>
      <c r="C9" s="101" t="s">
        <v>1789</v>
      </c>
      <c r="D9" s="103" t="s">
        <v>2475</v>
      </c>
      <c r="E9" s="33"/>
      <c r="F9" s="33"/>
      <c r="G9" s="93" t="s">
        <v>2496</v>
      </c>
      <c r="H9" s="94">
        <v>45717</v>
      </c>
      <c r="I9" s="33" t="s">
        <v>2497</v>
      </c>
      <c r="J9" s="33" t="s">
        <v>2498</v>
      </c>
      <c r="K9" s="99" t="s">
        <v>2475</v>
      </c>
      <c r="L9" s="98" t="s">
        <v>2444</v>
      </c>
      <c r="M9" s="99" t="s">
        <v>2475</v>
      </c>
      <c r="N9" s="33"/>
      <c r="O9" s="33"/>
      <c r="P9" s="33"/>
      <c r="Q9" s="33"/>
      <c r="R9" s="33"/>
      <c r="S9" s="33"/>
      <c r="T9" s="33"/>
    </row>
    <row r="10" spans="1:20">
      <c r="A10" s="90">
        <v>45636</v>
      </c>
      <c r="B10" s="96" t="s">
        <v>2463</v>
      </c>
      <c r="C10" s="33" t="s">
        <v>2499</v>
      </c>
      <c r="D10" s="33" t="s">
        <v>2500</v>
      </c>
      <c r="E10" s="33"/>
      <c r="F10" s="33" t="s">
        <v>2501</v>
      </c>
      <c r="G10" s="93" t="s">
        <v>2502</v>
      </c>
      <c r="H10" s="102">
        <v>43891</v>
      </c>
      <c r="I10" s="33"/>
      <c r="J10" s="33" t="s">
        <v>2503</v>
      </c>
      <c r="K10" s="99" t="s">
        <v>2475</v>
      </c>
      <c r="L10" s="98" t="s">
        <v>2444</v>
      </c>
      <c r="M10" s="99" t="s">
        <v>2475</v>
      </c>
      <c r="N10" s="90">
        <v>45771</v>
      </c>
      <c r="O10" s="90">
        <v>45772</v>
      </c>
      <c r="P10" s="33" t="s">
        <v>2504</v>
      </c>
      <c r="Q10" s="33" t="s">
        <v>2481</v>
      </c>
      <c r="R10" s="33" t="s">
        <v>2505</v>
      </c>
      <c r="S10" s="33" t="s">
        <v>2504</v>
      </c>
      <c r="T10" s="33" t="s">
        <v>2504</v>
      </c>
    </row>
    <row r="11" spans="1:20">
      <c r="A11" s="90">
        <v>45807</v>
      </c>
      <c r="B11" s="96" t="s">
        <v>2463</v>
      </c>
      <c r="C11" s="33" t="s">
        <v>167</v>
      </c>
      <c r="D11" s="33" t="s">
        <v>2506</v>
      </c>
      <c r="E11" s="33"/>
      <c r="F11" s="33" t="s">
        <v>2507</v>
      </c>
      <c r="G11" s="93" t="s">
        <v>1844</v>
      </c>
      <c r="H11" s="102">
        <v>45748</v>
      </c>
      <c r="I11" s="33"/>
      <c r="J11" s="33" t="s">
        <v>2508</v>
      </c>
      <c r="K11" s="103" t="s">
        <v>2475</v>
      </c>
      <c r="L11" s="33"/>
      <c r="M11" s="103" t="s">
        <v>2475</v>
      </c>
      <c r="N11" s="103" t="s">
        <v>2475</v>
      </c>
      <c r="O11" s="90">
        <v>45811</v>
      </c>
      <c r="P11" s="33" t="s">
        <v>2509</v>
      </c>
      <c r="Q11" s="33" t="s">
        <v>2482</v>
      </c>
      <c r="R11" s="33" t="s">
        <v>2482</v>
      </c>
      <c r="S11" s="33" t="s">
        <v>2510</v>
      </c>
      <c r="T11" s="33" t="s">
        <v>2510</v>
      </c>
    </row>
    <row r="12" spans="1:20">
      <c r="A12" s="90">
        <v>45636</v>
      </c>
      <c r="B12" s="33" t="s">
        <v>2487</v>
      </c>
      <c r="C12" s="101" t="s">
        <v>2511</v>
      </c>
      <c r="D12" s="33" t="s">
        <v>2512</v>
      </c>
      <c r="E12" s="33"/>
      <c r="F12" s="33" t="s">
        <v>2513</v>
      </c>
      <c r="G12" s="93" t="s">
        <v>2514</v>
      </c>
      <c r="H12" s="94">
        <v>45870</v>
      </c>
      <c r="I12" s="33" t="s">
        <v>2497</v>
      </c>
      <c r="J12" s="33" t="s">
        <v>2515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>
      <c r="A13" s="33"/>
      <c r="B13" s="33"/>
      <c r="C13" s="33"/>
      <c r="D13" s="33"/>
      <c r="E13" s="33"/>
      <c r="F13" s="33"/>
      <c r="G13" s="93" t="s">
        <v>2444</v>
      </c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>
      <c r="A14" s="86" t="s">
        <v>2516</v>
      </c>
      <c r="B14" s="87" t="s">
        <v>2444</v>
      </c>
      <c r="C14" s="87" t="s">
        <v>2444</v>
      </c>
      <c r="D14" s="87" t="s">
        <v>2444</v>
      </c>
      <c r="E14" s="87" t="s">
        <v>2444</v>
      </c>
      <c r="F14" s="87" t="s">
        <v>2444</v>
      </c>
      <c r="G14" s="87" t="s">
        <v>2444</v>
      </c>
      <c r="H14" s="137" t="s">
        <v>2445</v>
      </c>
      <c r="I14" s="137"/>
      <c r="J14" s="137"/>
      <c r="K14" s="137"/>
      <c r="L14" s="137"/>
      <c r="M14" s="137"/>
      <c r="N14" s="137"/>
      <c r="O14" s="33"/>
      <c r="P14" s="33"/>
      <c r="Q14" s="33"/>
      <c r="R14" s="33"/>
      <c r="S14" s="33"/>
      <c r="T14" s="33"/>
    </row>
    <row r="15" spans="1:20">
      <c r="A15" s="90">
        <v>45854</v>
      </c>
      <c r="B15" s="96" t="s">
        <v>2463</v>
      </c>
      <c r="C15" s="98" t="s">
        <v>1914</v>
      </c>
      <c r="D15" s="33" t="s">
        <v>2517</v>
      </c>
      <c r="E15" s="33"/>
      <c r="F15" s="33" t="s">
        <v>2518</v>
      </c>
      <c r="G15" s="93" t="s">
        <v>2519</v>
      </c>
      <c r="H15" s="33"/>
      <c r="I15" s="33" t="s">
        <v>2497</v>
      </c>
      <c r="J15" s="33" t="s">
        <v>2520</v>
      </c>
      <c r="K15" s="94">
        <v>45778</v>
      </c>
      <c r="L15" s="33"/>
      <c r="M15" s="33" t="s">
        <v>2520</v>
      </c>
      <c r="N15" s="33"/>
      <c r="O15" s="90">
        <v>46220</v>
      </c>
      <c r="P15" s="33" t="s">
        <v>2521</v>
      </c>
      <c r="Q15" s="33" t="s">
        <v>2505</v>
      </c>
      <c r="R15" s="33" t="s">
        <v>2481</v>
      </c>
      <c r="S15" s="33" t="s">
        <v>2522</v>
      </c>
      <c r="T15" s="33" t="s">
        <v>2522</v>
      </c>
    </row>
    <row r="16" spans="1:20">
      <c r="A16" s="90">
        <v>45863</v>
      </c>
      <c r="B16" s="96" t="s">
        <v>2463</v>
      </c>
      <c r="C16" s="98" t="s">
        <v>2523</v>
      </c>
      <c r="D16" s="33" t="s">
        <v>2524</v>
      </c>
      <c r="E16" s="33"/>
      <c r="F16" s="33" t="s">
        <v>2525</v>
      </c>
      <c r="G16" s="33" t="s">
        <v>2526</v>
      </c>
      <c r="H16" s="94">
        <v>43891</v>
      </c>
      <c r="I16" s="33" t="s">
        <v>2497</v>
      </c>
      <c r="J16" s="33" t="s">
        <v>2520</v>
      </c>
      <c r="K16" s="33"/>
      <c r="L16" s="33"/>
      <c r="M16" s="33" t="s">
        <v>2527</v>
      </c>
      <c r="N16" s="33"/>
      <c r="O16" s="90">
        <v>46231</v>
      </c>
      <c r="P16" s="33" t="s">
        <v>2528</v>
      </c>
      <c r="Q16" s="33" t="s">
        <v>2505</v>
      </c>
      <c r="R16" s="33" t="s">
        <v>2481</v>
      </c>
      <c r="S16" s="33" t="s">
        <v>2522</v>
      </c>
      <c r="T16" s="33" t="s">
        <v>2522</v>
      </c>
    </row>
    <row r="17" spans="1:20">
      <c r="A17" s="90">
        <v>45860</v>
      </c>
      <c r="B17" s="96" t="s">
        <v>2463</v>
      </c>
      <c r="C17" s="33" t="s">
        <v>1930</v>
      </c>
      <c r="D17" s="33" t="s">
        <v>2529</v>
      </c>
      <c r="E17" s="33"/>
      <c r="F17" s="33" t="s">
        <v>2530</v>
      </c>
      <c r="G17" s="33" t="s">
        <v>2531</v>
      </c>
      <c r="H17" s="94">
        <v>45170</v>
      </c>
      <c r="I17" s="33"/>
      <c r="J17" s="33" t="s">
        <v>2532</v>
      </c>
      <c r="K17" s="94">
        <v>43862</v>
      </c>
      <c r="L17" s="33"/>
      <c r="M17" s="33" t="s">
        <v>2533</v>
      </c>
      <c r="N17" s="33"/>
      <c r="O17" s="90">
        <v>46231</v>
      </c>
      <c r="P17" s="33" t="s">
        <v>2534</v>
      </c>
      <c r="Q17" s="33"/>
      <c r="R17" s="33"/>
      <c r="S17" s="33" t="s">
        <v>2535</v>
      </c>
      <c r="T17" s="33" t="s">
        <v>2535</v>
      </c>
    </row>
    <row r="18" spans="1:20">
      <c r="A18" s="90">
        <v>45863</v>
      </c>
      <c r="B18" s="96" t="s">
        <v>2463</v>
      </c>
      <c r="C18" s="119" t="s">
        <v>2536</v>
      </c>
      <c r="D18" s="33" t="s">
        <v>2537</v>
      </c>
      <c r="E18" s="33"/>
      <c r="F18" s="33" t="s">
        <v>2538</v>
      </c>
      <c r="G18" s="33" t="s">
        <v>2539</v>
      </c>
      <c r="H18" s="94">
        <v>43466</v>
      </c>
      <c r="I18" s="33" t="s">
        <v>2497</v>
      </c>
      <c r="J18" s="33" t="s">
        <v>2540</v>
      </c>
      <c r="K18" s="33"/>
      <c r="L18" s="33"/>
      <c r="M18" s="33" t="s">
        <v>2527</v>
      </c>
      <c r="N18" s="33"/>
      <c r="O18" s="90">
        <v>45894</v>
      </c>
      <c r="P18" s="33" t="s">
        <v>2541</v>
      </c>
      <c r="Q18" s="33"/>
      <c r="R18" s="33"/>
      <c r="S18" s="33"/>
      <c r="T18" s="33"/>
    </row>
    <row r="19" spans="1:20">
      <c r="A19" s="90">
        <v>45855</v>
      </c>
      <c r="B19" s="33" t="s">
        <v>2487</v>
      </c>
      <c r="C19" s="119" t="s">
        <v>2542</v>
      </c>
      <c r="D19" s="33" t="s">
        <v>2543</v>
      </c>
      <c r="E19" s="33"/>
      <c r="F19" s="33" t="s">
        <v>2544</v>
      </c>
      <c r="G19" s="33" t="s">
        <v>2545</v>
      </c>
      <c r="H19" s="94">
        <v>45658</v>
      </c>
      <c r="I19" s="33" t="s">
        <v>2497</v>
      </c>
      <c r="J19" s="33" t="s">
        <v>2546</v>
      </c>
      <c r="K19" s="33"/>
      <c r="L19" s="33"/>
      <c r="M19" s="33" t="s">
        <v>2527</v>
      </c>
      <c r="N19" s="33"/>
      <c r="O19" s="33"/>
      <c r="P19" s="33"/>
      <c r="Q19" s="33"/>
      <c r="R19" s="33"/>
      <c r="S19" s="33"/>
      <c r="T19" s="33"/>
    </row>
    <row r="20" spans="1:20">
      <c r="A20" s="90">
        <v>45855</v>
      </c>
      <c r="B20" s="96" t="s">
        <v>2463</v>
      </c>
      <c r="C20" s="33" t="s">
        <v>2547</v>
      </c>
      <c r="D20" s="33" t="s">
        <v>2548</v>
      </c>
      <c r="E20" s="33"/>
      <c r="F20" s="33" t="s">
        <v>2549</v>
      </c>
      <c r="G20" s="33" t="s">
        <v>2550</v>
      </c>
      <c r="H20" s="94">
        <v>45658</v>
      </c>
      <c r="I20" s="33" t="s">
        <v>2497</v>
      </c>
      <c r="J20" s="33" t="s">
        <v>2551</v>
      </c>
      <c r="K20" s="94">
        <v>45809</v>
      </c>
      <c r="L20" s="33"/>
      <c r="M20" s="33" t="s">
        <v>2552</v>
      </c>
      <c r="N20" s="103" t="s">
        <v>2475</v>
      </c>
      <c r="O20" s="90">
        <v>45877</v>
      </c>
      <c r="P20" s="33" t="s">
        <v>2553</v>
      </c>
      <c r="Q20" s="33" t="s">
        <v>2505</v>
      </c>
      <c r="R20" s="33" t="s">
        <v>2482</v>
      </c>
      <c r="S20" s="33" t="s">
        <v>2554</v>
      </c>
      <c r="T20" s="33" t="s">
        <v>2554</v>
      </c>
    </row>
    <row r="21" spans="1:20">
      <c r="A21" s="90">
        <v>45894</v>
      </c>
      <c r="B21" s="33" t="s">
        <v>2487</v>
      </c>
      <c r="C21" s="119" t="s">
        <v>1981</v>
      </c>
      <c r="D21" s="33"/>
      <c r="E21" s="33"/>
      <c r="F21" s="33"/>
      <c r="G21" s="104" t="s">
        <v>1982</v>
      </c>
      <c r="H21" s="94">
        <v>45200</v>
      </c>
      <c r="I21" s="33" t="s">
        <v>2497</v>
      </c>
      <c r="J21" s="33" t="s">
        <v>2551</v>
      </c>
      <c r="K21" s="94">
        <v>45536</v>
      </c>
      <c r="L21" s="33"/>
      <c r="M21" s="33" t="s">
        <v>2555</v>
      </c>
      <c r="N21" s="33"/>
      <c r="O21" s="33"/>
      <c r="P21" s="33"/>
      <c r="Q21" s="33"/>
      <c r="R21" s="33"/>
      <c r="S21" s="33"/>
      <c r="T21" s="33"/>
    </row>
    <row r="22" spans="1:20">
      <c r="A22" s="90">
        <v>45894</v>
      </c>
      <c r="B22" s="33" t="s">
        <v>2556</v>
      </c>
      <c r="C22" s="119" t="s">
        <v>1455</v>
      </c>
      <c r="D22" s="33"/>
      <c r="E22" s="33"/>
      <c r="F22" s="33"/>
      <c r="G22" s="33" t="s">
        <v>1952</v>
      </c>
      <c r="H22" s="119" t="s">
        <v>2444</v>
      </c>
      <c r="I22" s="119" t="s">
        <v>2444</v>
      </c>
      <c r="J22" s="119" t="s">
        <v>2444</v>
      </c>
      <c r="K22" s="119" t="s">
        <v>2444</v>
      </c>
      <c r="L22" s="119" t="s">
        <v>2444</v>
      </c>
      <c r="M22" s="119" t="s">
        <v>2444</v>
      </c>
      <c r="N22" s="33"/>
      <c r="O22" s="33"/>
      <c r="P22" s="33"/>
      <c r="Q22" s="33"/>
      <c r="R22" s="33"/>
      <c r="S22" s="33"/>
      <c r="T22" s="33"/>
    </row>
    <row r="23" spans="1:20">
      <c r="A23" s="90">
        <v>45894</v>
      </c>
      <c r="B23" s="33" t="s">
        <v>2487</v>
      </c>
      <c r="C23" s="119" t="s">
        <v>90</v>
      </c>
      <c r="D23" s="33"/>
      <c r="E23" s="33"/>
      <c r="F23" s="33"/>
      <c r="G23" s="33" t="s">
        <v>1954</v>
      </c>
      <c r="H23" s="94">
        <v>45870</v>
      </c>
      <c r="I23" s="33" t="s">
        <v>2497</v>
      </c>
      <c r="J23" s="97" t="s">
        <v>2557</v>
      </c>
      <c r="K23" s="94">
        <v>45536</v>
      </c>
      <c r="L23" s="33"/>
      <c r="M23" s="97" t="s">
        <v>2558</v>
      </c>
      <c r="N23" s="33"/>
      <c r="O23" s="33"/>
      <c r="P23" s="33"/>
      <c r="Q23" s="33"/>
      <c r="R23" s="33"/>
      <c r="S23" s="33"/>
      <c r="T23" s="33"/>
    </row>
    <row r="24" spans="1:20">
      <c r="A24" s="90">
        <v>45894</v>
      </c>
      <c r="B24" s="33" t="s">
        <v>2487</v>
      </c>
      <c r="C24" s="119" t="s">
        <v>1016</v>
      </c>
      <c r="D24" s="33"/>
      <c r="E24" s="33"/>
      <c r="F24" s="33"/>
      <c r="G24" s="33" t="s">
        <v>1957</v>
      </c>
      <c r="H24" s="94">
        <v>45658</v>
      </c>
      <c r="I24" s="33" t="s">
        <v>2497</v>
      </c>
      <c r="J24" s="97" t="s">
        <v>2557</v>
      </c>
      <c r="K24" s="103" t="s">
        <v>2475</v>
      </c>
      <c r="L24" s="33"/>
      <c r="M24" s="103" t="s">
        <v>2475</v>
      </c>
      <c r="N24" s="33"/>
      <c r="O24" s="33"/>
      <c r="P24" s="33"/>
      <c r="Q24" s="33"/>
      <c r="R24" s="33"/>
      <c r="S24" s="33"/>
      <c r="T24" s="33"/>
    </row>
    <row r="25" spans="1:20">
      <c r="A25" s="90">
        <v>45894</v>
      </c>
      <c r="B25" s="33" t="s">
        <v>2487</v>
      </c>
      <c r="C25" s="119" t="s">
        <v>6</v>
      </c>
      <c r="D25" s="33"/>
      <c r="E25" s="33"/>
      <c r="F25" s="33"/>
      <c r="G25" s="33" t="s">
        <v>1959</v>
      </c>
      <c r="H25" s="94">
        <v>45870</v>
      </c>
      <c r="I25" s="33" t="s">
        <v>2497</v>
      </c>
      <c r="J25" s="33" t="s">
        <v>2559</v>
      </c>
      <c r="K25" s="94">
        <v>45870</v>
      </c>
      <c r="L25" s="33"/>
      <c r="M25" s="33" t="s">
        <v>2520</v>
      </c>
      <c r="N25" s="33"/>
      <c r="O25" s="33"/>
      <c r="P25" s="33"/>
      <c r="Q25" s="33"/>
      <c r="R25" s="33"/>
      <c r="S25" s="33"/>
      <c r="T25" s="33"/>
    </row>
    <row r="26" spans="1:20">
      <c r="A26" s="90">
        <v>45894</v>
      </c>
      <c r="B26" s="33" t="s">
        <v>2556</v>
      </c>
      <c r="C26" s="119" t="s">
        <v>1961</v>
      </c>
      <c r="D26" s="33"/>
      <c r="E26" s="33"/>
      <c r="F26" s="33"/>
      <c r="G26" s="33" t="s">
        <v>1962</v>
      </c>
      <c r="H26" s="119" t="s">
        <v>2444</v>
      </c>
      <c r="I26" s="119" t="s">
        <v>2444</v>
      </c>
      <c r="J26" s="119" t="s">
        <v>2444</v>
      </c>
      <c r="K26" s="119" t="s">
        <v>2444</v>
      </c>
      <c r="L26" s="119" t="s">
        <v>2444</v>
      </c>
      <c r="M26" s="119" t="s">
        <v>2444</v>
      </c>
      <c r="N26" s="33"/>
      <c r="O26" s="33"/>
      <c r="P26" s="33"/>
      <c r="Q26" s="33"/>
      <c r="R26" s="33"/>
      <c r="S26" s="33"/>
      <c r="T26" s="33"/>
    </row>
    <row r="27" spans="1:20">
      <c r="A27" s="90">
        <v>45894</v>
      </c>
      <c r="B27" s="33" t="s">
        <v>2556</v>
      </c>
      <c r="C27" s="119" t="s">
        <v>1964</v>
      </c>
      <c r="D27" s="33"/>
      <c r="E27" s="33"/>
      <c r="F27" s="33"/>
      <c r="G27" s="33" t="s">
        <v>1965</v>
      </c>
      <c r="H27" s="119" t="s">
        <v>2444</v>
      </c>
      <c r="I27" s="119" t="s">
        <v>2444</v>
      </c>
      <c r="J27" s="119" t="s">
        <v>2444</v>
      </c>
      <c r="K27" s="119" t="s">
        <v>2444</v>
      </c>
      <c r="L27" s="119" t="s">
        <v>2444</v>
      </c>
      <c r="M27" s="119" t="s">
        <v>2444</v>
      </c>
      <c r="N27" s="33"/>
      <c r="O27" s="33"/>
      <c r="P27" s="33"/>
      <c r="Q27" s="33"/>
      <c r="R27" s="33"/>
      <c r="S27" s="33"/>
      <c r="T27" s="33"/>
    </row>
    <row r="28" spans="1:20">
      <c r="A28" s="90">
        <v>45894</v>
      </c>
      <c r="B28" s="33" t="s">
        <v>2556</v>
      </c>
      <c r="C28" s="119" t="s">
        <v>1968</v>
      </c>
      <c r="D28" s="33"/>
      <c r="E28" s="33"/>
      <c r="F28" s="33"/>
      <c r="G28" s="33" t="s">
        <v>1969</v>
      </c>
      <c r="H28" s="119" t="s">
        <v>2444</v>
      </c>
      <c r="I28" s="119" t="s">
        <v>2444</v>
      </c>
      <c r="J28" s="119" t="s">
        <v>2444</v>
      </c>
      <c r="K28" s="119" t="s">
        <v>2444</v>
      </c>
      <c r="L28" s="119" t="s">
        <v>2444</v>
      </c>
      <c r="M28" s="119" t="s">
        <v>2444</v>
      </c>
      <c r="N28" s="33"/>
      <c r="O28" s="33"/>
      <c r="P28" s="33"/>
      <c r="Q28" s="33"/>
      <c r="R28" s="33"/>
      <c r="S28" s="33"/>
      <c r="T28" s="33"/>
    </row>
    <row r="29" spans="1:20">
      <c r="A29" s="90">
        <v>45894</v>
      </c>
      <c r="B29" s="33" t="s">
        <v>2556</v>
      </c>
      <c r="C29" s="33" t="s">
        <v>1971</v>
      </c>
      <c r="D29" s="33"/>
      <c r="E29" s="33"/>
      <c r="F29" s="33" t="s">
        <v>2560</v>
      </c>
      <c r="G29" s="33" t="s">
        <v>1972</v>
      </c>
      <c r="H29" s="103" t="s">
        <v>2475</v>
      </c>
      <c r="I29" s="33"/>
      <c r="J29" s="103" t="s">
        <v>2475</v>
      </c>
      <c r="K29" s="94">
        <v>45839</v>
      </c>
      <c r="L29" s="33"/>
      <c r="M29" s="97" t="s">
        <v>2561</v>
      </c>
      <c r="N29" s="33"/>
      <c r="O29" s="90">
        <v>45902</v>
      </c>
      <c r="P29" s="33" t="s">
        <v>2562</v>
      </c>
      <c r="Q29" s="33" t="s">
        <v>2505</v>
      </c>
      <c r="R29" s="33" t="s">
        <v>2481</v>
      </c>
      <c r="S29" s="33" t="s">
        <v>2563</v>
      </c>
      <c r="T29" s="33" t="s">
        <v>2563</v>
      </c>
    </row>
    <row r="30" spans="1:20">
      <c r="A30" s="90">
        <v>45894</v>
      </c>
      <c r="B30" s="33" t="s">
        <v>2487</v>
      </c>
      <c r="C30" s="119" t="s">
        <v>1975</v>
      </c>
      <c r="D30" s="33"/>
      <c r="E30" s="33"/>
      <c r="F30" s="33"/>
      <c r="G30" s="33" t="s">
        <v>1976</v>
      </c>
      <c r="H30" s="103" t="s">
        <v>2475</v>
      </c>
      <c r="I30" s="33"/>
      <c r="J30" s="103" t="s">
        <v>2475</v>
      </c>
      <c r="K30" s="94">
        <v>45383</v>
      </c>
      <c r="L30" s="33"/>
      <c r="M30" s="97" t="s">
        <v>2564</v>
      </c>
      <c r="N30" s="33"/>
      <c r="O30" s="33"/>
      <c r="P30" s="33"/>
      <c r="Q30" s="33"/>
      <c r="R30" s="33"/>
      <c r="S30" s="33"/>
      <c r="T30" s="33"/>
    </row>
    <row r="31" spans="1:20">
      <c r="A31" s="90">
        <v>45894</v>
      </c>
      <c r="B31" s="33" t="s">
        <v>2556</v>
      </c>
      <c r="C31" s="119" t="s">
        <v>1964</v>
      </c>
      <c r="D31" s="33"/>
      <c r="E31" s="33"/>
      <c r="F31" s="33"/>
      <c r="G31" s="33" t="s">
        <v>1965</v>
      </c>
      <c r="H31" s="119" t="s">
        <v>2444</v>
      </c>
      <c r="I31" s="119" t="s">
        <v>2444</v>
      </c>
      <c r="J31" s="119" t="s">
        <v>2444</v>
      </c>
      <c r="K31" s="119" t="s">
        <v>2444</v>
      </c>
      <c r="L31" s="119" t="s">
        <v>2444</v>
      </c>
      <c r="M31" s="119" t="s">
        <v>2444</v>
      </c>
      <c r="N31" s="33"/>
      <c r="O31" s="33"/>
      <c r="P31" s="33"/>
      <c r="Q31" s="33"/>
      <c r="R31" s="33"/>
      <c r="S31" s="33"/>
      <c r="T31" s="33"/>
    </row>
    <row r="32" spans="1:20">
      <c r="A32" s="90">
        <v>45894</v>
      </c>
      <c r="B32" s="96" t="s">
        <v>2463</v>
      </c>
      <c r="C32" s="119" t="s">
        <v>1941</v>
      </c>
      <c r="D32" s="33"/>
      <c r="E32" s="33"/>
      <c r="F32" s="33"/>
      <c r="G32" s="33" t="s">
        <v>1942</v>
      </c>
      <c r="H32" s="94">
        <v>43770</v>
      </c>
      <c r="I32" s="33" t="s">
        <v>2497</v>
      </c>
      <c r="J32" s="33" t="s">
        <v>2540</v>
      </c>
      <c r="K32" s="103" t="s">
        <v>2475</v>
      </c>
      <c r="L32" s="33"/>
      <c r="M32" s="103" t="s">
        <v>2475</v>
      </c>
      <c r="N32" s="33"/>
      <c r="O32" s="33"/>
      <c r="P32" s="33"/>
      <c r="Q32" s="33"/>
      <c r="R32" s="33"/>
      <c r="S32" s="33"/>
      <c r="T32" s="33"/>
    </row>
    <row r="33" spans="1:20">
      <c r="A33" s="90">
        <v>45894</v>
      </c>
      <c r="B33" s="96" t="s">
        <v>2463</v>
      </c>
      <c r="C33" s="119" t="s">
        <v>1941</v>
      </c>
      <c r="D33" s="33"/>
      <c r="E33" s="33"/>
      <c r="F33" s="33"/>
      <c r="G33" s="33" t="s">
        <v>1942</v>
      </c>
      <c r="H33" s="94">
        <v>43770</v>
      </c>
      <c r="I33" s="33" t="s">
        <v>2497</v>
      </c>
      <c r="J33" s="33" t="s">
        <v>2540</v>
      </c>
      <c r="K33" s="103" t="s">
        <v>2475</v>
      </c>
      <c r="L33" s="33"/>
      <c r="M33" s="103" t="s">
        <v>2475</v>
      </c>
      <c r="N33" s="33"/>
      <c r="O33" s="33"/>
      <c r="P33" s="33"/>
      <c r="Q33" s="33"/>
      <c r="R33" s="33"/>
      <c r="S33" s="33"/>
      <c r="T33" s="33"/>
    </row>
    <row r="34" spans="1:20">
      <c r="A34" s="90">
        <v>45894</v>
      </c>
      <c r="B34" s="33" t="s">
        <v>2487</v>
      </c>
      <c r="C34" s="119" t="s">
        <v>149</v>
      </c>
      <c r="D34" s="33"/>
      <c r="E34" s="33"/>
      <c r="F34" s="33"/>
      <c r="G34" s="33" t="s">
        <v>1497</v>
      </c>
      <c r="H34" s="94">
        <v>45261</v>
      </c>
      <c r="I34" s="33" t="s">
        <v>2497</v>
      </c>
      <c r="J34" s="33" t="s">
        <v>2565</v>
      </c>
      <c r="K34" s="94">
        <v>45566</v>
      </c>
      <c r="L34" s="33"/>
      <c r="M34" s="97" t="s">
        <v>2566</v>
      </c>
      <c r="N34" s="33"/>
      <c r="O34" s="33"/>
      <c r="P34" s="33"/>
      <c r="Q34" s="33"/>
      <c r="R34" s="33"/>
      <c r="S34" s="33"/>
      <c r="T34" s="33"/>
    </row>
    <row r="35" spans="1:20">
      <c r="A35" s="90">
        <v>45894</v>
      </c>
      <c r="B35" s="96" t="s">
        <v>2463</v>
      </c>
      <c r="C35" s="33" t="s">
        <v>1978</v>
      </c>
      <c r="D35" s="33"/>
      <c r="E35" s="33"/>
      <c r="F35" s="33"/>
      <c r="G35" s="33" t="s">
        <v>1979</v>
      </c>
      <c r="H35" s="94">
        <v>44348</v>
      </c>
      <c r="I35" s="33"/>
      <c r="J35" s="97" t="s">
        <v>2567</v>
      </c>
      <c r="K35" s="94">
        <v>45658</v>
      </c>
      <c r="L35" s="33"/>
      <c r="M35" s="97" t="s">
        <v>2568</v>
      </c>
      <c r="N35" s="33"/>
      <c r="O35" s="90">
        <v>45902</v>
      </c>
      <c r="P35" s="33" t="s">
        <v>2569</v>
      </c>
      <c r="Q35" s="33" t="s">
        <v>2481</v>
      </c>
      <c r="R35" s="33" t="s">
        <v>2481</v>
      </c>
      <c r="S35" s="33" t="s">
        <v>2570</v>
      </c>
      <c r="T35" s="33" t="s">
        <v>2570</v>
      </c>
    </row>
    <row r="36" spans="1:20">
      <c r="A36" s="90">
        <v>45894</v>
      </c>
      <c r="B36" s="96" t="s">
        <v>2463</v>
      </c>
      <c r="C36" s="119" t="s">
        <v>1941</v>
      </c>
      <c r="D36" s="33"/>
      <c r="E36" s="33"/>
      <c r="F36" s="33"/>
      <c r="G36" s="33" t="s">
        <v>1942</v>
      </c>
      <c r="H36" s="94">
        <v>43770</v>
      </c>
      <c r="I36" s="33" t="s">
        <v>2497</v>
      </c>
      <c r="J36" s="33" t="s">
        <v>2540</v>
      </c>
      <c r="K36" s="103" t="s">
        <v>2475</v>
      </c>
      <c r="L36" s="33"/>
      <c r="M36" s="103" t="s">
        <v>2475</v>
      </c>
      <c r="N36" s="33"/>
      <c r="O36" s="33"/>
      <c r="P36" s="33"/>
      <c r="Q36" s="33"/>
      <c r="R36" s="33"/>
      <c r="S36" s="33"/>
      <c r="T36" s="33"/>
    </row>
    <row r="37" spans="1:20">
      <c r="A37" s="90">
        <v>45894</v>
      </c>
      <c r="B37" s="96" t="s">
        <v>2463</v>
      </c>
      <c r="C37" s="119" t="s">
        <v>1872</v>
      </c>
      <c r="D37" s="33"/>
      <c r="E37" s="33"/>
      <c r="F37" s="33"/>
      <c r="G37" s="33" t="s">
        <v>1874</v>
      </c>
      <c r="H37" s="94">
        <v>45292</v>
      </c>
      <c r="I37" s="33" t="s">
        <v>2497</v>
      </c>
      <c r="J37" s="97" t="s">
        <v>2540</v>
      </c>
      <c r="K37" s="94">
        <v>45839</v>
      </c>
      <c r="L37" s="33"/>
      <c r="M37" s="97" t="s">
        <v>2571</v>
      </c>
      <c r="N37" s="33"/>
      <c r="O37" s="33"/>
      <c r="P37" s="33"/>
      <c r="Q37" s="33"/>
      <c r="R37" s="33"/>
      <c r="S37" s="33"/>
      <c r="T37" s="33"/>
    </row>
    <row r="38" spans="1:20">
      <c r="A38" s="90">
        <v>45894</v>
      </c>
      <c r="B38" s="96" t="s">
        <v>2463</v>
      </c>
      <c r="C38" s="132" t="s">
        <v>1978</v>
      </c>
      <c r="D38" s="33"/>
      <c r="E38" s="33"/>
      <c r="F38" s="33"/>
      <c r="G38" s="33" t="s">
        <v>1979</v>
      </c>
      <c r="H38" s="94">
        <v>44348</v>
      </c>
      <c r="I38" s="33"/>
      <c r="J38" s="97" t="s">
        <v>2567</v>
      </c>
      <c r="K38" s="94">
        <v>45658</v>
      </c>
      <c r="L38" s="33"/>
      <c r="M38" s="97" t="s">
        <v>2568</v>
      </c>
      <c r="N38" s="33"/>
      <c r="O38" s="33"/>
      <c r="P38" s="33"/>
      <c r="Q38" s="33"/>
      <c r="R38" s="33"/>
      <c r="S38" s="33"/>
      <c r="T38" s="33"/>
    </row>
    <row r="39" spans="1:20">
      <c r="A39" s="90">
        <v>45894</v>
      </c>
      <c r="B39" s="33" t="s">
        <v>2487</v>
      </c>
      <c r="C39" s="132" t="s">
        <v>1667</v>
      </c>
      <c r="D39" s="33"/>
      <c r="E39" s="33"/>
      <c r="F39" s="33"/>
      <c r="G39" s="33" t="s">
        <v>1717</v>
      </c>
      <c r="H39" s="94">
        <v>45901</v>
      </c>
      <c r="I39" s="33" t="s">
        <v>2497</v>
      </c>
      <c r="J39" s="97" t="s">
        <v>2474</v>
      </c>
      <c r="K39" s="94">
        <v>45901</v>
      </c>
      <c r="L39" s="33"/>
      <c r="M39" s="97" t="s">
        <v>2474</v>
      </c>
      <c r="N39" s="33"/>
      <c r="O39" s="33"/>
      <c r="P39" s="33"/>
      <c r="Q39" s="33"/>
      <c r="R39" s="33"/>
      <c r="S39" s="33"/>
      <c r="T39" s="33"/>
    </row>
    <row r="40" spans="1:20">
      <c r="A40" s="90">
        <v>45894</v>
      </c>
      <c r="B40" s="33" t="s">
        <v>2487</v>
      </c>
      <c r="C40" s="132" t="s">
        <v>1981</v>
      </c>
      <c r="D40" s="33"/>
      <c r="E40" s="33"/>
      <c r="F40" s="33"/>
      <c r="G40" s="33" t="s">
        <v>1982</v>
      </c>
      <c r="H40" s="94">
        <v>45200</v>
      </c>
      <c r="I40" s="33" t="s">
        <v>2497</v>
      </c>
      <c r="J40" s="33" t="s">
        <v>2551</v>
      </c>
      <c r="K40" s="94">
        <v>45536</v>
      </c>
      <c r="L40" s="33"/>
      <c r="M40" s="33" t="s">
        <v>2555</v>
      </c>
      <c r="N40" s="33"/>
      <c r="O40" s="33"/>
      <c r="P40" s="33"/>
      <c r="Q40" s="33"/>
      <c r="R40" s="33"/>
      <c r="S40" s="33"/>
      <c r="T40" s="33"/>
    </row>
    <row r="41" spans="1:20">
      <c r="A41" s="90">
        <v>45894</v>
      </c>
      <c r="B41" s="33" t="s">
        <v>2487</v>
      </c>
      <c r="C41" s="132" t="s">
        <v>1981</v>
      </c>
      <c r="D41" s="33"/>
      <c r="E41" s="33"/>
      <c r="F41" s="33"/>
      <c r="G41" s="33" t="s">
        <v>1982</v>
      </c>
      <c r="H41" s="94">
        <v>45200</v>
      </c>
      <c r="I41" s="33" t="s">
        <v>2497</v>
      </c>
      <c r="J41" s="33" t="s">
        <v>2551</v>
      </c>
      <c r="K41" s="94">
        <v>45536</v>
      </c>
      <c r="L41" s="33"/>
      <c r="M41" s="33" t="s">
        <v>2555</v>
      </c>
      <c r="N41" s="33"/>
      <c r="O41" s="33"/>
      <c r="P41" s="33"/>
      <c r="Q41" s="33"/>
      <c r="R41" s="33"/>
      <c r="S41" s="33"/>
      <c r="T41" s="33"/>
    </row>
    <row r="42" spans="1:20">
      <c r="A42" s="90">
        <v>45894</v>
      </c>
      <c r="B42" s="33" t="s">
        <v>2556</v>
      </c>
      <c r="C42" s="132" t="s">
        <v>1984</v>
      </c>
      <c r="D42" s="33"/>
      <c r="E42" s="33"/>
      <c r="F42" s="33"/>
      <c r="G42" s="33" t="s">
        <v>1985</v>
      </c>
      <c r="H42" s="119" t="s">
        <v>2444</v>
      </c>
      <c r="I42" s="119" t="s">
        <v>2444</v>
      </c>
      <c r="J42" s="119" t="s">
        <v>2444</v>
      </c>
      <c r="K42" s="119" t="s">
        <v>2444</v>
      </c>
      <c r="L42" s="119" t="s">
        <v>2444</v>
      </c>
      <c r="M42" s="119" t="s">
        <v>2444</v>
      </c>
      <c r="N42" s="33"/>
      <c r="O42" s="33"/>
      <c r="P42" s="33"/>
      <c r="Q42" s="33"/>
      <c r="R42" s="33"/>
      <c r="S42" s="33"/>
      <c r="T42" s="33"/>
    </row>
    <row r="43" spans="1:20">
      <c r="A43" s="90">
        <v>45894</v>
      </c>
      <c r="B43" s="33" t="s">
        <v>2487</v>
      </c>
      <c r="C43" s="132" t="s">
        <v>1140</v>
      </c>
      <c r="D43" s="33"/>
      <c r="E43" s="33"/>
      <c r="F43" s="33"/>
      <c r="G43" s="33" t="s">
        <v>1987</v>
      </c>
      <c r="H43" s="94">
        <v>45839</v>
      </c>
      <c r="I43" s="33" t="s">
        <v>2497</v>
      </c>
      <c r="J43" s="97" t="s">
        <v>2572</v>
      </c>
      <c r="K43" s="103" t="s">
        <v>2475</v>
      </c>
      <c r="L43" s="33"/>
      <c r="M43" s="103" t="s">
        <v>2475</v>
      </c>
      <c r="N43" s="33"/>
      <c r="O43" s="33"/>
      <c r="P43" s="33"/>
      <c r="Q43" s="33"/>
      <c r="R43" s="33"/>
      <c r="S43" s="33"/>
      <c r="T43" s="33"/>
    </row>
    <row r="44" spans="1:20">
      <c r="A44" s="90">
        <v>45894</v>
      </c>
      <c r="B44" s="33" t="s">
        <v>2487</v>
      </c>
      <c r="C44" s="132" t="s">
        <v>1140</v>
      </c>
      <c r="D44" s="33"/>
      <c r="E44" s="33"/>
      <c r="F44" s="33"/>
      <c r="G44" s="33" t="s">
        <v>1987</v>
      </c>
      <c r="H44" s="94">
        <v>45839</v>
      </c>
      <c r="I44" s="33" t="s">
        <v>2497</v>
      </c>
      <c r="J44" s="97" t="s">
        <v>2572</v>
      </c>
      <c r="K44" s="103" t="s">
        <v>2475</v>
      </c>
      <c r="L44" s="33"/>
      <c r="M44" s="103" t="s">
        <v>2475</v>
      </c>
      <c r="N44" s="33"/>
      <c r="O44" s="33"/>
      <c r="P44" s="33"/>
      <c r="Q44" s="33"/>
      <c r="R44" s="33"/>
      <c r="S44" s="33"/>
      <c r="T44" s="33"/>
    </row>
    <row r="45" spans="1:20">
      <c r="A45" s="90">
        <v>45894</v>
      </c>
      <c r="B45" s="33" t="s">
        <v>2487</v>
      </c>
      <c r="C45" s="132" t="s">
        <v>252</v>
      </c>
      <c r="D45" s="33"/>
      <c r="E45" s="33"/>
      <c r="F45" s="33"/>
      <c r="G45" s="33" t="s">
        <v>1989</v>
      </c>
      <c r="H45" s="94">
        <v>45292</v>
      </c>
      <c r="I45" s="33" t="s">
        <v>2497</v>
      </c>
      <c r="J45" s="33" t="s">
        <v>2573</v>
      </c>
      <c r="K45" s="94">
        <v>45717</v>
      </c>
      <c r="L45" s="33"/>
      <c r="M45" s="33" t="s">
        <v>2552</v>
      </c>
      <c r="N45" s="33"/>
      <c r="O45" s="33"/>
      <c r="P45" s="33"/>
      <c r="Q45" s="33"/>
      <c r="R45" s="33"/>
      <c r="S45" s="33"/>
      <c r="T45" s="33"/>
    </row>
    <row r="46" spans="1:20">
      <c r="A46" s="90">
        <v>45894</v>
      </c>
      <c r="B46" s="96" t="s">
        <v>2463</v>
      </c>
      <c r="C46" s="33" t="s">
        <v>410</v>
      </c>
      <c r="D46" s="33"/>
      <c r="E46" s="33"/>
      <c r="F46" s="33"/>
      <c r="G46" s="33" t="s">
        <v>1991</v>
      </c>
      <c r="H46" s="94">
        <v>45870</v>
      </c>
      <c r="I46" s="33"/>
      <c r="J46" s="97" t="s">
        <v>2567</v>
      </c>
      <c r="K46" s="103" t="s">
        <v>2475</v>
      </c>
      <c r="L46" s="33"/>
      <c r="M46" s="103" t="s">
        <v>2475</v>
      </c>
      <c r="N46" s="90">
        <v>46275</v>
      </c>
      <c r="O46" s="33"/>
      <c r="P46" s="33" t="s">
        <v>2574</v>
      </c>
      <c r="Q46" s="33"/>
      <c r="R46" s="33"/>
      <c r="S46" s="33" t="s">
        <v>2575</v>
      </c>
      <c r="T46" s="33" t="s">
        <v>2575</v>
      </c>
    </row>
    <row r="47" spans="1:20">
      <c r="A47" s="90">
        <v>45894</v>
      </c>
      <c r="B47" s="33" t="s">
        <v>2556</v>
      </c>
      <c r="C47" s="119" t="s">
        <v>1948</v>
      </c>
      <c r="D47" s="33"/>
      <c r="E47" s="33"/>
      <c r="F47" s="33"/>
      <c r="G47" s="33" t="s">
        <v>1949</v>
      </c>
      <c r="H47" s="119" t="s">
        <v>2444</v>
      </c>
      <c r="I47" s="119" t="s">
        <v>2444</v>
      </c>
      <c r="J47" s="119" t="s">
        <v>2444</v>
      </c>
      <c r="K47" s="119" t="s">
        <v>2444</v>
      </c>
      <c r="L47" s="119" t="s">
        <v>2444</v>
      </c>
      <c r="M47" s="119" t="s">
        <v>2444</v>
      </c>
      <c r="N47" s="33"/>
      <c r="O47" s="33"/>
      <c r="P47" s="33"/>
      <c r="Q47" s="33"/>
      <c r="R47" s="33"/>
      <c r="S47" s="33"/>
      <c r="T47" s="33"/>
    </row>
    <row r="48" spans="1:20">
      <c r="A48" s="90">
        <v>45895</v>
      </c>
      <c r="B48" s="96" t="s">
        <v>2463</v>
      </c>
      <c r="C48" s="119" t="s">
        <v>1868</v>
      </c>
      <c r="D48" s="33"/>
      <c r="E48" s="33"/>
      <c r="F48" s="33"/>
      <c r="G48" s="33" t="s">
        <v>2576</v>
      </c>
      <c r="H48" s="94">
        <v>45839</v>
      </c>
      <c r="I48" s="33" t="s">
        <v>2497</v>
      </c>
      <c r="J48" s="97" t="s">
        <v>2577</v>
      </c>
      <c r="K48" s="103" t="s">
        <v>2475</v>
      </c>
      <c r="L48" s="33"/>
      <c r="M48" s="103" t="s">
        <v>2475</v>
      </c>
      <c r="N48" s="33"/>
      <c r="O48" s="33"/>
      <c r="P48" s="33"/>
      <c r="Q48" s="33"/>
      <c r="R48" s="33"/>
      <c r="S48" s="33"/>
      <c r="T48" s="33"/>
    </row>
    <row r="49" spans="1:20">
      <c r="A49" s="90">
        <v>45895</v>
      </c>
      <c r="B49" s="33" t="s">
        <v>2487</v>
      </c>
      <c r="C49" s="119" t="s">
        <v>2578</v>
      </c>
      <c r="D49" s="33"/>
      <c r="E49" s="33"/>
      <c r="F49" s="33"/>
      <c r="G49" s="33" t="s">
        <v>2579</v>
      </c>
      <c r="H49" s="94">
        <v>45078</v>
      </c>
      <c r="I49" s="103" t="s">
        <v>2475</v>
      </c>
      <c r="J49" s="103" t="s">
        <v>2475</v>
      </c>
      <c r="K49" s="103" t="s">
        <v>2475</v>
      </c>
      <c r="L49" s="33"/>
      <c r="M49" s="97" t="s">
        <v>2580</v>
      </c>
      <c r="N49" s="33"/>
      <c r="O49" s="33"/>
      <c r="P49" s="33"/>
      <c r="Q49" s="33"/>
      <c r="R49" s="33"/>
      <c r="S49" s="33"/>
      <c r="T49" s="33"/>
    </row>
    <row r="50" spans="1:20">
      <c r="A50" s="90">
        <v>45917</v>
      </c>
      <c r="B50" s="96" t="s">
        <v>2463</v>
      </c>
      <c r="C50" s="33" t="s">
        <v>2581</v>
      </c>
      <c r="D50" s="33" t="s">
        <v>1357</v>
      </c>
      <c r="E50" s="33"/>
      <c r="F50" s="33"/>
      <c r="G50" s="105" t="s">
        <v>2582</v>
      </c>
      <c r="H50" s="94">
        <v>45901</v>
      </c>
      <c r="I50" s="33" t="s">
        <v>2497</v>
      </c>
      <c r="J50" s="33" t="s">
        <v>2583</v>
      </c>
      <c r="K50" s="94">
        <v>45839</v>
      </c>
      <c r="L50" s="33"/>
      <c r="M50" s="106" t="s">
        <v>2584</v>
      </c>
      <c r="N50" s="33" t="s">
        <v>2585</v>
      </c>
      <c r="O50" s="90">
        <v>45917</v>
      </c>
      <c r="P50" s="33" t="s">
        <v>2586</v>
      </c>
      <c r="Q50" s="33" t="s">
        <v>2481</v>
      </c>
      <c r="R50" s="33" t="s">
        <v>2481</v>
      </c>
      <c r="S50" s="33" t="s">
        <v>2587</v>
      </c>
      <c r="T50" s="33" t="s">
        <v>2587</v>
      </c>
    </row>
    <row r="51" spans="1:20">
      <c r="A51" s="90">
        <v>45940</v>
      </c>
      <c r="B51" s="96" t="s">
        <v>2463</v>
      </c>
      <c r="C51" s="119" t="s">
        <v>1941</v>
      </c>
      <c r="D51" s="33"/>
      <c r="E51" s="33"/>
      <c r="F51" s="33"/>
      <c r="G51" s="33" t="s">
        <v>1942</v>
      </c>
      <c r="H51" s="94">
        <v>43770</v>
      </c>
      <c r="I51" s="33" t="s">
        <v>2497</v>
      </c>
      <c r="J51" s="33" t="s">
        <v>2540</v>
      </c>
      <c r="K51" s="103" t="s">
        <v>2475</v>
      </c>
      <c r="L51" s="33"/>
      <c r="M51" s="103" t="s">
        <v>2475</v>
      </c>
      <c r="N51" s="33"/>
      <c r="O51" s="33"/>
      <c r="P51" s="33"/>
      <c r="Q51" s="33"/>
      <c r="R51" s="33"/>
      <c r="S51" s="33"/>
      <c r="T51" s="33"/>
    </row>
    <row r="52" spans="1:20">
      <c r="A52" s="90">
        <v>45940</v>
      </c>
      <c r="B52" s="33" t="s">
        <v>2487</v>
      </c>
      <c r="C52" s="119" t="s">
        <v>2588</v>
      </c>
      <c r="D52" s="33"/>
      <c r="E52" s="33"/>
      <c r="F52" s="33"/>
      <c r="G52" s="33" t="s">
        <v>2589</v>
      </c>
      <c r="H52" s="33"/>
      <c r="I52" s="33" t="s">
        <v>2497</v>
      </c>
      <c r="J52" s="33" t="s">
        <v>2590</v>
      </c>
      <c r="K52" s="33"/>
      <c r="L52" s="33"/>
      <c r="M52" s="33"/>
      <c r="N52" s="33"/>
      <c r="O52" s="33"/>
      <c r="P52" s="33"/>
      <c r="Q52" s="33"/>
      <c r="R52" s="33"/>
      <c r="S52" s="33"/>
      <c r="T52" s="33"/>
    </row>
    <row r="53" spans="1:20">
      <c r="A53" s="90">
        <v>45940</v>
      </c>
      <c r="B53" s="33" t="s">
        <v>2556</v>
      </c>
      <c r="C53" s="119" t="s">
        <v>2027</v>
      </c>
      <c r="D53" s="33"/>
      <c r="E53" s="33"/>
      <c r="F53" s="33"/>
      <c r="G53" s="33" t="s">
        <v>2591</v>
      </c>
      <c r="H53" s="119" t="s">
        <v>2444</v>
      </c>
      <c r="I53" s="119" t="s">
        <v>2444</v>
      </c>
      <c r="J53" s="119" t="s">
        <v>2444</v>
      </c>
      <c r="K53" s="119" t="s">
        <v>2444</v>
      </c>
      <c r="L53" s="119" t="s">
        <v>2444</v>
      </c>
      <c r="M53" s="119" t="s">
        <v>2444</v>
      </c>
      <c r="N53" s="33"/>
      <c r="O53" s="33"/>
      <c r="P53" s="33"/>
      <c r="Q53" s="33"/>
      <c r="R53" s="33"/>
      <c r="S53" s="33"/>
      <c r="T53" s="33"/>
    </row>
    <row r="54" spans="1:20">
      <c r="A54" s="90">
        <v>45940</v>
      </c>
      <c r="B54" s="96" t="s">
        <v>2463</v>
      </c>
      <c r="C54" s="33" t="s">
        <v>2030</v>
      </c>
      <c r="D54" s="33" t="s">
        <v>2592</v>
      </c>
      <c r="E54" s="33"/>
      <c r="F54" s="33" t="s">
        <v>2593</v>
      </c>
      <c r="G54" s="33" t="s">
        <v>2594</v>
      </c>
      <c r="H54" s="94">
        <v>45505</v>
      </c>
      <c r="I54" s="33"/>
      <c r="J54" s="33" t="s">
        <v>2595</v>
      </c>
      <c r="K54" s="94">
        <v>45108</v>
      </c>
      <c r="L54" s="33"/>
      <c r="M54" s="33" t="s">
        <v>2596</v>
      </c>
      <c r="N54" s="33"/>
      <c r="O54" s="90">
        <v>46310</v>
      </c>
      <c r="P54" s="33" t="s">
        <v>2597</v>
      </c>
      <c r="Q54" s="33" t="s">
        <v>2482</v>
      </c>
      <c r="R54" s="33" t="s">
        <v>2482</v>
      </c>
      <c r="S54" s="33" t="s">
        <v>2598</v>
      </c>
      <c r="T54" s="33" t="s">
        <v>2598</v>
      </c>
    </row>
    <row r="55" spans="1:20">
      <c r="A55" s="90">
        <v>45940</v>
      </c>
      <c r="B55" s="33" t="s">
        <v>2487</v>
      </c>
      <c r="C55" s="119" t="s">
        <v>2032</v>
      </c>
      <c r="D55" s="33"/>
      <c r="E55" s="33"/>
      <c r="F55" s="33"/>
      <c r="G55" s="33" t="s">
        <v>2599</v>
      </c>
      <c r="H55" s="33"/>
      <c r="I55" s="33" t="s">
        <v>2497</v>
      </c>
      <c r="J55" s="33" t="s">
        <v>2600</v>
      </c>
      <c r="K55" s="33"/>
      <c r="L55" s="33"/>
      <c r="M55" s="33"/>
      <c r="N55" s="33"/>
      <c r="O55" s="33"/>
      <c r="P55" s="33"/>
      <c r="Q55" s="33"/>
      <c r="R55" s="33"/>
      <c r="S55" s="33"/>
      <c r="T55" s="33"/>
    </row>
    <row r="56" spans="1:20">
      <c r="A56" s="90">
        <v>45940</v>
      </c>
      <c r="B56" s="33" t="s">
        <v>2487</v>
      </c>
      <c r="C56" s="119" t="s">
        <v>2034</v>
      </c>
      <c r="D56" s="33"/>
      <c r="E56" s="33"/>
      <c r="F56" s="33"/>
      <c r="G56" s="33" t="s">
        <v>2601</v>
      </c>
      <c r="H56" s="94">
        <v>45901</v>
      </c>
      <c r="I56" s="33" t="s">
        <v>2497</v>
      </c>
      <c r="J56" s="33" t="s">
        <v>2602</v>
      </c>
      <c r="K56" s="33"/>
      <c r="L56" s="33"/>
      <c r="M56" s="33"/>
      <c r="N56" s="33"/>
      <c r="O56" s="33"/>
      <c r="P56" s="33"/>
      <c r="Q56" s="33"/>
      <c r="R56" s="33"/>
      <c r="S56" s="33"/>
      <c r="T56" s="33"/>
    </row>
    <row r="57" spans="1:20">
      <c r="A57" s="90">
        <v>45940</v>
      </c>
      <c r="B57" s="33" t="s">
        <v>2556</v>
      </c>
      <c r="C57" s="119" t="s">
        <v>2603</v>
      </c>
      <c r="D57" s="33"/>
      <c r="E57" s="33"/>
      <c r="F57" s="33"/>
      <c r="G57" s="33" t="s">
        <v>2604</v>
      </c>
      <c r="H57" s="119" t="s">
        <v>2444</v>
      </c>
      <c r="I57" s="119" t="s">
        <v>2444</v>
      </c>
      <c r="J57" s="119" t="s">
        <v>2444</v>
      </c>
      <c r="K57" s="119" t="s">
        <v>2444</v>
      </c>
      <c r="L57" s="119" t="s">
        <v>2444</v>
      </c>
      <c r="M57" s="119" t="s">
        <v>2444</v>
      </c>
      <c r="N57" s="33"/>
      <c r="O57" s="33"/>
      <c r="P57" s="33"/>
      <c r="Q57" s="33"/>
      <c r="R57" s="33"/>
      <c r="S57" s="33"/>
      <c r="T57" s="33"/>
    </row>
    <row r="58" spans="1:20">
      <c r="A58" s="90">
        <v>45940</v>
      </c>
      <c r="B58" s="33" t="s">
        <v>2487</v>
      </c>
      <c r="C58" s="119" t="s">
        <v>2040</v>
      </c>
      <c r="D58" s="33"/>
      <c r="E58" s="33"/>
      <c r="F58" s="33"/>
      <c r="G58" s="33" t="s">
        <v>2605</v>
      </c>
      <c r="H58" s="33"/>
      <c r="I58" s="33" t="s">
        <v>2497</v>
      </c>
      <c r="J58" s="33" t="s">
        <v>2590</v>
      </c>
      <c r="K58" s="33"/>
      <c r="L58" s="33"/>
      <c r="M58" s="33"/>
      <c r="N58" s="33"/>
      <c r="O58" s="33"/>
      <c r="P58" s="33"/>
      <c r="Q58" s="33"/>
      <c r="R58" s="33"/>
      <c r="S58" s="33"/>
      <c r="T58" s="33"/>
    </row>
    <row r="59" spans="1:20">
      <c r="A59" s="90">
        <v>45940</v>
      </c>
      <c r="B59" s="33" t="s">
        <v>2556</v>
      </c>
      <c r="C59" s="119" t="s">
        <v>2043</v>
      </c>
      <c r="D59" s="33"/>
      <c r="E59" s="33"/>
      <c r="F59" s="33"/>
      <c r="G59" s="33" t="s">
        <v>2606</v>
      </c>
      <c r="H59" s="119" t="s">
        <v>2444</v>
      </c>
      <c r="I59" s="119" t="s">
        <v>2444</v>
      </c>
      <c r="J59" s="119" t="s">
        <v>2444</v>
      </c>
      <c r="K59" s="119" t="s">
        <v>2444</v>
      </c>
      <c r="L59" s="119" t="s">
        <v>2444</v>
      </c>
      <c r="M59" s="119" t="s">
        <v>2444</v>
      </c>
      <c r="N59" s="33"/>
      <c r="O59" s="33"/>
      <c r="P59" s="33"/>
      <c r="Q59" s="33"/>
      <c r="R59" s="33"/>
      <c r="S59" s="33"/>
      <c r="T59" s="33"/>
    </row>
    <row r="60" spans="1:20">
      <c r="A60" s="90">
        <v>45941</v>
      </c>
      <c r="B60" s="33" t="s">
        <v>2487</v>
      </c>
      <c r="C60" s="119" t="s">
        <v>2607</v>
      </c>
      <c r="D60" s="33"/>
      <c r="E60" s="33"/>
      <c r="F60" s="33"/>
      <c r="G60" s="33" t="s">
        <v>2608</v>
      </c>
      <c r="H60" s="33"/>
      <c r="I60" s="33" t="s">
        <v>2497</v>
      </c>
      <c r="J60" s="33" t="s">
        <v>2609</v>
      </c>
      <c r="K60" s="33"/>
      <c r="L60" s="33"/>
      <c r="M60" s="33"/>
      <c r="N60" s="33"/>
      <c r="O60" s="33"/>
      <c r="P60" s="33"/>
      <c r="Q60" s="33"/>
      <c r="R60" s="33"/>
      <c r="S60" s="33"/>
      <c r="T60" s="33"/>
    </row>
    <row r="61" spans="1:20">
      <c r="A61" s="90">
        <v>45941</v>
      </c>
      <c r="B61" s="33" t="s">
        <v>2487</v>
      </c>
      <c r="C61" s="119" t="s">
        <v>2047</v>
      </c>
      <c r="D61" s="33"/>
      <c r="E61" s="33"/>
      <c r="F61" s="33"/>
      <c r="G61" s="33" t="s">
        <v>2610</v>
      </c>
      <c r="H61" s="33"/>
      <c r="I61" s="33" t="s">
        <v>2497</v>
      </c>
      <c r="J61" s="33" t="s">
        <v>2609</v>
      </c>
      <c r="K61" s="33"/>
      <c r="L61" s="33"/>
      <c r="M61" s="33"/>
      <c r="N61" s="33"/>
      <c r="O61" s="33"/>
      <c r="P61" s="33"/>
      <c r="Q61" s="33"/>
      <c r="R61" s="33"/>
      <c r="S61" s="33"/>
      <c r="T61" s="33"/>
    </row>
    <row r="62" spans="1:20">
      <c r="A62" s="90">
        <v>45941</v>
      </c>
      <c r="B62" s="33" t="s">
        <v>2487</v>
      </c>
      <c r="C62" s="119" t="s">
        <v>2611</v>
      </c>
      <c r="D62" s="33"/>
      <c r="E62" s="33"/>
      <c r="F62" s="33"/>
      <c r="G62" s="33" t="s">
        <v>2612</v>
      </c>
      <c r="H62" s="94">
        <v>45870</v>
      </c>
      <c r="I62" s="33" t="s">
        <v>2497</v>
      </c>
      <c r="J62" s="33" t="s">
        <v>2613</v>
      </c>
      <c r="K62" s="33"/>
      <c r="L62" s="33"/>
      <c r="M62" s="33"/>
      <c r="N62" s="33"/>
      <c r="O62" s="33"/>
      <c r="P62" s="33"/>
      <c r="Q62" s="33"/>
      <c r="R62" s="33"/>
      <c r="S62" s="33"/>
      <c r="T62" s="33"/>
    </row>
    <row r="63" spans="1:20">
      <c r="A63" s="90">
        <v>45944</v>
      </c>
      <c r="B63" s="33" t="s">
        <v>2556</v>
      </c>
      <c r="C63" s="119" t="s">
        <v>2614</v>
      </c>
      <c r="D63" s="33"/>
      <c r="E63" s="33"/>
      <c r="F63" s="33"/>
      <c r="G63" s="33" t="s">
        <v>2615</v>
      </c>
      <c r="H63" s="119" t="s">
        <v>2444</v>
      </c>
      <c r="I63" s="119" t="s">
        <v>2444</v>
      </c>
      <c r="J63" s="119" t="s">
        <v>2444</v>
      </c>
      <c r="K63" s="119" t="s">
        <v>2444</v>
      </c>
      <c r="L63" s="119" t="s">
        <v>2444</v>
      </c>
      <c r="M63" s="119" t="s">
        <v>2444</v>
      </c>
      <c r="N63" s="33"/>
      <c r="O63" s="33"/>
      <c r="P63" s="33"/>
      <c r="Q63" s="33"/>
      <c r="R63" s="33"/>
      <c r="S63" s="33"/>
      <c r="T63" s="33"/>
    </row>
    <row r="64" spans="1:20">
      <c r="A64" s="90">
        <v>45953</v>
      </c>
      <c r="B64" s="96" t="s">
        <v>2463</v>
      </c>
      <c r="C64" s="132" t="s">
        <v>2053</v>
      </c>
      <c r="D64" s="33"/>
      <c r="E64" s="33"/>
      <c r="F64" s="33"/>
      <c r="G64" s="33" t="s">
        <v>2616</v>
      </c>
      <c r="H64" s="94">
        <v>44682</v>
      </c>
      <c r="I64" s="33"/>
      <c r="J64" s="33" t="s">
        <v>2617</v>
      </c>
      <c r="K64" s="33"/>
      <c r="L64" s="33"/>
      <c r="M64" s="33"/>
      <c r="N64" s="33"/>
      <c r="O64" s="33"/>
      <c r="P64" s="33"/>
      <c r="Q64" s="33"/>
      <c r="R64" s="33"/>
      <c r="S64" s="33"/>
      <c r="T64" s="33"/>
    </row>
    <row r="65" spans="1:20">
      <c r="A65" s="90">
        <v>45971</v>
      </c>
      <c r="B65" s="96" t="s">
        <v>2463</v>
      </c>
      <c r="C65" s="132" t="s">
        <v>1941</v>
      </c>
      <c r="D65" s="33"/>
      <c r="E65" s="33"/>
      <c r="F65" s="33"/>
      <c r="G65" s="33" t="s">
        <v>1942</v>
      </c>
      <c r="H65" s="94">
        <v>43466</v>
      </c>
      <c r="I65" s="33"/>
      <c r="J65" s="33" t="s">
        <v>2540</v>
      </c>
      <c r="K65" s="33"/>
      <c r="L65" s="33"/>
      <c r="M65" s="33" t="s">
        <v>2527</v>
      </c>
      <c r="N65" s="33"/>
      <c r="O65" s="33"/>
      <c r="P65" s="33"/>
      <c r="Q65" s="33"/>
      <c r="R65" s="33"/>
      <c r="S65" s="33"/>
      <c r="T65" s="33"/>
    </row>
    <row r="66" spans="1:20">
      <c r="A66" s="90">
        <v>45971</v>
      </c>
      <c r="B66" s="33" t="s">
        <v>2487</v>
      </c>
      <c r="C66" s="132" t="s">
        <v>278</v>
      </c>
      <c r="D66" s="33"/>
      <c r="E66" s="33"/>
      <c r="F66" s="33"/>
      <c r="G66" s="33" t="s">
        <v>2618</v>
      </c>
      <c r="H66" s="33"/>
      <c r="I66" s="33"/>
      <c r="J66" s="33" t="s">
        <v>2619</v>
      </c>
      <c r="K66" s="33"/>
      <c r="L66" s="33"/>
      <c r="M66" s="33" t="s">
        <v>2619</v>
      </c>
      <c r="N66" s="33"/>
      <c r="O66" s="33"/>
      <c r="P66" s="33"/>
      <c r="Q66" s="33"/>
      <c r="R66" s="33"/>
      <c r="S66" s="33"/>
      <c r="T66" s="33"/>
    </row>
    <row r="67" spans="1:20">
      <c r="A67" s="90">
        <v>45971</v>
      </c>
      <c r="B67" s="96" t="s">
        <v>2463</v>
      </c>
      <c r="C67" s="33" t="s">
        <v>2620</v>
      </c>
      <c r="D67" s="33" t="s">
        <v>2621</v>
      </c>
      <c r="E67" s="33"/>
      <c r="F67" s="33"/>
      <c r="G67" s="33" t="s">
        <v>2622</v>
      </c>
      <c r="H67" s="94">
        <v>45323</v>
      </c>
      <c r="I67" s="33"/>
      <c r="J67" s="33" t="s">
        <v>2551</v>
      </c>
      <c r="K67" s="33"/>
      <c r="L67" s="33"/>
      <c r="M67" s="33" t="s">
        <v>2619</v>
      </c>
      <c r="N67" s="33"/>
      <c r="O67" s="90">
        <v>45995</v>
      </c>
      <c r="P67" s="33" t="s">
        <v>2623</v>
      </c>
      <c r="Q67" s="33" t="s">
        <v>2505</v>
      </c>
      <c r="R67" s="33" t="s">
        <v>2505</v>
      </c>
      <c r="S67" s="33" t="s">
        <v>2624</v>
      </c>
      <c r="T67" s="33" t="s">
        <v>2624</v>
      </c>
    </row>
    <row r="68" spans="1:20">
      <c r="A68" s="90">
        <v>45971</v>
      </c>
      <c r="B68" s="96" t="s">
        <v>2463</v>
      </c>
      <c r="C68" s="33" t="s">
        <v>2061</v>
      </c>
      <c r="D68" s="33"/>
      <c r="E68" s="33"/>
      <c r="F68" s="33"/>
      <c r="G68" s="33" t="s">
        <v>2625</v>
      </c>
      <c r="H68" s="33"/>
      <c r="I68" s="33"/>
      <c r="J68" s="33" t="s">
        <v>2619</v>
      </c>
      <c r="K68" s="33"/>
      <c r="L68" s="33"/>
      <c r="M68" s="33" t="s">
        <v>2619</v>
      </c>
      <c r="N68" s="90">
        <v>45996</v>
      </c>
      <c r="O68" s="33"/>
      <c r="P68" s="33" t="s">
        <v>2626</v>
      </c>
      <c r="Q68" s="33"/>
      <c r="R68" s="33"/>
      <c r="S68" s="33" t="s">
        <v>2627</v>
      </c>
      <c r="T68" s="33" t="s">
        <v>2627</v>
      </c>
    </row>
    <row r="69" spans="1:20">
      <c r="A69" s="90">
        <v>45971</v>
      </c>
      <c r="B69" s="33" t="s">
        <v>2487</v>
      </c>
      <c r="C69" s="132" t="s">
        <v>2065</v>
      </c>
      <c r="D69" s="33"/>
      <c r="E69" s="33"/>
      <c r="F69" s="33"/>
      <c r="G69" s="33" t="s">
        <v>2628</v>
      </c>
      <c r="H69" s="33"/>
      <c r="I69" s="33"/>
      <c r="J69" s="33" t="s">
        <v>2474</v>
      </c>
      <c r="K69" s="33"/>
      <c r="L69" s="33"/>
      <c r="M69" s="33"/>
      <c r="N69" s="33"/>
      <c r="O69" s="33"/>
      <c r="P69" s="33"/>
      <c r="Q69" s="33"/>
      <c r="R69" s="33"/>
      <c r="S69" s="33"/>
      <c r="T69" s="33"/>
    </row>
    <row r="70" spans="1:20">
      <c r="A70" s="90">
        <v>45971</v>
      </c>
      <c r="B70" s="33" t="s">
        <v>2487</v>
      </c>
      <c r="C70" s="132" t="s">
        <v>1057</v>
      </c>
      <c r="D70" s="33"/>
      <c r="E70" s="33"/>
      <c r="F70" s="33"/>
      <c r="G70" s="33" t="s">
        <v>2629</v>
      </c>
      <c r="H70" s="33"/>
      <c r="I70" s="33"/>
      <c r="J70" s="33" t="s">
        <v>2590</v>
      </c>
      <c r="K70" s="33"/>
      <c r="L70" s="33"/>
      <c r="M70" s="33"/>
      <c r="N70" s="33"/>
      <c r="O70" s="33"/>
      <c r="P70" s="33"/>
      <c r="Q70" s="33"/>
      <c r="R70" s="33"/>
      <c r="S70" s="33"/>
      <c r="T70" s="33"/>
    </row>
    <row r="71" spans="1:20">
      <c r="A71" s="90">
        <v>45971</v>
      </c>
      <c r="B71" s="33" t="s">
        <v>2487</v>
      </c>
      <c r="C71" s="132" t="s">
        <v>916</v>
      </c>
      <c r="D71" s="33"/>
      <c r="E71" s="33"/>
      <c r="F71" s="33"/>
      <c r="G71" s="33" t="s">
        <v>2630</v>
      </c>
      <c r="H71" s="33"/>
      <c r="I71" s="33"/>
      <c r="J71" s="33" t="s">
        <v>2595</v>
      </c>
      <c r="K71" s="33"/>
      <c r="L71" s="33"/>
      <c r="M71" s="33" t="s">
        <v>2564</v>
      </c>
      <c r="N71" s="33"/>
      <c r="O71" s="33"/>
      <c r="P71" s="33"/>
      <c r="Q71" s="33"/>
      <c r="R71" s="33"/>
      <c r="S71" s="33"/>
      <c r="T71" s="33"/>
    </row>
    <row r="72" spans="1:20">
      <c r="A72" s="90">
        <v>45971</v>
      </c>
      <c r="B72" s="96" t="s">
        <v>2463</v>
      </c>
      <c r="C72" s="33" t="s">
        <v>2072</v>
      </c>
      <c r="D72" s="33"/>
      <c r="E72" s="33"/>
      <c r="F72" s="33"/>
      <c r="G72" s="33" t="s">
        <v>2631</v>
      </c>
      <c r="H72" s="94">
        <v>43374</v>
      </c>
      <c r="I72" s="33"/>
      <c r="J72" s="33" t="s">
        <v>2632</v>
      </c>
      <c r="K72" s="94">
        <v>45962</v>
      </c>
      <c r="L72" s="33"/>
      <c r="M72" s="33" t="s">
        <v>2633</v>
      </c>
      <c r="N72" s="33"/>
      <c r="O72" s="33"/>
      <c r="P72" s="33"/>
      <c r="Q72" s="33"/>
      <c r="R72" s="33"/>
      <c r="S72" s="33"/>
      <c r="T72" s="33"/>
    </row>
    <row r="73" spans="1:20">
      <c r="A73" s="90">
        <v>45971</v>
      </c>
      <c r="B73" s="96" t="s">
        <v>2463</v>
      </c>
      <c r="C73" s="132" t="s">
        <v>2634</v>
      </c>
      <c r="D73" s="33"/>
      <c r="E73" s="33"/>
      <c r="F73" s="33"/>
      <c r="G73" s="33" t="s">
        <v>2635</v>
      </c>
      <c r="H73" s="94">
        <v>45870</v>
      </c>
      <c r="I73" s="33"/>
      <c r="J73" s="33" t="s">
        <v>2557</v>
      </c>
      <c r="K73" s="94">
        <v>45809</v>
      </c>
      <c r="L73" s="33"/>
      <c r="M73" s="33" t="s">
        <v>2564</v>
      </c>
      <c r="N73" s="33"/>
      <c r="O73" s="33"/>
      <c r="P73" s="33"/>
      <c r="Q73" s="33"/>
      <c r="R73" s="33"/>
      <c r="S73" s="33"/>
      <c r="T73" s="33"/>
    </row>
    <row r="74" spans="1:20">
      <c r="A74" s="90">
        <v>45993</v>
      </c>
      <c r="B74" s="33" t="s">
        <v>2487</v>
      </c>
      <c r="C74" s="132" t="s">
        <v>2078</v>
      </c>
      <c r="D74" s="33"/>
      <c r="E74" s="33"/>
      <c r="F74" s="33"/>
      <c r="G74" s="33" t="s">
        <v>2636</v>
      </c>
      <c r="H74" s="94">
        <v>45778</v>
      </c>
      <c r="I74" s="33"/>
      <c r="J74" s="33" t="s">
        <v>2613</v>
      </c>
      <c r="K74" s="94">
        <v>41244</v>
      </c>
      <c r="L74" s="33"/>
      <c r="M74" s="33" t="s">
        <v>2637</v>
      </c>
      <c r="N74" s="33"/>
      <c r="O74" s="33"/>
      <c r="P74" s="33"/>
      <c r="Q74" s="33"/>
      <c r="R74" s="33"/>
      <c r="S74" s="33"/>
      <c r="T74" s="33"/>
    </row>
    <row r="75" spans="1:20">
      <c r="A75" s="90">
        <v>46014</v>
      </c>
      <c r="B75" s="33" t="s">
        <v>2487</v>
      </c>
      <c r="C75" s="132" t="s">
        <v>2638</v>
      </c>
      <c r="D75" s="33"/>
      <c r="E75" s="107" t="s">
        <v>2639</v>
      </c>
      <c r="F75" s="33"/>
      <c r="G75" s="33" t="s">
        <v>2640</v>
      </c>
      <c r="H75" s="33"/>
      <c r="I75" s="33" t="s">
        <v>2497</v>
      </c>
      <c r="J75" s="33" t="s">
        <v>2602</v>
      </c>
      <c r="K75" s="33"/>
      <c r="L75" s="33"/>
      <c r="M75" s="33"/>
      <c r="N75" s="33"/>
      <c r="O75" s="33"/>
      <c r="P75" s="33"/>
      <c r="Q75" s="33"/>
      <c r="R75" s="33"/>
      <c r="S75" s="33"/>
      <c r="T75" s="33"/>
    </row>
    <row r="76" spans="1:20">
      <c r="A76" s="90">
        <v>46014</v>
      </c>
      <c r="B76" s="33" t="s">
        <v>2487</v>
      </c>
      <c r="C76" s="132" t="s">
        <v>2638</v>
      </c>
      <c r="D76" s="33"/>
      <c r="E76" s="107" t="s">
        <v>2085</v>
      </c>
      <c r="F76" s="33"/>
      <c r="G76" s="69" t="s">
        <v>2641</v>
      </c>
      <c r="H76" s="33"/>
      <c r="I76" s="33" t="s">
        <v>2497</v>
      </c>
      <c r="J76" s="33" t="s">
        <v>2602</v>
      </c>
      <c r="K76" s="33"/>
      <c r="L76" s="33"/>
      <c r="M76" s="33"/>
      <c r="N76" s="33"/>
      <c r="O76" s="33"/>
      <c r="P76" s="33"/>
      <c r="Q76" s="33"/>
      <c r="R76" s="33"/>
      <c r="S76" s="33"/>
      <c r="T76" s="33"/>
    </row>
    <row r="77" spans="1:20">
      <c r="A77" s="90">
        <v>46014</v>
      </c>
      <c r="B77" s="33" t="s">
        <v>2487</v>
      </c>
      <c r="C77" s="108" t="s">
        <v>2642</v>
      </c>
      <c r="D77" s="33"/>
      <c r="E77" s="107" t="s">
        <v>2089</v>
      </c>
      <c r="F77" s="33"/>
      <c r="G77" s="69" t="s">
        <v>2643</v>
      </c>
      <c r="H77" s="33"/>
      <c r="I77" s="33" t="s">
        <v>2497</v>
      </c>
      <c r="J77" s="33" t="s">
        <v>2573</v>
      </c>
      <c r="K77" s="33"/>
      <c r="L77" s="33"/>
      <c r="M77" s="33"/>
      <c r="N77" s="33"/>
      <c r="O77" s="33"/>
      <c r="P77" s="33"/>
      <c r="Q77" s="33"/>
      <c r="R77" s="33"/>
      <c r="S77" s="33"/>
      <c r="T77" s="33"/>
    </row>
    <row r="78" spans="1:20">
      <c r="A78" s="90">
        <v>46014</v>
      </c>
      <c r="B78" s="33" t="s">
        <v>2487</v>
      </c>
      <c r="C78" s="108" t="s">
        <v>297</v>
      </c>
      <c r="D78" s="33"/>
      <c r="E78" s="107" t="s">
        <v>2092</v>
      </c>
      <c r="F78" s="120"/>
      <c r="G78" s="69" t="s">
        <v>2644</v>
      </c>
      <c r="H78" s="33"/>
      <c r="I78" s="33" t="s">
        <v>2497</v>
      </c>
      <c r="J78" s="33" t="s">
        <v>2645</v>
      </c>
      <c r="K78" s="33"/>
      <c r="L78" s="33"/>
      <c r="M78" s="33"/>
      <c r="N78" s="33"/>
      <c r="O78" s="33"/>
      <c r="P78" s="33"/>
      <c r="Q78" s="33"/>
      <c r="R78" s="33"/>
      <c r="S78" s="33"/>
      <c r="T78" s="33"/>
    </row>
    <row r="79" spans="1:20">
      <c r="A79" s="90">
        <v>46014</v>
      </c>
      <c r="B79" s="33" t="s">
        <v>2487</v>
      </c>
      <c r="C79" s="108" t="s">
        <v>2095</v>
      </c>
      <c r="D79" s="33"/>
      <c r="E79" s="107" t="s">
        <v>2094</v>
      </c>
      <c r="F79" s="120"/>
      <c r="G79" s="69" t="s">
        <v>2646</v>
      </c>
      <c r="H79" s="33"/>
      <c r="I79" s="33" t="s">
        <v>2497</v>
      </c>
      <c r="J79" s="33" t="s">
        <v>2486</v>
      </c>
      <c r="K79" s="33"/>
      <c r="L79" s="33"/>
      <c r="M79" s="33"/>
      <c r="N79" s="33"/>
      <c r="O79" s="33"/>
      <c r="P79" s="33"/>
      <c r="Q79" s="33"/>
      <c r="R79" s="33"/>
      <c r="S79" s="33"/>
      <c r="T79" s="33"/>
    </row>
    <row r="80" spans="1:20">
      <c r="A80" s="90">
        <v>46014</v>
      </c>
      <c r="B80" s="33" t="s">
        <v>2487</v>
      </c>
      <c r="C80" s="69" t="s">
        <v>2098</v>
      </c>
      <c r="D80" s="33" t="s">
        <v>2647</v>
      </c>
      <c r="E80" s="107" t="s">
        <v>2097</v>
      </c>
      <c r="F80" s="33"/>
      <c r="G80" s="69" t="s">
        <v>2648</v>
      </c>
      <c r="H80" s="94">
        <v>41061</v>
      </c>
      <c r="I80" s="97" t="s">
        <v>2444</v>
      </c>
      <c r="J80" s="33" t="s">
        <v>2568</v>
      </c>
      <c r="K80" s="33"/>
      <c r="L80" s="33"/>
      <c r="M80" s="33"/>
      <c r="N80" s="33"/>
      <c r="O80" s="90">
        <v>46035</v>
      </c>
      <c r="P80" s="33" t="s">
        <v>2649</v>
      </c>
      <c r="Q80" s="33" t="s">
        <v>2481</v>
      </c>
      <c r="R80" s="33" t="s">
        <v>2481</v>
      </c>
      <c r="S80" s="33" t="s">
        <v>2598</v>
      </c>
      <c r="T80" s="33" t="s">
        <v>2598</v>
      </c>
    </row>
    <row r="81" spans="1:20">
      <c r="A81" s="90">
        <v>46014</v>
      </c>
      <c r="B81" s="96" t="s">
        <v>2463</v>
      </c>
      <c r="C81" s="109" t="s">
        <v>2101</v>
      </c>
      <c r="D81" s="33"/>
      <c r="E81" s="107" t="s">
        <v>2100</v>
      </c>
      <c r="F81" s="120"/>
      <c r="G81" s="69" t="s">
        <v>2650</v>
      </c>
      <c r="H81" s="94">
        <v>45870</v>
      </c>
      <c r="I81" s="97" t="s">
        <v>2444</v>
      </c>
      <c r="J81" s="33" t="s">
        <v>2572</v>
      </c>
      <c r="K81" s="33"/>
      <c r="L81" s="33"/>
      <c r="M81" s="33"/>
      <c r="N81" s="33"/>
      <c r="O81" s="90">
        <v>46381</v>
      </c>
      <c r="P81" s="33" t="s">
        <v>2651</v>
      </c>
      <c r="Q81" s="33" t="s">
        <v>2481</v>
      </c>
      <c r="R81" s="33" t="s">
        <v>2482</v>
      </c>
      <c r="S81" s="33" t="s">
        <v>2652</v>
      </c>
      <c r="T81" s="33" t="s">
        <v>2652</v>
      </c>
    </row>
    <row r="82" spans="1:20">
      <c r="A82" s="90">
        <v>46014</v>
      </c>
      <c r="B82" s="33" t="s">
        <v>2487</v>
      </c>
      <c r="C82" s="108" t="s">
        <v>2105</v>
      </c>
      <c r="D82" s="33" t="s">
        <v>2653</v>
      </c>
      <c r="E82" s="107" t="s">
        <v>2104</v>
      </c>
      <c r="F82" s="120"/>
      <c r="G82" s="69" t="s">
        <v>2654</v>
      </c>
      <c r="H82" s="94">
        <v>45748</v>
      </c>
      <c r="I82" s="97" t="s">
        <v>2444</v>
      </c>
      <c r="J82" s="33" t="s">
        <v>2572</v>
      </c>
      <c r="K82" s="94">
        <v>45992</v>
      </c>
      <c r="L82" s="33"/>
      <c r="M82" s="33" t="s">
        <v>2564</v>
      </c>
      <c r="N82" s="33"/>
      <c r="O82" s="90">
        <v>46029</v>
      </c>
      <c r="P82" s="33" t="s">
        <v>2655</v>
      </c>
      <c r="Q82" s="33" t="s">
        <v>2481</v>
      </c>
      <c r="R82" s="33" t="s">
        <v>2481</v>
      </c>
      <c r="S82" s="33" t="s">
        <v>2656</v>
      </c>
      <c r="T82" s="33" t="s">
        <v>2656</v>
      </c>
    </row>
    <row r="83" spans="1:20">
      <c r="A83" s="90">
        <v>46014</v>
      </c>
      <c r="B83" s="33" t="s">
        <v>2487</v>
      </c>
      <c r="C83" s="108" t="s">
        <v>171</v>
      </c>
      <c r="D83" s="33"/>
      <c r="E83" s="107" t="s">
        <v>2107</v>
      </c>
      <c r="F83" s="33" t="s">
        <v>2657</v>
      </c>
      <c r="G83" s="69" t="s">
        <v>2658</v>
      </c>
      <c r="H83" s="33"/>
      <c r="I83" s="33" t="s">
        <v>2497</v>
      </c>
      <c r="J83" s="33" t="s">
        <v>2659</v>
      </c>
      <c r="K83" s="33"/>
      <c r="L83" s="33"/>
      <c r="M83" s="33"/>
      <c r="N83" s="33"/>
      <c r="O83" s="33"/>
      <c r="P83" s="33"/>
      <c r="Q83" s="33"/>
      <c r="R83" s="33"/>
      <c r="S83" s="33"/>
      <c r="T83" s="33"/>
    </row>
    <row r="84" spans="1:20">
      <c r="A84" s="90">
        <v>46014</v>
      </c>
      <c r="B84" s="96" t="s">
        <v>2463</v>
      </c>
      <c r="C84" s="69" t="s">
        <v>2660</v>
      </c>
      <c r="D84" s="33" t="s">
        <v>2661</v>
      </c>
      <c r="E84" s="107" t="s">
        <v>2118</v>
      </c>
      <c r="F84" s="33" t="s">
        <v>2662</v>
      </c>
      <c r="G84" s="69" t="s">
        <v>2663</v>
      </c>
      <c r="H84" s="94">
        <v>45839</v>
      </c>
      <c r="I84" s="97" t="s">
        <v>2444</v>
      </c>
      <c r="J84" s="33" t="s">
        <v>2664</v>
      </c>
      <c r="K84" s="94">
        <v>45809</v>
      </c>
      <c r="L84" s="33"/>
      <c r="M84" s="33" t="s">
        <v>2665</v>
      </c>
      <c r="N84" s="90">
        <v>46063</v>
      </c>
      <c r="O84" s="90">
        <v>46034</v>
      </c>
      <c r="P84" s="33" t="s">
        <v>2666</v>
      </c>
      <c r="Q84" s="33" t="s">
        <v>2481</v>
      </c>
      <c r="R84" s="33" t="s">
        <v>2482</v>
      </c>
      <c r="S84" s="33" t="s">
        <v>2652</v>
      </c>
      <c r="T84" s="33" t="s">
        <v>2652</v>
      </c>
    </row>
    <row r="85" spans="1:20">
      <c r="A85" s="90">
        <v>46014</v>
      </c>
      <c r="B85" s="33" t="s">
        <v>2487</v>
      </c>
      <c r="C85" s="108" t="s">
        <v>2116</v>
      </c>
      <c r="D85" s="33"/>
      <c r="E85" s="107" t="s">
        <v>2115</v>
      </c>
      <c r="F85" s="120"/>
      <c r="G85" s="33" t="s">
        <v>2117</v>
      </c>
      <c r="H85" s="33"/>
      <c r="I85" s="33" t="s">
        <v>2497</v>
      </c>
      <c r="J85" s="33" t="s">
        <v>2486</v>
      </c>
      <c r="K85" s="33"/>
      <c r="L85" s="33"/>
      <c r="M85" s="33"/>
      <c r="N85" s="33"/>
      <c r="O85" s="33"/>
      <c r="P85" s="33"/>
      <c r="Q85" s="33"/>
      <c r="R85" s="33"/>
      <c r="S85" s="33"/>
      <c r="T85" s="33"/>
    </row>
    <row r="86" spans="1:20">
      <c r="A86" s="90">
        <v>46014</v>
      </c>
      <c r="B86" s="33" t="s">
        <v>2487</v>
      </c>
      <c r="C86" s="108" t="s">
        <v>2113</v>
      </c>
      <c r="D86" s="33"/>
      <c r="E86" s="107" t="s">
        <v>2112</v>
      </c>
      <c r="F86" s="33"/>
      <c r="G86" s="69" t="s">
        <v>2667</v>
      </c>
      <c r="H86" s="94">
        <v>44805</v>
      </c>
      <c r="I86" s="33" t="s">
        <v>2497</v>
      </c>
      <c r="J86" s="33" t="s">
        <v>2645</v>
      </c>
      <c r="K86" s="33"/>
      <c r="L86" s="33"/>
      <c r="M86" s="33"/>
      <c r="N86" s="33"/>
      <c r="O86" s="33"/>
      <c r="P86" s="33"/>
      <c r="Q86" s="33"/>
      <c r="R86" s="33"/>
      <c r="S86" s="33"/>
      <c r="T86" s="33"/>
    </row>
    <row r="87" spans="1:20">
      <c r="A87" s="90">
        <v>46014</v>
      </c>
      <c r="B87" s="33" t="s">
        <v>2487</v>
      </c>
      <c r="C87" s="108" t="s">
        <v>2122</v>
      </c>
      <c r="D87" s="33"/>
      <c r="E87" s="107" t="s">
        <v>2121</v>
      </c>
      <c r="F87" s="33"/>
      <c r="G87" s="69" t="s">
        <v>2668</v>
      </c>
      <c r="H87" s="94">
        <v>45809</v>
      </c>
      <c r="I87" s="33" t="s">
        <v>2497</v>
      </c>
      <c r="J87" s="33" t="s">
        <v>2568</v>
      </c>
      <c r="K87" s="94">
        <v>45962</v>
      </c>
      <c r="L87" s="33"/>
      <c r="M87" s="33" t="s">
        <v>2669</v>
      </c>
      <c r="N87" s="33"/>
      <c r="O87" s="33"/>
      <c r="P87" s="33"/>
      <c r="Q87" s="33"/>
      <c r="R87" s="33"/>
      <c r="S87" s="33"/>
      <c r="T87" s="33"/>
    </row>
    <row r="88" spans="1:20">
      <c r="A88" s="90">
        <v>46014</v>
      </c>
      <c r="B88" s="33" t="s">
        <v>2487</v>
      </c>
      <c r="C88" s="108" t="s">
        <v>2670</v>
      </c>
      <c r="D88" s="33"/>
      <c r="E88" s="107" t="s">
        <v>2109</v>
      </c>
      <c r="F88" s="120"/>
      <c r="G88" s="69" t="s">
        <v>2671</v>
      </c>
      <c r="H88" s="94">
        <v>45839</v>
      </c>
      <c r="I88" s="33" t="s">
        <v>2497</v>
      </c>
      <c r="J88" s="33" t="s">
        <v>2520</v>
      </c>
      <c r="K88" s="33"/>
      <c r="L88" s="33"/>
      <c r="M88" s="33"/>
      <c r="N88" s="33"/>
      <c r="O88" s="33"/>
      <c r="P88" s="33"/>
      <c r="Q88" s="33"/>
      <c r="R88" s="33"/>
      <c r="S88" s="33"/>
      <c r="T88" s="33"/>
    </row>
    <row r="89" spans="1:20">
      <c r="A89" s="90">
        <v>46014</v>
      </c>
      <c r="B89" s="33" t="s">
        <v>2487</v>
      </c>
      <c r="C89" s="108" t="s">
        <v>934</v>
      </c>
      <c r="D89" s="33"/>
      <c r="E89" s="107" t="s">
        <v>2124</v>
      </c>
      <c r="F89" s="120"/>
      <c r="G89" s="69" t="s">
        <v>2672</v>
      </c>
      <c r="H89" s="33"/>
      <c r="I89" s="33" t="s">
        <v>2497</v>
      </c>
      <c r="J89" s="33" t="s">
        <v>2474</v>
      </c>
      <c r="K89" s="33"/>
      <c r="L89" s="33"/>
      <c r="M89" s="33"/>
      <c r="N89" s="33"/>
      <c r="O89" s="33"/>
      <c r="P89" s="33"/>
      <c r="Q89" s="33"/>
      <c r="R89" s="33"/>
      <c r="S89" s="33"/>
      <c r="T89" s="33"/>
    </row>
    <row r="90" spans="1:20">
      <c r="A90" s="90">
        <v>46014</v>
      </c>
      <c r="B90" s="33" t="s">
        <v>2487</v>
      </c>
      <c r="C90" s="108" t="s">
        <v>2127</v>
      </c>
      <c r="D90" s="33"/>
      <c r="E90" s="107" t="s">
        <v>2126</v>
      </c>
      <c r="F90" s="33"/>
      <c r="G90" s="69" t="s">
        <v>2673</v>
      </c>
      <c r="H90" s="33"/>
      <c r="I90" s="33" t="s">
        <v>2497</v>
      </c>
      <c r="J90" s="33" t="s">
        <v>2645</v>
      </c>
      <c r="K90" s="33"/>
      <c r="L90" s="33"/>
      <c r="M90" s="33"/>
      <c r="N90" s="33"/>
      <c r="O90" s="33"/>
      <c r="P90" s="33"/>
      <c r="Q90" s="33"/>
      <c r="R90" s="33"/>
      <c r="S90" s="33"/>
      <c r="T90" s="33"/>
    </row>
    <row r="91" spans="1:20">
      <c r="A91" s="90">
        <v>46014</v>
      </c>
      <c r="B91" s="33" t="s">
        <v>2487</v>
      </c>
      <c r="C91" s="108" t="s">
        <v>179</v>
      </c>
      <c r="D91" s="33"/>
      <c r="E91" s="107" t="s">
        <v>2129</v>
      </c>
      <c r="F91" s="120"/>
      <c r="G91" s="69" t="s">
        <v>2674</v>
      </c>
      <c r="H91" s="33"/>
      <c r="I91" s="33" t="s">
        <v>2497</v>
      </c>
      <c r="J91" s="33" t="s">
        <v>2551</v>
      </c>
      <c r="K91" s="33"/>
      <c r="L91" s="33"/>
      <c r="M91" s="33"/>
      <c r="N91" s="33"/>
      <c r="O91" s="33"/>
      <c r="P91" s="33"/>
      <c r="Q91" s="33"/>
      <c r="R91" s="33"/>
      <c r="S91" s="33"/>
      <c r="T91" s="33"/>
    </row>
    <row r="92" spans="1:20">
      <c r="A92" s="90">
        <v>46014</v>
      </c>
      <c r="B92" s="96" t="s">
        <v>2463</v>
      </c>
      <c r="C92" s="108" t="s">
        <v>2675</v>
      </c>
      <c r="D92" s="33" t="s">
        <v>2676</v>
      </c>
      <c r="E92" s="107" t="s">
        <v>1475</v>
      </c>
      <c r="F92" s="33" t="s">
        <v>2677</v>
      </c>
      <c r="G92" s="69" t="s">
        <v>2678</v>
      </c>
      <c r="H92" s="97" t="s">
        <v>2444</v>
      </c>
      <c r="I92" s="97" t="s">
        <v>2497</v>
      </c>
      <c r="J92" s="97" t="s">
        <v>2645</v>
      </c>
      <c r="K92" s="97" t="s">
        <v>2444</v>
      </c>
      <c r="L92" s="97" t="s">
        <v>2444</v>
      </c>
      <c r="M92" s="97" t="s">
        <v>2444</v>
      </c>
      <c r="N92" s="33"/>
      <c r="O92" s="33"/>
      <c r="P92" s="33"/>
      <c r="Q92" s="33"/>
      <c r="R92" s="33"/>
      <c r="S92" s="33"/>
      <c r="T92" s="33"/>
    </row>
    <row r="93" spans="1:20">
      <c r="A93" s="90">
        <v>46014</v>
      </c>
      <c r="B93" s="33" t="s">
        <v>2487</v>
      </c>
      <c r="C93" s="108" t="s">
        <v>90</v>
      </c>
      <c r="D93" s="33"/>
      <c r="E93" s="107" t="s">
        <v>1437</v>
      </c>
      <c r="F93" s="33"/>
      <c r="G93" s="69" t="s">
        <v>2679</v>
      </c>
      <c r="H93" s="33"/>
      <c r="I93" s="33"/>
      <c r="J93" s="33" t="s">
        <v>2557</v>
      </c>
      <c r="K93" s="33"/>
      <c r="L93" s="33"/>
      <c r="M93" s="33"/>
      <c r="N93" s="33"/>
      <c r="O93" s="33"/>
      <c r="P93" s="33"/>
      <c r="Q93" s="33"/>
      <c r="R93" s="33"/>
      <c r="S93" s="33"/>
      <c r="T93" s="33"/>
    </row>
    <row r="94" spans="1:20">
      <c r="A94" s="90">
        <v>46014</v>
      </c>
      <c r="B94" s="33" t="s">
        <v>2487</v>
      </c>
      <c r="C94" s="108" t="s">
        <v>136</v>
      </c>
      <c r="D94" s="33"/>
      <c r="E94" s="107" t="s">
        <v>2132</v>
      </c>
      <c r="F94" s="33"/>
      <c r="G94" s="69" t="s">
        <v>2680</v>
      </c>
      <c r="H94" s="33"/>
      <c r="I94" s="33" t="s">
        <v>2497</v>
      </c>
      <c r="J94" s="33" t="s">
        <v>2590</v>
      </c>
      <c r="K94" s="33"/>
      <c r="L94" s="33"/>
      <c r="M94" s="33"/>
      <c r="N94" s="33"/>
      <c r="O94" s="33"/>
      <c r="P94" s="33"/>
      <c r="Q94" s="33"/>
      <c r="R94" s="33"/>
      <c r="S94" s="33"/>
      <c r="T94" s="33"/>
    </row>
    <row r="95" spans="1:20">
      <c r="A95" s="90">
        <v>46014</v>
      </c>
      <c r="B95" s="33" t="s">
        <v>2556</v>
      </c>
      <c r="C95" s="108" t="s">
        <v>2135</v>
      </c>
      <c r="D95" s="33"/>
      <c r="E95" s="107" t="s">
        <v>2134</v>
      </c>
      <c r="F95" s="120"/>
      <c r="G95" s="69" t="s">
        <v>2681</v>
      </c>
      <c r="H95" s="33"/>
      <c r="I95" s="33"/>
      <c r="J95" s="103" t="s">
        <v>2475</v>
      </c>
      <c r="K95" s="33"/>
      <c r="L95" s="33"/>
      <c r="M95" s="33"/>
      <c r="N95" s="33"/>
      <c r="O95" s="33"/>
      <c r="P95" s="33"/>
      <c r="Q95" s="33"/>
      <c r="R95" s="33"/>
      <c r="S95" s="33"/>
      <c r="T95" s="33"/>
    </row>
    <row r="96" spans="1:20">
      <c r="A96" s="90">
        <v>46015</v>
      </c>
      <c r="B96" s="33" t="s">
        <v>2487</v>
      </c>
      <c r="C96" s="108" t="s">
        <v>252</v>
      </c>
      <c r="D96" s="33"/>
      <c r="E96" s="107" t="s">
        <v>1642</v>
      </c>
      <c r="F96" s="120"/>
      <c r="G96" s="69" t="s">
        <v>2682</v>
      </c>
      <c r="H96" s="33"/>
      <c r="I96" s="33" t="s">
        <v>2497</v>
      </c>
      <c r="J96" s="33" t="s">
        <v>2573</v>
      </c>
      <c r="K96" s="33"/>
      <c r="L96" s="33"/>
      <c r="M96" s="33"/>
      <c r="N96" s="33"/>
      <c r="O96" s="33"/>
      <c r="P96" s="33"/>
      <c r="Q96" s="33"/>
      <c r="R96" s="33"/>
      <c r="S96" s="33"/>
      <c r="T96" s="33"/>
    </row>
    <row r="97" spans="1:20">
      <c r="A97" s="90">
        <v>46015</v>
      </c>
      <c r="B97" s="33" t="s">
        <v>2487</v>
      </c>
      <c r="C97" s="108" t="s">
        <v>2683</v>
      </c>
      <c r="D97" s="33"/>
      <c r="E97" s="107" t="s">
        <v>2137</v>
      </c>
      <c r="F97" s="33"/>
      <c r="G97" s="69" t="s">
        <v>2684</v>
      </c>
      <c r="H97" s="33"/>
      <c r="I97" s="33" t="s">
        <v>2497</v>
      </c>
      <c r="J97" s="33" t="s">
        <v>2590</v>
      </c>
      <c r="K97" s="33"/>
      <c r="L97" s="33"/>
      <c r="M97" s="33"/>
      <c r="N97" s="33"/>
      <c r="O97" s="33"/>
      <c r="P97" s="33"/>
      <c r="Q97" s="33"/>
      <c r="R97" s="33"/>
      <c r="S97" s="33"/>
      <c r="T97" s="33"/>
    </row>
    <row r="98" spans="1:20">
      <c r="A98" s="90">
        <v>46028</v>
      </c>
      <c r="B98" s="96" t="s">
        <v>2463</v>
      </c>
      <c r="C98" s="33" t="s">
        <v>2141</v>
      </c>
      <c r="D98" s="33" t="s">
        <v>2685</v>
      </c>
      <c r="E98" s="107" t="s">
        <v>2140</v>
      </c>
      <c r="F98" s="33"/>
      <c r="G98" s="33" t="s">
        <v>2686</v>
      </c>
      <c r="H98" s="33"/>
      <c r="I98" s="33"/>
      <c r="J98" s="33" t="s">
        <v>2687</v>
      </c>
      <c r="K98" s="33"/>
      <c r="L98" s="33"/>
      <c r="M98" s="33"/>
      <c r="N98" s="33"/>
      <c r="O98" s="90">
        <v>46029</v>
      </c>
      <c r="P98" s="33" t="s">
        <v>2688</v>
      </c>
      <c r="Q98" s="33" t="s">
        <v>2482</v>
      </c>
      <c r="R98" s="33" t="s">
        <v>2481</v>
      </c>
      <c r="S98" s="33" t="s">
        <v>2689</v>
      </c>
      <c r="T98" s="33" t="s">
        <v>2689</v>
      </c>
    </row>
    <row r="99" spans="1:20">
      <c r="A99" s="90">
        <v>46035</v>
      </c>
      <c r="B99" s="96" t="s">
        <v>2463</v>
      </c>
      <c r="C99" s="132" t="s">
        <v>1667</v>
      </c>
      <c r="D99" s="33"/>
      <c r="E99" s="107" t="s">
        <v>1715</v>
      </c>
      <c r="F99" s="33"/>
      <c r="G99" s="69" t="s">
        <v>2690</v>
      </c>
      <c r="H99" s="33"/>
      <c r="I99" s="33" t="s">
        <v>2497</v>
      </c>
      <c r="J99" s="33" t="s">
        <v>2474</v>
      </c>
      <c r="K99" s="33"/>
      <c r="L99" s="33"/>
      <c r="M99" s="33"/>
      <c r="N99" s="33"/>
      <c r="O99" s="33"/>
      <c r="P99" s="33"/>
      <c r="Q99" s="33"/>
      <c r="R99" s="33"/>
      <c r="S99" s="33"/>
      <c r="T99" s="33"/>
    </row>
    <row r="100" spans="1:20">
      <c r="A100" s="90">
        <v>46038</v>
      </c>
      <c r="B100" s="96" t="s">
        <v>2463</v>
      </c>
      <c r="C100" s="69" t="s">
        <v>2146</v>
      </c>
      <c r="D100" s="33" t="s">
        <v>2691</v>
      </c>
      <c r="E100" s="107" t="s">
        <v>2145</v>
      </c>
      <c r="F100" s="120"/>
      <c r="G100" s="69" t="s">
        <v>2692</v>
      </c>
      <c r="H100" s="33"/>
      <c r="I100" s="33"/>
      <c r="J100" s="33" t="s">
        <v>2687</v>
      </c>
      <c r="K100" s="33"/>
      <c r="L100" s="33"/>
      <c r="M100" s="33"/>
      <c r="N100" s="33"/>
      <c r="O100" s="90">
        <v>46037</v>
      </c>
      <c r="P100" s="33" t="s">
        <v>2693</v>
      </c>
      <c r="Q100" s="33" t="s">
        <v>2505</v>
      </c>
      <c r="R100" s="33" t="s">
        <v>2505</v>
      </c>
      <c r="S100" s="33" t="s">
        <v>2694</v>
      </c>
      <c r="T100" s="33" t="s">
        <v>2694</v>
      </c>
    </row>
    <row r="101" spans="1:20">
      <c r="A101" s="90">
        <v>46041</v>
      </c>
      <c r="B101" s="33" t="s">
        <v>2556</v>
      </c>
      <c r="C101" s="110" t="s">
        <v>2695</v>
      </c>
      <c r="D101" s="33"/>
      <c r="E101" s="33"/>
      <c r="F101" s="33"/>
      <c r="G101" s="107" t="s">
        <v>2696</v>
      </c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</row>
    <row r="102" spans="1:20">
      <c r="A102" s="90">
        <v>46041</v>
      </c>
      <c r="B102" s="33" t="s">
        <v>2487</v>
      </c>
      <c r="C102" s="108" t="s">
        <v>2157</v>
      </c>
      <c r="D102" s="33"/>
      <c r="E102" s="107" t="s">
        <v>2156</v>
      </c>
      <c r="F102" s="33"/>
      <c r="G102" s="107" t="s">
        <v>2697</v>
      </c>
      <c r="H102" s="33"/>
      <c r="I102" s="33" t="s">
        <v>2497</v>
      </c>
      <c r="J102" s="33" t="s">
        <v>2645</v>
      </c>
      <c r="K102" s="33"/>
      <c r="L102" s="33"/>
      <c r="M102" s="33"/>
      <c r="N102" s="33"/>
      <c r="O102" s="33"/>
      <c r="P102" s="33"/>
      <c r="Q102" s="33"/>
      <c r="R102" s="33"/>
      <c r="S102" s="33"/>
      <c r="T102" s="33"/>
    </row>
    <row r="103" spans="1:20">
      <c r="A103" s="90">
        <v>46043</v>
      </c>
      <c r="B103" s="96" t="s">
        <v>2463</v>
      </c>
      <c r="C103" s="108" t="s">
        <v>2170</v>
      </c>
      <c r="D103" s="33"/>
      <c r="E103" s="107" t="s">
        <v>2169</v>
      </c>
      <c r="F103" s="33"/>
      <c r="G103" s="69" t="s">
        <v>2698</v>
      </c>
      <c r="H103" s="33"/>
      <c r="I103" s="33" t="s">
        <v>2497</v>
      </c>
      <c r="J103" s="33" t="s">
        <v>2699</v>
      </c>
      <c r="K103" s="33"/>
      <c r="L103" s="33"/>
      <c r="M103" s="33"/>
      <c r="N103" s="33"/>
      <c r="O103" s="33"/>
      <c r="P103" s="33"/>
      <c r="Q103" s="33"/>
      <c r="R103" s="33"/>
      <c r="S103" s="33"/>
      <c r="T103" s="33"/>
    </row>
    <row r="104" spans="1:20">
      <c r="A104" s="90">
        <v>46048</v>
      </c>
      <c r="B104" s="33" t="s">
        <v>2487</v>
      </c>
      <c r="C104" s="108" t="s">
        <v>2177</v>
      </c>
      <c r="D104" s="33"/>
      <c r="E104" s="107" t="s">
        <v>2176</v>
      </c>
      <c r="F104" s="120"/>
      <c r="G104" s="69" t="s">
        <v>2700</v>
      </c>
      <c r="H104" s="33"/>
      <c r="I104" s="33" t="s">
        <v>2497</v>
      </c>
      <c r="J104" s="33" t="s">
        <v>2486</v>
      </c>
      <c r="K104" s="33"/>
      <c r="L104" s="33"/>
      <c r="M104" s="33"/>
      <c r="N104" s="33"/>
      <c r="O104" s="33"/>
      <c r="P104" s="33"/>
      <c r="Q104" s="33"/>
      <c r="R104" s="33"/>
      <c r="S104" s="33"/>
      <c r="T104" s="33"/>
    </row>
    <row r="105" spans="1:20">
      <c r="A105" s="90">
        <v>46048</v>
      </c>
      <c r="B105" s="33" t="s">
        <v>2556</v>
      </c>
      <c r="C105" s="108" t="s">
        <v>2180</v>
      </c>
      <c r="D105" s="33"/>
      <c r="E105" s="107" t="s">
        <v>2179</v>
      </c>
      <c r="F105" s="33"/>
      <c r="G105" s="69" t="s">
        <v>2701</v>
      </c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</row>
    <row r="106" spans="1:20">
      <c r="A106" s="90">
        <v>46048</v>
      </c>
      <c r="B106" s="96" t="s">
        <v>2463</v>
      </c>
      <c r="C106" s="69" t="s">
        <v>2183</v>
      </c>
      <c r="D106" s="33" t="s">
        <v>2702</v>
      </c>
      <c r="E106" s="107" t="s">
        <v>2182</v>
      </c>
      <c r="F106" s="120"/>
      <c r="G106" s="69" t="s">
        <v>2703</v>
      </c>
      <c r="H106" s="33"/>
      <c r="I106" s="33"/>
      <c r="J106" s="33" t="s">
        <v>2687</v>
      </c>
      <c r="K106" s="33"/>
      <c r="L106" s="33"/>
      <c r="M106" s="33"/>
      <c r="N106" s="33"/>
      <c r="O106" s="90">
        <v>46051</v>
      </c>
      <c r="P106" s="33" t="s">
        <v>2704</v>
      </c>
      <c r="Q106" s="33" t="s">
        <v>2481</v>
      </c>
      <c r="R106" s="33" t="s">
        <v>2481</v>
      </c>
      <c r="S106" s="33" t="s">
        <v>2705</v>
      </c>
      <c r="T106" s="33" t="s">
        <v>2705</v>
      </c>
    </row>
    <row r="107" spans="1:20">
      <c r="A107" s="90">
        <v>46048</v>
      </c>
      <c r="B107" s="33" t="s">
        <v>2487</v>
      </c>
      <c r="C107" s="108" t="s">
        <v>252</v>
      </c>
      <c r="D107" s="33"/>
      <c r="E107" s="107" t="s">
        <v>1642</v>
      </c>
      <c r="F107" s="120"/>
      <c r="G107" s="69" t="s">
        <v>2682</v>
      </c>
      <c r="H107" s="33"/>
      <c r="I107" s="33" t="s">
        <v>2497</v>
      </c>
      <c r="J107" s="97" t="s">
        <v>2573</v>
      </c>
      <c r="K107" s="33"/>
      <c r="L107" s="33"/>
      <c r="M107" s="33"/>
      <c r="N107" s="33"/>
      <c r="O107" s="33"/>
      <c r="P107" s="33"/>
      <c r="Q107" s="33"/>
      <c r="R107" s="33"/>
      <c r="S107" s="33"/>
      <c r="T107" s="33"/>
    </row>
    <row r="108" spans="1:20">
      <c r="A108" s="90">
        <v>46048</v>
      </c>
      <c r="B108" s="33" t="s">
        <v>2487</v>
      </c>
      <c r="C108" s="108" t="s">
        <v>2187</v>
      </c>
      <c r="D108" s="33"/>
      <c r="E108" s="107" t="s">
        <v>2186</v>
      </c>
      <c r="F108" s="120"/>
      <c r="G108" s="69" t="s">
        <v>2706</v>
      </c>
      <c r="H108" s="33"/>
      <c r="I108" s="33" t="s">
        <v>2497</v>
      </c>
      <c r="J108" s="33" t="s">
        <v>2645</v>
      </c>
      <c r="K108" s="33"/>
      <c r="L108" s="33"/>
      <c r="M108" s="33"/>
      <c r="N108" s="33"/>
      <c r="O108" s="33"/>
      <c r="P108" s="33"/>
      <c r="Q108" s="33"/>
      <c r="R108" s="33"/>
      <c r="S108" s="33"/>
      <c r="T108" s="33"/>
    </row>
    <row r="109" spans="1:20">
      <c r="A109" s="90">
        <v>46048</v>
      </c>
      <c r="B109" s="33" t="s">
        <v>2487</v>
      </c>
      <c r="C109" s="108" t="s">
        <v>1271</v>
      </c>
      <c r="D109" s="33"/>
      <c r="E109" s="107" t="s">
        <v>2189</v>
      </c>
      <c r="F109" s="120"/>
      <c r="G109" s="69" t="s">
        <v>2707</v>
      </c>
      <c r="H109" s="33"/>
      <c r="I109" s="33" t="s">
        <v>2497</v>
      </c>
      <c r="J109" s="97" t="s">
        <v>2602</v>
      </c>
      <c r="K109" s="33"/>
      <c r="L109" s="33"/>
      <c r="M109" s="33"/>
      <c r="N109" s="33"/>
      <c r="O109" s="33"/>
      <c r="P109" s="33"/>
      <c r="Q109" s="33"/>
      <c r="R109" s="33"/>
      <c r="S109" s="33"/>
      <c r="T109" s="33"/>
    </row>
    <row r="110" spans="1:20">
      <c r="A110" s="90">
        <v>46048</v>
      </c>
      <c r="B110" s="96" t="s">
        <v>2463</v>
      </c>
      <c r="C110" s="108" t="s">
        <v>2192</v>
      </c>
      <c r="D110" s="33"/>
      <c r="E110" s="107" t="s">
        <v>2191</v>
      </c>
      <c r="F110" s="33"/>
      <c r="G110" s="69" t="s">
        <v>2708</v>
      </c>
      <c r="H110" s="33"/>
      <c r="I110" s="33" t="s">
        <v>2497</v>
      </c>
      <c r="J110" s="33" t="s">
        <v>2664</v>
      </c>
      <c r="K110" s="33"/>
      <c r="L110" s="33"/>
      <c r="M110" s="33"/>
      <c r="N110" s="33"/>
      <c r="O110" s="33"/>
      <c r="P110" s="33"/>
      <c r="Q110" s="33"/>
      <c r="R110" s="33"/>
      <c r="S110" s="33"/>
      <c r="T110" s="33"/>
    </row>
    <row r="111" spans="1:20">
      <c r="A111" s="90">
        <v>46048</v>
      </c>
      <c r="B111" s="33" t="s">
        <v>2487</v>
      </c>
      <c r="C111" s="108" t="s">
        <v>1271</v>
      </c>
      <c r="D111" s="33"/>
      <c r="E111" s="107" t="s">
        <v>2709</v>
      </c>
      <c r="F111" s="33"/>
      <c r="G111" s="69" t="s">
        <v>2710</v>
      </c>
      <c r="H111" s="33"/>
      <c r="I111" s="33" t="s">
        <v>2497</v>
      </c>
      <c r="J111" s="97" t="s">
        <v>2602</v>
      </c>
      <c r="K111" s="33"/>
      <c r="L111" s="33"/>
      <c r="M111" s="33"/>
      <c r="N111" s="33"/>
      <c r="O111" s="33"/>
      <c r="P111" s="33"/>
      <c r="Q111" s="33"/>
      <c r="R111" s="33"/>
      <c r="S111" s="33"/>
      <c r="T111" s="33"/>
    </row>
    <row r="112" spans="1:20">
      <c r="A112" s="90">
        <v>46048</v>
      </c>
      <c r="B112" s="33" t="s">
        <v>2487</v>
      </c>
      <c r="C112" s="108" t="s">
        <v>90</v>
      </c>
      <c r="D112" s="33"/>
      <c r="E112" s="107" t="s">
        <v>2194</v>
      </c>
      <c r="F112" s="33"/>
      <c r="G112" s="69" t="s">
        <v>2711</v>
      </c>
      <c r="H112" s="33"/>
      <c r="I112" s="33" t="s">
        <v>2497</v>
      </c>
      <c r="J112" s="33" t="s">
        <v>2557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</row>
    <row r="113" spans="1:20">
      <c r="A113" s="90">
        <v>46048</v>
      </c>
      <c r="B113" s="33" t="s">
        <v>2487</v>
      </c>
      <c r="C113" s="108" t="s">
        <v>126</v>
      </c>
      <c r="D113" s="33"/>
      <c r="E113" s="107" t="s">
        <v>2196</v>
      </c>
      <c r="F113" s="120"/>
      <c r="G113" s="69" t="s">
        <v>2712</v>
      </c>
      <c r="H113" s="33"/>
      <c r="I113" s="33"/>
      <c r="J113" s="33" t="s">
        <v>2713</v>
      </c>
      <c r="K113" s="33"/>
      <c r="L113" s="33"/>
      <c r="M113" s="33"/>
      <c r="N113" s="33"/>
      <c r="O113" s="33"/>
      <c r="P113" s="33"/>
      <c r="Q113" s="33"/>
      <c r="R113" s="33"/>
      <c r="S113" s="33"/>
      <c r="T113" s="33"/>
    </row>
    <row r="114" spans="1:20">
      <c r="A114" s="90">
        <v>46048</v>
      </c>
      <c r="B114" s="33" t="s">
        <v>2556</v>
      </c>
      <c r="C114" s="108" t="s">
        <v>2061</v>
      </c>
      <c r="D114" s="33"/>
      <c r="E114" s="107" t="s">
        <v>2060</v>
      </c>
      <c r="F114" s="33"/>
      <c r="G114" s="69" t="s">
        <v>2714</v>
      </c>
      <c r="H114" s="33"/>
      <c r="I114" s="33"/>
      <c r="J114" s="103" t="s">
        <v>2475</v>
      </c>
      <c r="K114" s="33"/>
      <c r="L114" s="33"/>
      <c r="M114" s="33"/>
      <c r="N114" s="33"/>
      <c r="O114" s="33"/>
      <c r="P114" s="33"/>
      <c r="Q114" s="33"/>
      <c r="R114" s="33"/>
      <c r="S114" s="33"/>
      <c r="T114" s="33"/>
    </row>
    <row r="115" spans="1:20">
      <c r="A115" s="90">
        <v>46048</v>
      </c>
      <c r="B115" s="33" t="s">
        <v>2556</v>
      </c>
      <c r="C115" s="108" t="s">
        <v>2199</v>
      </c>
      <c r="D115" s="33"/>
      <c r="E115" s="107" t="s">
        <v>2198</v>
      </c>
      <c r="F115" s="33"/>
      <c r="G115" s="69" t="s">
        <v>2715</v>
      </c>
      <c r="H115" s="33"/>
      <c r="I115" s="33"/>
      <c r="J115" s="103" t="s">
        <v>2475</v>
      </c>
      <c r="K115" s="33"/>
      <c r="L115" s="33"/>
      <c r="M115" s="33"/>
      <c r="N115" s="33"/>
      <c r="O115" s="33"/>
      <c r="P115" s="33"/>
      <c r="Q115" s="33"/>
      <c r="R115" s="33"/>
      <c r="S115" s="33"/>
      <c r="T115" s="33"/>
    </row>
    <row r="116" spans="1:20">
      <c r="A116" s="90">
        <v>46048</v>
      </c>
      <c r="B116" s="33" t="s">
        <v>2487</v>
      </c>
      <c r="C116" s="108" t="s">
        <v>2716</v>
      </c>
      <c r="D116" s="33"/>
      <c r="E116" s="107" t="s">
        <v>2201</v>
      </c>
      <c r="F116" s="33"/>
      <c r="G116" s="69" t="s">
        <v>2717</v>
      </c>
      <c r="H116" s="33"/>
      <c r="I116" s="33" t="s">
        <v>2497</v>
      </c>
      <c r="J116" s="33" t="s">
        <v>2551</v>
      </c>
      <c r="K116" s="33"/>
      <c r="L116" s="33"/>
      <c r="M116" s="33"/>
      <c r="N116" s="33"/>
      <c r="O116" s="33"/>
      <c r="P116" s="33"/>
      <c r="Q116" s="33"/>
      <c r="R116" s="33"/>
      <c r="S116" s="33"/>
      <c r="T116" s="33"/>
    </row>
    <row r="117" spans="1:20">
      <c r="A117" s="90">
        <v>46048</v>
      </c>
      <c r="B117" s="96" t="s">
        <v>2463</v>
      </c>
      <c r="C117" s="108" t="s">
        <v>2075</v>
      </c>
      <c r="D117" s="33"/>
      <c r="E117" s="107" t="s">
        <v>2074</v>
      </c>
      <c r="F117" s="33"/>
      <c r="G117" s="69" t="s">
        <v>2718</v>
      </c>
      <c r="H117" s="33"/>
      <c r="I117" s="33" t="s">
        <v>2497</v>
      </c>
      <c r="J117" s="33" t="s">
        <v>2557</v>
      </c>
      <c r="K117" s="33"/>
      <c r="L117" s="33"/>
      <c r="M117" s="33"/>
      <c r="N117" s="33"/>
      <c r="O117" s="33"/>
      <c r="P117" s="33"/>
      <c r="Q117" s="33"/>
      <c r="R117" s="33"/>
      <c r="S117" s="33"/>
      <c r="T117" s="33"/>
    </row>
    <row r="118" spans="1:20">
      <c r="A118" s="90">
        <v>46048</v>
      </c>
      <c r="B118" s="33" t="s">
        <v>2556</v>
      </c>
      <c r="C118" s="108" t="s">
        <v>2027</v>
      </c>
      <c r="D118" s="33"/>
      <c r="E118" s="107" t="s">
        <v>2026</v>
      </c>
      <c r="F118" s="33"/>
      <c r="G118" s="69" t="s">
        <v>2719</v>
      </c>
      <c r="H118" s="33"/>
      <c r="I118" s="33" t="s">
        <v>2497</v>
      </c>
      <c r="J118" s="33" t="s">
        <v>2577</v>
      </c>
      <c r="K118" s="33"/>
      <c r="L118" s="33"/>
      <c r="M118" s="33"/>
      <c r="N118" s="33"/>
      <c r="O118" s="33"/>
      <c r="P118" s="33"/>
      <c r="Q118" s="33"/>
      <c r="R118" s="33"/>
      <c r="S118" s="33"/>
      <c r="T118" s="33"/>
    </row>
    <row r="119" spans="1:20">
      <c r="A119" s="90">
        <v>46048</v>
      </c>
      <c r="B119" s="33" t="s">
        <v>2487</v>
      </c>
      <c r="C119" s="108" t="s">
        <v>1840</v>
      </c>
      <c r="D119" s="33"/>
      <c r="E119" s="107" t="s">
        <v>2203</v>
      </c>
      <c r="F119" s="120"/>
      <c r="G119" s="69" t="s">
        <v>2720</v>
      </c>
      <c r="H119" s="33"/>
      <c r="I119" s="33" t="s">
        <v>2497</v>
      </c>
      <c r="J119" s="97" t="s">
        <v>2474</v>
      </c>
      <c r="K119" s="33"/>
      <c r="L119" s="33"/>
      <c r="M119" s="33"/>
      <c r="N119" s="33"/>
      <c r="O119" s="33"/>
      <c r="P119" s="33"/>
      <c r="Q119" s="33"/>
      <c r="R119" s="33"/>
      <c r="S119" s="33"/>
      <c r="T119" s="33"/>
    </row>
    <row r="120" spans="1:20">
      <c r="A120" s="90">
        <v>46048</v>
      </c>
      <c r="B120" s="96" t="s">
        <v>2463</v>
      </c>
      <c r="C120" s="108" t="s">
        <v>1037</v>
      </c>
      <c r="D120" s="33"/>
      <c r="E120" s="107" t="s">
        <v>2205</v>
      </c>
      <c r="F120" s="120"/>
      <c r="G120" s="69" t="s">
        <v>2721</v>
      </c>
      <c r="H120" s="33"/>
      <c r="I120" s="33" t="s">
        <v>2497</v>
      </c>
      <c r="J120" s="97" t="s">
        <v>2602</v>
      </c>
      <c r="K120" s="33"/>
      <c r="L120" s="33"/>
      <c r="M120" s="33"/>
      <c r="N120" s="33"/>
      <c r="O120" s="33"/>
      <c r="P120" s="33"/>
      <c r="Q120" s="33"/>
      <c r="R120" s="33"/>
      <c r="S120" s="33"/>
      <c r="T120" s="33"/>
    </row>
    <row r="121" spans="1:20">
      <c r="A121" s="90">
        <v>46048</v>
      </c>
      <c r="B121" s="96" t="s">
        <v>2463</v>
      </c>
      <c r="C121" s="108" t="s">
        <v>2208</v>
      </c>
      <c r="D121" s="33"/>
      <c r="E121" s="107" t="s">
        <v>2207</v>
      </c>
      <c r="F121" s="33"/>
      <c r="G121" s="69" t="s">
        <v>2722</v>
      </c>
      <c r="H121" s="33"/>
      <c r="I121" s="33" t="s">
        <v>2497</v>
      </c>
      <c r="J121" s="33" t="s">
        <v>2577</v>
      </c>
      <c r="K121" s="33"/>
      <c r="L121" s="33"/>
      <c r="M121" s="33"/>
      <c r="N121" s="33"/>
      <c r="O121" s="33"/>
      <c r="P121" s="33"/>
      <c r="Q121" s="33"/>
      <c r="R121" s="33"/>
      <c r="S121" s="33"/>
      <c r="T121" s="33"/>
    </row>
    <row r="122" spans="1:20">
      <c r="A122" s="90">
        <v>46048</v>
      </c>
      <c r="B122" s="33" t="s">
        <v>2487</v>
      </c>
      <c r="C122" s="108" t="s">
        <v>1008</v>
      </c>
      <c r="D122" s="33"/>
      <c r="E122" s="107" t="s">
        <v>2210</v>
      </c>
      <c r="F122" s="120"/>
      <c r="G122" s="69" t="s">
        <v>2723</v>
      </c>
      <c r="H122" s="33"/>
      <c r="I122" s="33" t="s">
        <v>2497</v>
      </c>
      <c r="J122" s="97" t="s">
        <v>2540</v>
      </c>
      <c r="K122" s="33"/>
      <c r="L122" s="33"/>
      <c r="M122" s="33"/>
      <c r="N122" s="33"/>
      <c r="O122" s="33"/>
      <c r="P122" s="33"/>
      <c r="Q122" s="33"/>
      <c r="R122" s="33"/>
      <c r="S122" s="33"/>
      <c r="T122" s="33"/>
    </row>
    <row r="123" spans="1:20">
      <c r="A123" s="90">
        <v>46049</v>
      </c>
      <c r="B123" s="33" t="s">
        <v>2487</v>
      </c>
      <c r="C123" s="108" t="s">
        <v>869</v>
      </c>
      <c r="D123" s="33"/>
      <c r="E123" s="107" t="s">
        <v>2212</v>
      </c>
      <c r="F123" s="120"/>
      <c r="G123" s="69" t="s">
        <v>2724</v>
      </c>
      <c r="H123" s="33"/>
      <c r="I123" s="33" t="s">
        <v>2497</v>
      </c>
      <c r="J123" s="33" t="s">
        <v>2725</v>
      </c>
      <c r="K123" s="33"/>
      <c r="L123" s="33"/>
      <c r="M123" s="33"/>
      <c r="N123" s="33"/>
      <c r="O123" s="33"/>
      <c r="P123" s="33"/>
      <c r="Q123" s="33"/>
      <c r="R123" s="33"/>
      <c r="S123" s="33"/>
      <c r="T123" s="33"/>
    </row>
    <row r="124" spans="1:20">
      <c r="A124" s="90">
        <v>46050</v>
      </c>
      <c r="B124" s="96" t="s">
        <v>2463</v>
      </c>
      <c r="C124" s="69" t="s">
        <v>2218</v>
      </c>
      <c r="D124" s="33" t="s">
        <v>2726</v>
      </c>
      <c r="E124" s="107" t="s">
        <v>2217</v>
      </c>
      <c r="F124" s="33"/>
      <c r="G124" s="69" t="s">
        <v>2727</v>
      </c>
      <c r="H124" s="33"/>
      <c r="I124" s="33"/>
      <c r="J124" s="33" t="s">
        <v>2632</v>
      </c>
      <c r="K124" s="33"/>
      <c r="L124" s="33"/>
      <c r="M124" s="33"/>
      <c r="N124" s="33"/>
      <c r="O124" s="90">
        <v>46062</v>
      </c>
      <c r="P124" s="33" t="s">
        <v>2728</v>
      </c>
      <c r="Q124" s="33"/>
      <c r="R124" s="33"/>
      <c r="S124" s="33"/>
      <c r="T124" s="33"/>
    </row>
    <row r="125" spans="1:20">
      <c r="A125" s="90">
        <v>46055</v>
      </c>
      <c r="B125" s="33" t="s">
        <v>2487</v>
      </c>
      <c r="C125" s="108" t="s">
        <v>1302</v>
      </c>
      <c r="D125" s="33"/>
      <c r="E125" s="107" t="s">
        <v>2220</v>
      </c>
      <c r="F125" s="120"/>
      <c r="G125" s="69" t="s">
        <v>2729</v>
      </c>
      <c r="H125" s="33"/>
      <c r="I125" s="33"/>
      <c r="J125" s="33" t="s">
        <v>2664</v>
      </c>
      <c r="K125" s="33"/>
      <c r="L125" s="33"/>
      <c r="M125" s="33"/>
      <c r="N125" s="33"/>
      <c r="O125" s="33"/>
      <c r="P125" s="33"/>
      <c r="Q125" s="33"/>
      <c r="R125" s="33"/>
      <c r="S125" s="33"/>
      <c r="T125" s="33"/>
    </row>
    <row r="126" spans="1:20">
      <c r="A126" s="90">
        <v>46056</v>
      </c>
      <c r="B126" s="33" t="s">
        <v>2556</v>
      </c>
      <c r="C126" s="110" t="s">
        <v>2695</v>
      </c>
      <c r="D126" s="33"/>
      <c r="E126" s="107" t="s">
        <v>2152</v>
      </c>
      <c r="F126" s="120"/>
      <c r="G126" s="69" t="s">
        <v>2730</v>
      </c>
      <c r="H126" s="33"/>
      <c r="I126" s="33"/>
      <c r="J126" s="103" t="s">
        <v>2475</v>
      </c>
      <c r="K126" s="33"/>
      <c r="L126" s="33"/>
      <c r="M126" s="33"/>
      <c r="N126" s="33"/>
      <c r="O126" s="33"/>
      <c r="P126" s="33"/>
      <c r="Q126" s="33"/>
      <c r="R126" s="33"/>
      <c r="S126" s="33"/>
      <c r="T126" s="33"/>
    </row>
    <row r="127" spans="1:20">
      <c r="A127" s="90">
        <v>46056</v>
      </c>
      <c r="B127" s="33" t="s">
        <v>2487</v>
      </c>
      <c r="C127" s="108" t="s">
        <v>892</v>
      </c>
      <c r="D127" s="33"/>
      <c r="E127" s="107" t="s">
        <v>2223</v>
      </c>
      <c r="F127" s="120"/>
      <c r="G127" s="69" t="s">
        <v>2731</v>
      </c>
      <c r="H127" s="33"/>
      <c r="I127" s="33"/>
      <c r="J127" s="33" t="s">
        <v>2699</v>
      </c>
      <c r="K127" s="33"/>
      <c r="L127" s="33"/>
      <c r="M127" s="33"/>
      <c r="N127" s="33"/>
      <c r="O127" s="33"/>
      <c r="P127" s="33"/>
      <c r="Q127" s="33"/>
      <c r="R127" s="33"/>
      <c r="S127" s="33"/>
      <c r="T127" s="33"/>
    </row>
    <row r="128" spans="1:20">
      <c r="A128" s="90">
        <v>46056</v>
      </c>
      <c r="B128" s="33" t="s">
        <v>2487</v>
      </c>
      <c r="C128" s="108" t="s">
        <v>2226</v>
      </c>
      <c r="D128" s="33"/>
      <c r="E128" s="107" t="s">
        <v>2225</v>
      </c>
      <c r="F128" s="120"/>
      <c r="G128" s="69" t="s">
        <v>2732</v>
      </c>
      <c r="H128" s="94">
        <v>45839</v>
      </c>
      <c r="I128" s="33"/>
      <c r="J128" s="33" t="s">
        <v>2590</v>
      </c>
      <c r="K128" s="33"/>
      <c r="L128" s="33"/>
      <c r="M128" s="33"/>
      <c r="N128" s="33"/>
      <c r="O128" s="33"/>
      <c r="P128" s="33"/>
      <c r="Q128" s="33"/>
      <c r="R128" s="33"/>
      <c r="S128" s="33"/>
      <c r="T128" s="33"/>
    </row>
    <row r="129" spans="1:20">
      <c r="A129" s="90">
        <v>46056</v>
      </c>
      <c r="B129" s="33" t="s">
        <v>2487</v>
      </c>
      <c r="C129" s="108" t="s">
        <v>252</v>
      </c>
      <c r="D129" s="33"/>
      <c r="E129" s="107" t="s">
        <v>2733</v>
      </c>
      <c r="F129" s="33"/>
      <c r="G129" s="69" t="s">
        <v>2734</v>
      </c>
      <c r="H129" s="33"/>
      <c r="I129" s="33"/>
      <c r="J129" s="33" t="s">
        <v>2573</v>
      </c>
      <c r="K129" s="33"/>
      <c r="L129" s="33"/>
      <c r="M129" s="33"/>
      <c r="N129" s="33"/>
      <c r="O129" s="33"/>
      <c r="P129" s="33"/>
      <c r="Q129" s="33"/>
      <c r="R129" s="33"/>
      <c r="S129" s="33"/>
      <c r="T129" s="33"/>
    </row>
    <row r="130" spans="1:20">
      <c r="A130" s="90">
        <v>46056</v>
      </c>
      <c r="B130" s="33" t="s">
        <v>2487</v>
      </c>
      <c r="C130" s="110" t="s">
        <v>2735</v>
      </c>
      <c r="D130" s="33"/>
      <c r="E130" s="107" t="s">
        <v>2228</v>
      </c>
      <c r="F130" s="33"/>
      <c r="G130" s="69" t="s">
        <v>2736</v>
      </c>
      <c r="H130" s="94">
        <v>45536</v>
      </c>
      <c r="I130" s="33"/>
      <c r="J130" s="33" t="s">
        <v>2532</v>
      </c>
      <c r="K130" s="33" t="s">
        <v>2737</v>
      </c>
      <c r="L130" s="33"/>
      <c r="M130" s="33"/>
      <c r="N130" s="33"/>
      <c r="O130" s="33"/>
      <c r="P130" s="33"/>
      <c r="Q130" s="33"/>
      <c r="R130" s="33"/>
      <c r="S130" s="33"/>
      <c r="T130" s="33"/>
    </row>
    <row r="131" spans="1:20">
      <c r="A131" s="90">
        <v>46056</v>
      </c>
      <c r="B131" s="33" t="s">
        <v>2487</v>
      </c>
      <c r="C131" s="108" t="s">
        <v>252</v>
      </c>
      <c r="D131" s="33"/>
      <c r="E131" s="107" t="s">
        <v>1642</v>
      </c>
      <c r="F131" s="120"/>
      <c r="G131" s="69" t="s">
        <v>2682</v>
      </c>
      <c r="H131" s="33"/>
      <c r="I131" s="33"/>
      <c r="J131" s="33" t="s">
        <v>2573</v>
      </c>
      <c r="K131" s="33"/>
      <c r="L131" s="33"/>
      <c r="M131" s="33"/>
      <c r="N131" s="33"/>
      <c r="O131" s="33"/>
      <c r="P131" s="33"/>
      <c r="Q131" s="33"/>
      <c r="R131" s="33"/>
      <c r="S131" s="33"/>
      <c r="T131" s="33"/>
    </row>
    <row r="132" spans="1:20">
      <c r="A132" s="90">
        <v>46056</v>
      </c>
      <c r="B132" s="33" t="s">
        <v>2556</v>
      </c>
      <c r="C132" s="108" t="s">
        <v>2232</v>
      </c>
      <c r="D132" s="33"/>
      <c r="E132" s="107" t="s">
        <v>2231</v>
      </c>
      <c r="F132" s="120"/>
      <c r="G132" s="69" t="s">
        <v>2738</v>
      </c>
      <c r="H132" s="33"/>
      <c r="I132" s="33"/>
      <c r="J132" s="33" t="s">
        <v>2687</v>
      </c>
      <c r="K132" s="33"/>
      <c r="L132" s="33"/>
      <c r="M132" s="33"/>
      <c r="N132" s="33"/>
      <c r="O132" s="33"/>
      <c r="P132" s="33"/>
      <c r="Q132" s="33"/>
      <c r="R132" s="33"/>
      <c r="S132" s="33"/>
      <c r="T132" s="33"/>
    </row>
    <row r="133" spans="1:20">
      <c r="A133" s="90">
        <v>46056</v>
      </c>
      <c r="B133" s="96" t="s">
        <v>2463</v>
      </c>
      <c r="C133" s="108" t="s">
        <v>965</v>
      </c>
      <c r="D133" s="33"/>
      <c r="E133" s="107" t="s">
        <v>2235</v>
      </c>
      <c r="F133" s="120"/>
      <c r="G133" s="69" t="s">
        <v>2739</v>
      </c>
      <c r="H133" s="33"/>
      <c r="I133" s="33"/>
      <c r="J133" s="33" t="s">
        <v>2725</v>
      </c>
      <c r="K133" s="33"/>
      <c r="L133" s="33"/>
      <c r="M133" s="33"/>
      <c r="N133" s="33"/>
      <c r="O133" s="33"/>
      <c r="P133" s="33"/>
      <c r="Q133" s="33"/>
      <c r="R133" s="33"/>
      <c r="S133" s="33"/>
      <c r="T133" s="33"/>
    </row>
    <row r="134" spans="1:20">
      <c r="A134" s="90">
        <v>46056</v>
      </c>
      <c r="B134" s="33" t="s">
        <v>2487</v>
      </c>
      <c r="C134" s="108" t="s">
        <v>2187</v>
      </c>
      <c r="D134" s="33"/>
      <c r="E134" s="107" t="s">
        <v>2186</v>
      </c>
      <c r="F134" s="120"/>
      <c r="G134" s="69" t="s">
        <v>2706</v>
      </c>
      <c r="H134" s="33"/>
      <c r="I134" s="33"/>
      <c r="J134" s="33" t="s">
        <v>2613</v>
      </c>
      <c r="K134" s="33"/>
      <c r="L134" s="33"/>
      <c r="M134" s="33"/>
      <c r="N134" s="33"/>
      <c r="O134" s="33"/>
      <c r="P134" s="33"/>
      <c r="Q134" s="33"/>
      <c r="R134" s="33"/>
      <c r="S134" s="33"/>
      <c r="T134" s="33"/>
    </row>
    <row r="135" spans="1:20">
      <c r="A135" s="90">
        <v>46056</v>
      </c>
      <c r="B135" s="96" t="s">
        <v>2463</v>
      </c>
      <c r="C135" s="69" t="s">
        <v>2740</v>
      </c>
      <c r="D135" s="33"/>
      <c r="E135" s="107" t="s">
        <v>2237</v>
      </c>
      <c r="F135" s="120"/>
      <c r="G135" s="69" t="s">
        <v>2741</v>
      </c>
      <c r="H135" s="33"/>
      <c r="I135" s="33"/>
      <c r="J135" s="33" t="s">
        <v>2687</v>
      </c>
      <c r="K135" s="33"/>
      <c r="L135" s="33"/>
      <c r="M135" s="33"/>
      <c r="N135" s="33"/>
      <c r="O135" s="33"/>
      <c r="P135" s="33"/>
      <c r="Q135" s="33"/>
      <c r="R135" s="33"/>
      <c r="S135" s="33"/>
      <c r="T135" s="33"/>
    </row>
    <row r="136" spans="1:20">
      <c r="A136" s="90">
        <v>46056</v>
      </c>
      <c r="B136" s="33" t="s">
        <v>2556</v>
      </c>
      <c r="C136" s="108" t="s">
        <v>2742</v>
      </c>
      <c r="D136" s="33"/>
      <c r="E136" s="107" t="s">
        <v>2240</v>
      </c>
      <c r="F136" s="120"/>
      <c r="G136" s="69" t="s">
        <v>2743</v>
      </c>
      <c r="H136" s="33"/>
      <c r="I136" s="33"/>
      <c r="J136" s="103" t="s">
        <v>2475</v>
      </c>
      <c r="K136" s="33"/>
      <c r="L136" s="33"/>
      <c r="M136" s="33"/>
      <c r="N136" s="33"/>
      <c r="O136" s="33"/>
      <c r="P136" s="33"/>
      <c r="Q136" s="33"/>
      <c r="R136" s="33"/>
      <c r="S136" s="33"/>
      <c r="T136" s="33"/>
    </row>
    <row r="137" spans="1:20">
      <c r="A137" s="90">
        <v>46056</v>
      </c>
      <c r="B137" s="96" t="s">
        <v>2463</v>
      </c>
      <c r="C137" s="69" t="s">
        <v>2244</v>
      </c>
      <c r="D137" s="33"/>
      <c r="E137" s="107" t="s">
        <v>2243</v>
      </c>
      <c r="F137" s="33" t="s">
        <v>2744</v>
      </c>
      <c r="G137" s="69" t="s">
        <v>2745</v>
      </c>
      <c r="H137" s="94">
        <v>45323</v>
      </c>
      <c r="I137" s="33" t="s">
        <v>2505</v>
      </c>
      <c r="J137" s="33" t="s">
        <v>2602</v>
      </c>
      <c r="K137" s="33"/>
      <c r="L137" s="33"/>
      <c r="M137" s="33"/>
      <c r="N137" s="33"/>
      <c r="O137" s="33"/>
      <c r="P137" s="33"/>
      <c r="Q137" s="33"/>
      <c r="R137" s="33"/>
      <c r="S137" s="33"/>
      <c r="T137" s="33"/>
    </row>
    <row r="138" spans="1:20">
      <c r="A138" s="90">
        <v>46056</v>
      </c>
      <c r="B138" s="96" t="s">
        <v>2463</v>
      </c>
      <c r="C138" s="108" t="s">
        <v>1978</v>
      </c>
      <c r="D138" s="33"/>
      <c r="E138" s="107" t="s">
        <v>1977</v>
      </c>
      <c r="F138" s="33"/>
      <c r="G138" s="69" t="s">
        <v>2746</v>
      </c>
      <c r="H138" s="33"/>
      <c r="I138" s="33"/>
      <c r="J138" s="33" t="s">
        <v>2687</v>
      </c>
      <c r="K138" s="33"/>
      <c r="L138" s="33"/>
      <c r="M138" s="33"/>
      <c r="N138" s="33"/>
      <c r="O138" s="33"/>
      <c r="P138" s="33"/>
      <c r="Q138" s="33"/>
      <c r="R138" s="33"/>
      <c r="S138" s="33"/>
      <c r="T138" s="33"/>
    </row>
    <row r="139" spans="1:20">
      <c r="A139" s="90">
        <v>46056</v>
      </c>
      <c r="B139" s="33" t="s">
        <v>2487</v>
      </c>
      <c r="C139" s="108" t="s">
        <v>252</v>
      </c>
      <c r="D139" s="33"/>
      <c r="E139" s="107" t="s">
        <v>1988</v>
      </c>
      <c r="F139" s="120"/>
      <c r="G139" s="69" t="s">
        <v>2747</v>
      </c>
      <c r="H139" s="33"/>
      <c r="I139" s="33"/>
      <c r="J139" s="33" t="s">
        <v>2573</v>
      </c>
      <c r="K139" s="33"/>
      <c r="L139" s="33"/>
      <c r="M139" s="33"/>
      <c r="N139" s="33"/>
      <c r="O139" s="33"/>
      <c r="P139" s="33"/>
      <c r="Q139" s="33"/>
      <c r="R139" s="33"/>
      <c r="S139" s="33"/>
      <c r="T139" s="33"/>
    </row>
    <row r="140" spans="1:20">
      <c r="A140" s="90">
        <v>46056</v>
      </c>
      <c r="B140" s="96" t="s">
        <v>2463</v>
      </c>
      <c r="C140" s="108" t="s">
        <v>2247</v>
      </c>
      <c r="D140" s="33"/>
      <c r="E140" s="107" t="s">
        <v>2246</v>
      </c>
      <c r="F140" s="33"/>
      <c r="G140" s="69" t="s">
        <v>2748</v>
      </c>
      <c r="H140" s="94">
        <v>45839</v>
      </c>
      <c r="I140" s="33"/>
      <c r="J140" s="33" t="s">
        <v>2749</v>
      </c>
      <c r="K140" s="33"/>
      <c r="L140" s="33"/>
      <c r="M140" s="33"/>
      <c r="N140" s="33"/>
      <c r="O140" s="33"/>
      <c r="P140" s="33"/>
      <c r="Q140" s="33"/>
      <c r="R140" s="33"/>
      <c r="S140" s="33"/>
      <c r="T140" s="33"/>
    </row>
    <row r="141" spans="1:20">
      <c r="A141" s="90">
        <v>46056</v>
      </c>
      <c r="B141" s="33" t="s">
        <v>2487</v>
      </c>
      <c r="C141" s="108" t="s">
        <v>2250</v>
      </c>
      <c r="D141" s="33"/>
      <c r="E141" s="107" t="s">
        <v>2249</v>
      </c>
      <c r="F141" s="33"/>
      <c r="G141" s="69" t="s">
        <v>2750</v>
      </c>
      <c r="H141" s="33"/>
      <c r="I141" s="33"/>
      <c r="J141" s="33" t="s">
        <v>2751</v>
      </c>
      <c r="K141" s="33"/>
      <c r="L141" s="33"/>
      <c r="M141" s="33"/>
      <c r="N141" s="33"/>
      <c r="O141" s="33"/>
      <c r="P141" s="33"/>
      <c r="Q141" s="33"/>
      <c r="R141" s="33"/>
      <c r="S141" s="33"/>
      <c r="T141" s="33"/>
    </row>
    <row r="142" spans="1:20">
      <c r="A142" s="90">
        <v>46056</v>
      </c>
      <c r="B142" s="96" t="s">
        <v>2463</v>
      </c>
      <c r="C142" s="112" t="s">
        <v>300</v>
      </c>
      <c r="D142" s="33"/>
      <c r="E142" s="107" t="s">
        <v>2252</v>
      </c>
      <c r="F142" s="33"/>
      <c r="G142" s="69" t="s">
        <v>2752</v>
      </c>
      <c r="H142" s="94">
        <v>45778</v>
      </c>
      <c r="I142" s="33"/>
      <c r="J142" s="33" t="s">
        <v>2602</v>
      </c>
      <c r="K142" s="33" t="s">
        <v>2753</v>
      </c>
      <c r="L142" s="33"/>
      <c r="M142" s="33"/>
      <c r="N142" s="33"/>
      <c r="O142" s="33"/>
      <c r="P142" s="33"/>
      <c r="Q142" s="33"/>
      <c r="R142" s="33"/>
      <c r="S142" s="33"/>
      <c r="T142" s="33"/>
    </row>
    <row r="143" spans="1:20">
      <c r="A143" s="90">
        <v>46056</v>
      </c>
      <c r="B143" s="33" t="s">
        <v>2556</v>
      </c>
      <c r="C143" s="108" t="s">
        <v>2255</v>
      </c>
      <c r="D143" s="33"/>
      <c r="E143" s="107" t="s">
        <v>2254</v>
      </c>
      <c r="F143" s="120"/>
      <c r="G143" s="69" t="s">
        <v>2754</v>
      </c>
      <c r="H143" s="33"/>
      <c r="I143" s="33"/>
      <c r="J143" s="103" t="s">
        <v>2475</v>
      </c>
      <c r="K143" s="33"/>
      <c r="L143" s="33"/>
      <c r="M143" s="33"/>
      <c r="N143" s="33"/>
      <c r="O143" s="33"/>
      <c r="P143" s="33"/>
      <c r="Q143" s="33"/>
      <c r="R143" s="33"/>
      <c r="S143" s="33"/>
      <c r="T143" s="33"/>
    </row>
    <row r="144" spans="1:20">
      <c r="A144" s="90">
        <v>46056</v>
      </c>
      <c r="B144" s="96" t="s">
        <v>2463</v>
      </c>
      <c r="C144" s="69" t="s">
        <v>2258</v>
      </c>
      <c r="D144" s="33"/>
      <c r="E144" s="107" t="s">
        <v>2257</v>
      </c>
      <c r="F144" s="120"/>
      <c r="G144" s="69" t="s">
        <v>2755</v>
      </c>
      <c r="H144" s="94">
        <v>45717</v>
      </c>
      <c r="I144" s="33" t="s">
        <v>2505</v>
      </c>
      <c r="J144" s="33" t="s">
        <v>2613</v>
      </c>
      <c r="K144" s="33"/>
      <c r="L144" s="33"/>
      <c r="M144" s="33"/>
      <c r="N144" s="33"/>
      <c r="O144" s="33"/>
      <c r="P144" s="33"/>
      <c r="Q144" s="33"/>
      <c r="R144" s="33"/>
      <c r="S144" s="33"/>
      <c r="T144" s="33"/>
    </row>
    <row r="145" spans="1:20">
      <c r="A145" s="90">
        <v>46056</v>
      </c>
      <c r="B145" s="33" t="s">
        <v>2487</v>
      </c>
      <c r="C145" s="108" t="s">
        <v>207</v>
      </c>
      <c r="D145" s="33"/>
      <c r="E145" s="107" t="s">
        <v>2260</v>
      </c>
      <c r="F145" s="33"/>
      <c r="G145" s="69" t="s">
        <v>2756</v>
      </c>
      <c r="H145" s="33"/>
      <c r="I145" s="33"/>
      <c r="J145" s="33" t="s">
        <v>2557</v>
      </c>
      <c r="K145" s="33"/>
      <c r="L145" s="33"/>
      <c r="M145" s="33"/>
      <c r="N145" s="33"/>
      <c r="O145" s="33"/>
      <c r="P145" s="33"/>
      <c r="Q145" s="33"/>
      <c r="R145" s="33"/>
      <c r="S145" s="33"/>
      <c r="T145" s="33"/>
    </row>
    <row r="146" spans="1:20">
      <c r="A146" s="90">
        <v>46056</v>
      </c>
      <c r="B146" s="33" t="s">
        <v>2487</v>
      </c>
      <c r="C146" s="108" t="s">
        <v>2263</v>
      </c>
      <c r="D146" s="33"/>
      <c r="E146" s="107" t="s">
        <v>2262</v>
      </c>
      <c r="F146" s="120"/>
      <c r="G146" s="69" t="s">
        <v>2757</v>
      </c>
      <c r="H146" s="94">
        <v>45901</v>
      </c>
      <c r="I146" s="33"/>
      <c r="J146" s="33" t="s">
        <v>2725</v>
      </c>
      <c r="K146" s="33"/>
      <c r="L146" s="33"/>
      <c r="M146" s="33"/>
      <c r="N146" s="33"/>
      <c r="O146" s="33"/>
      <c r="P146" s="33"/>
      <c r="Q146" s="33"/>
      <c r="R146" s="33"/>
      <c r="S146" s="33"/>
      <c r="T146" s="33"/>
    </row>
    <row r="147" spans="1:20">
      <c r="A147" s="90">
        <v>46056</v>
      </c>
      <c r="B147" s="96" t="s">
        <v>2463</v>
      </c>
      <c r="C147" s="69" t="s">
        <v>2266</v>
      </c>
      <c r="D147" s="33"/>
      <c r="E147" s="107" t="s">
        <v>2265</v>
      </c>
      <c r="F147" s="33"/>
      <c r="G147" s="69" t="s">
        <v>2758</v>
      </c>
      <c r="H147" s="33"/>
      <c r="I147" s="33" t="s">
        <v>2505</v>
      </c>
      <c r="J147" s="33" t="s">
        <v>2687</v>
      </c>
      <c r="K147" s="33"/>
      <c r="L147" s="33"/>
      <c r="M147" s="33"/>
      <c r="N147" s="33"/>
      <c r="O147" s="33"/>
      <c r="P147" s="33"/>
      <c r="Q147" s="33"/>
      <c r="R147" s="33"/>
      <c r="S147" s="33"/>
      <c r="T147" s="33"/>
    </row>
    <row r="148" spans="1:20">
      <c r="A148" s="90">
        <v>46056</v>
      </c>
      <c r="B148" s="96" t="s">
        <v>2463</v>
      </c>
      <c r="C148" s="112" t="s">
        <v>938</v>
      </c>
      <c r="D148" s="33"/>
      <c r="E148" s="107" t="s">
        <v>2268</v>
      </c>
      <c r="F148" s="120"/>
      <c r="G148" s="69" t="s">
        <v>2759</v>
      </c>
      <c r="H148" s="94">
        <v>45992</v>
      </c>
      <c r="I148" s="33"/>
      <c r="J148" s="33" t="s">
        <v>2602</v>
      </c>
      <c r="K148" s="33"/>
      <c r="L148" s="33"/>
      <c r="M148" s="33"/>
      <c r="N148" s="33"/>
      <c r="O148" s="33"/>
      <c r="P148" s="33"/>
      <c r="Q148" s="33"/>
      <c r="R148" s="33"/>
      <c r="S148" s="33"/>
      <c r="T148" s="33"/>
    </row>
    <row r="149" spans="1:20">
      <c r="A149" s="90">
        <v>46059</v>
      </c>
      <c r="B149" s="33" t="s">
        <v>2487</v>
      </c>
      <c r="C149" s="108" t="s">
        <v>1271</v>
      </c>
      <c r="D149" s="33"/>
      <c r="E149" s="107" t="s">
        <v>2270</v>
      </c>
      <c r="F149" s="120"/>
      <c r="G149" s="69" t="s">
        <v>2760</v>
      </c>
      <c r="H149" s="33"/>
      <c r="I149" s="33"/>
      <c r="J149" s="33" t="s">
        <v>2602</v>
      </c>
      <c r="K149" s="33"/>
      <c r="L149" s="33"/>
      <c r="M149" s="33"/>
      <c r="N149" s="33"/>
      <c r="O149" s="33"/>
      <c r="P149" s="33"/>
      <c r="Q149" s="33"/>
      <c r="R149" s="33"/>
      <c r="S149" s="33"/>
      <c r="T149" s="33"/>
    </row>
    <row r="150" spans="1:20">
      <c r="A150" s="90">
        <v>46062</v>
      </c>
      <c r="B150" s="96" t="s">
        <v>2463</v>
      </c>
      <c r="C150" s="111" t="s">
        <v>2761</v>
      </c>
      <c r="D150" s="33"/>
      <c r="E150" s="107" t="s">
        <v>2273</v>
      </c>
      <c r="F150" s="33"/>
      <c r="G150" s="69" t="s">
        <v>2762</v>
      </c>
      <c r="H150" s="94">
        <v>45778</v>
      </c>
      <c r="I150" s="33"/>
      <c r="J150" s="33" t="s">
        <v>2602</v>
      </c>
      <c r="K150" s="33"/>
      <c r="L150" s="33"/>
      <c r="M150" s="33"/>
      <c r="N150" s="33"/>
      <c r="O150" s="33"/>
      <c r="P150" s="33"/>
      <c r="Q150" s="33"/>
      <c r="R150" s="33"/>
      <c r="S150" s="33"/>
      <c r="T150" s="33"/>
    </row>
    <row r="151" spans="1:20">
      <c r="A151" s="90">
        <v>46062</v>
      </c>
      <c r="B151" s="33" t="s">
        <v>2487</v>
      </c>
      <c r="C151" s="108" t="s">
        <v>925</v>
      </c>
      <c r="D151" s="33"/>
      <c r="E151" s="107" t="s">
        <v>2276</v>
      </c>
      <c r="F151" s="120"/>
      <c r="G151" s="69" t="s">
        <v>2763</v>
      </c>
      <c r="H151" s="94">
        <v>45597</v>
      </c>
      <c r="I151" s="33"/>
      <c r="J151" s="33" t="s">
        <v>2600</v>
      </c>
      <c r="K151" s="33" t="s">
        <v>2764</v>
      </c>
      <c r="L151" s="33"/>
      <c r="M151" s="33" t="s">
        <v>2765</v>
      </c>
      <c r="N151" s="33"/>
      <c r="O151" s="33"/>
      <c r="P151" s="33"/>
      <c r="Q151" s="33"/>
      <c r="R151" s="33"/>
      <c r="S151" s="33"/>
      <c r="T151" s="33"/>
    </row>
    <row r="152" spans="1:20">
      <c r="A152" s="90">
        <v>46065</v>
      </c>
      <c r="B152" s="33" t="s">
        <v>2556</v>
      </c>
      <c r="C152" s="132" t="s">
        <v>2180</v>
      </c>
      <c r="D152" s="33"/>
      <c r="E152" s="33"/>
      <c r="F152" s="33"/>
      <c r="G152" s="33"/>
      <c r="H152" s="33"/>
      <c r="I152" s="33"/>
      <c r="J152" s="103" t="s">
        <v>2475</v>
      </c>
      <c r="K152" s="33"/>
      <c r="L152" s="33"/>
      <c r="M152" s="33"/>
      <c r="N152" s="33"/>
      <c r="O152" s="33"/>
      <c r="P152" s="33"/>
      <c r="Q152" s="33"/>
      <c r="R152" s="33"/>
      <c r="S152" s="33"/>
      <c r="T152" s="33"/>
    </row>
    <row r="153" spans="1:20">
      <c r="A153" s="90">
        <v>46065</v>
      </c>
      <c r="B153" s="33" t="s">
        <v>2487</v>
      </c>
      <c r="C153" s="108" t="s">
        <v>252</v>
      </c>
      <c r="D153" s="33"/>
      <c r="E153" s="107" t="s">
        <v>1642</v>
      </c>
      <c r="F153" s="120"/>
      <c r="G153" s="69" t="s">
        <v>2682</v>
      </c>
      <c r="H153" s="33"/>
      <c r="I153" s="33"/>
      <c r="J153" s="33" t="s">
        <v>2590</v>
      </c>
      <c r="K153" s="33"/>
      <c r="L153" s="33"/>
      <c r="M153" s="33"/>
      <c r="N153" s="33"/>
      <c r="O153" s="33"/>
      <c r="P153" s="33"/>
      <c r="Q153" s="33"/>
      <c r="R153" s="33"/>
      <c r="S153" s="33"/>
      <c r="T153" s="33"/>
    </row>
    <row r="154" spans="1:20">
      <c r="A154" s="90">
        <v>46065</v>
      </c>
      <c r="B154" s="33" t="s">
        <v>2487</v>
      </c>
      <c r="C154" s="108" t="s">
        <v>1008</v>
      </c>
      <c r="D154" s="33"/>
      <c r="E154" s="107" t="s">
        <v>2279</v>
      </c>
      <c r="F154" s="120"/>
      <c r="G154" s="69" t="s">
        <v>2766</v>
      </c>
      <c r="H154" s="33"/>
      <c r="I154" s="33"/>
      <c r="J154" s="33" t="s">
        <v>2540</v>
      </c>
      <c r="K154" s="33"/>
      <c r="L154" s="33"/>
      <c r="M154" s="33"/>
      <c r="N154" s="33"/>
      <c r="O154" s="33"/>
      <c r="P154" s="33"/>
      <c r="Q154" s="33"/>
      <c r="R154" s="33"/>
      <c r="S154" s="33"/>
      <c r="T154" s="33"/>
    </row>
    <row r="155" spans="1:20">
      <c r="A155" s="90">
        <v>46065</v>
      </c>
      <c r="B155" s="33" t="s">
        <v>2487</v>
      </c>
      <c r="C155" s="108" t="s">
        <v>2283</v>
      </c>
      <c r="D155" s="33"/>
      <c r="E155" s="107" t="s">
        <v>2282</v>
      </c>
      <c r="F155" s="33"/>
      <c r="G155" s="69" t="s">
        <v>2767</v>
      </c>
      <c r="H155" s="33"/>
      <c r="I155" s="33"/>
      <c r="J155" s="33" t="s">
        <v>2751</v>
      </c>
      <c r="K155" s="33"/>
      <c r="L155" s="33"/>
      <c r="M155" s="33"/>
      <c r="N155" s="33"/>
      <c r="O155" s="33"/>
      <c r="P155" s="33"/>
      <c r="Q155" s="33"/>
      <c r="R155" s="33"/>
      <c r="S155" s="33"/>
      <c r="T155" s="33"/>
    </row>
    <row r="156" spans="1:20">
      <c r="A156" s="90">
        <v>46065</v>
      </c>
      <c r="B156" s="33" t="s">
        <v>2487</v>
      </c>
      <c r="C156" s="108" t="s">
        <v>1014</v>
      </c>
      <c r="D156" s="33"/>
      <c r="E156" s="107" t="s">
        <v>2285</v>
      </c>
      <c r="F156" s="33"/>
      <c r="G156" s="69" t="s">
        <v>2768</v>
      </c>
      <c r="H156" s="94">
        <v>45901</v>
      </c>
      <c r="I156" s="33"/>
      <c r="J156" s="33" t="s">
        <v>2551</v>
      </c>
      <c r="K156" s="33" t="s">
        <v>2769</v>
      </c>
      <c r="L156" s="33"/>
      <c r="M156" s="33"/>
      <c r="N156" s="33"/>
      <c r="O156" s="33"/>
      <c r="P156" s="33"/>
      <c r="Q156" s="33"/>
      <c r="R156" s="33"/>
      <c r="S156" s="33"/>
      <c r="T156" s="33"/>
    </row>
    <row r="157" spans="1:20">
      <c r="A157" s="90">
        <v>46065</v>
      </c>
      <c r="B157" s="96" t="s">
        <v>2463</v>
      </c>
      <c r="C157" s="69" t="s">
        <v>2770</v>
      </c>
      <c r="D157" s="33"/>
      <c r="E157" s="107" t="s">
        <v>2287</v>
      </c>
      <c r="F157" s="33"/>
      <c r="G157" s="69" t="s">
        <v>2771</v>
      </c>
      <c r="H157" s="94">
        <v>45717</v>
      </c>
      <c r="I157" s="33"/>
      <c r="J157" s="33" t="s">
        <v>2600</v>
      </c>
      <c r="K157" s="33" t="s">
        <v>2772</v>
      </c>
      <c r="L157" s="33"/>
      <c r="M157" s="33"/>
      <c r="N157" s="33"/>
      <c r="O157" s="33"/>
      <c r="P157" s="33"/>
      <c r="Q157" s="33"/>
      <c r="R157" s="33"/>
      <c r="S157" s="33"/>
      <c r="T157" s="33"/>
    </row>
    <row r="158" spans="1:20">
      <c r="A158" s="90">
        <v>46065</v>
      </c>
      <c r="B158" s="96" t="s">
        <v>2463</v>
      </c>
      <c r="C158" s="108" t="s">
        <v>2291</v>
      </c>
      <c r="D158" s="33"/>
      <c r="E158" s="107" t="s">
        <v>2290</v>
      </c>
      <c r="F158" s="33"/>
      <c r="G158" s="69" t="s">
        <v>2773</v>
      </c>
      <c r="H158" s="103" t="s">
        <v>2475</v>
      </c>
      <c r="I158" s="33"/>
      <c r="J158" s="103" t="s">
        <v>2475</v>
      </c>
      <c r="K158" s="33" t="s">
        <v>2774</v>
      </c>
      <c r="L158" s="33"/>
      <c r="M158" s="33"/>
      <c r="N158" s="33"/>
      <c r="O158" s="33"/>
      <c r="P158" s="33"/>
      <c r="Q158" s="33"/>
      <c r="R158" s="33"/>
      <c r="S158" s="33"/>
      <c r="T158" s="33"/>
    </row>
    <row r="159" spans="1:20">
      <c r="A159" s="90">
        <v>46065</v>
      </c>
      <c r="B159" s="33" t="s">
        <v>2487</v>
      </c>
      <c r="C159" s="108" t="s">
        <v>2166</v>
      </c>
      <c r="D159" s="33"/>
      <c r="E159" s="107" t="s">
        <v>2165</v>
      </c>
      <c r="F159" s="33"/>
      <c r="G159" s="69" t="s">
        <v>2167</v>
      </c>
      <c r="H159" s="94">
        <v>45505</v>
      </c>
      <c r="I159" s="33"/>
      <c r="J159" s="33" t="s">
        <v>2645</v>
      </c>
      <c r="K159" s="33" t="s">
        <v>2775</v>
      </c>
      <c r="L159" s="33"/>
      <c r="M159" s="33"/>
      <c r="N159" s="33"/>
      <c r="O159" s="33"/>
      <c r="P159" s="33"/>
      <c r="Q159" s="33"/>
      <c r="R159" s="33"/>
      <c r="S159" s="33"/>
      <c r="T159" s="33"/>
    </row>
    <row r="160" spans="1:20">
      <c r="A160" s="90">
        <v>46065</v>
      </c>
      <c r="B160" s="96" t="s">
        <v>2463</v>
      </c>
      <c r="C160" s="108" t="s">
        <v>2294</v>
      </c>
      <c r="D160" s="33"/>
      <c r="E160" s="107" t="s">
        <v>2293</v>
      </c>
      <c r="F160" s="120"/>
      <c r="G160" s="69" t="s">
        <v>2776</v>
      </c>
      <c r="H160" s="94">
        <v>45566</v>
      </c>
      <c r="I160" s="33"/>
      <c r="J160" s="33" t="s">
        <v>2583</v>
      </c>
      <c r="K160" s="33" t="s">
        <v>2777</v>
      </c>
      <c r="L160" s="33"/>
      <c r="M160" s="33"/>
      <c r="N160" s="33"/>
      <c r="O160" s="33"/>
      <c r="P160" s="33"/>
      <c r="Q160" s="33"/>
      <c r="R160" s="33"/>
      <c r="S160" s="33"/>
      <c r="T160" s="33"/>
    </row>
    <row r="161" spans="1:20">
      <c r="A161" s="90">
        <v>46065</v>
      </c>
      <c r="B161" s="96" t="s">
        <v>2463</v>
      </c>
      <c r="C161" s="108" t="s">
        <v>2078</v>
      </c>
      <c r="D161" s="33"/>
      <c r="E161" s="107" t="s">
        <v>2296</v>
      </c>
      <c r="F161" s="120"/>
      <c r="G161" s="69" t="s">
        <v>2778</v>
      </c>
      <c r="H161" s="94">
        <v>45748</v>
      </c>
      <c r="I161" s="33"/>
      <c r="J161" s="33" t="s">
        <v>2613</v>
      </c>
      <c r="K161" s="33"/>
      <c r="L161" s="33"/>
      <c r="M161" s="33"/>
      <c r="N161" s="33"/>
      <c r="O161" s="33"/>
      <c r="P161" s="33"/>
      <c r="Q161" s="33"/>
      <c r="R161" s="33"/>
      <c r="S161" s="33"/>
      <c r="T161" s="33"/>
    </row>
    <row r="162" spans="1:20">
      <c r="A162" s="90">
        <v>46065</v>
      </c>
      <c r="B162" s="96" t="s">
        <v>2463</v>
      </c>
      <c r="C162" s="69" t="s">
        <v>2779</v>
      </c>
      <c r="D162" s="33"/>
      <c r="E162" s="107" t="s">
        <v>2298</v>
      </c>
      <c r="F162" s="33"/>
      <c r="G162" s="69" t="s">
        <v>2780</v>
      </c>
      <c r="H162" s="94">
        <v>45931</v>
      </c>
      <c r="I162" s="33"/>
      <c r="J162" s="33" t="s">
        <v>2613</v>
      </c>
      <c r="K162" s="33" t="s">
        <v>2781</v>
      </c>
      <c r="L162" s="33"/>
      <c r="M162" s="33"/>
      <c r="N162" s="33"/>
      <c r="O162" s="33"/>
      <c r="P162" s="33"/>
      <c r="Q162" s="33"/>
      <c r="R162" s="33"/>
      <c r="S162" s="33"/>
      <c r="T162" s="33"/>
    </row>
    <row r="163" spans="1:20">
      <c r="A163" s="90">
        <v>46065</v>
      </c>
      <c r="B163" s="96" t="s">
        <v>2463</v>
      </c>
      <c r="C163" s="108" t="s">
        <v>2127</v>
      </c>
      <c r="D163" s="33"/>
      <c r="E163" s="107" t="s">
        <v>2301</v>
      </c>
      <c r="F163" s="33"/>
      <c r="G163" s="69" t="s">
        <v>2782</v>
      </c>
      <c r="H163" s="94">
        <v>45505</v>
      </c>
      <c r="I163" s="33"/>
      <c r="J163" s="33" t="s">
        <v>2645</v>
      </c>
      <c r="K163" s="33" t="s">
        <v>2783</v>
      </c>
      <c r="L163" s="33"/>
      <c r="M163" s="33"/>
      <c r="N163" s="33"/>
      <c r="O163" s="33"/>
      <c r="P163" s="33"/>
      <c r="Q163" s="33"/>
      <c r="R163" s="33"/>
      <c r="S163" s="33"/>
      <c r="T163" s="33"/>
    </row>
    <row r="164" spans="1:20">
      <c r="A164" s="90">
        <v>46065</v>
      </c>
      <c r="B164" s="96" t="s">
        <v>2463</v>
      </c>
      <c r="C164" s="108" t="s">
        <v>1476</v>
      </c>
      <c r="D164" s="33"/>
      <c r="E164" s="107" t="s">
        <v>1475</v>
      </c>
      <c r="F164" s="120"/>
      <c r="G164" s="69" t="s">
        <v>2678</v>
      </c>
      <c r="H164" s="94">
        <v>45627</v>
      </c>
      <c r="I164" s="33"/>
      <c r="J164" s="33" t="s">
        <v>2551</v>
      </c>
      <c r="K164" s="103" t="s">
        <v>2475</v>
      </c>
      <c r="L164" s="33"/>
      <c r="M164" s="33"/>
      <c r="N164" s="33"/>
      <c r="O164" s="33"/>
      <c r="P164" s="33"/>
      <c r="Q164" s="33"/>
      <c r="R164" s="33"/>
      <c r="S164" s="33"/>
      <c r="T164" s="33"/>
    </row>
    <row r="165" spans="1:20">
      <c r="A165" s="90">
        <v>46065</v>
      </c>
      <c r="B165" s="96" t="s">
        <v>2463</v>
      </c>
      <c r="C165" s="108" t="s">
        <v>2304</v>
      </c>
      <c r="D165" s="33"/>
      <c r="E165" s="107" t="s">
        <v>2303</v>
      </c>
      <c r="F165" s="120"/>
      <c r="G165" s="69" t="s">
        <v>2784</v>
      </c>
      <c r="H165" s="103" t="s">
        <v>2475</v>
      </c>
      <c r="I165" s="33"/>
      <c r="J165" s="103" t="s">
        <v>2475</v>
      </c>
      <c r="K165" s="33" t="s">
        <v>2785</v>
      </c>
      <c r="L165" s="33"/>
      <c r="M165" s="33"/>
      <c r="N165" s="33"/>
      <c r="O165" s="33"/>
      <c r="P165" s="33"/>
      <c r="Q165" s="33"/>
      <c r="R165" s="33"/>
      <c r="S165" s="33"/>
      <c r="T165" s="33"/>
    </row>
    <row r="166" spans="1:20">
      <c r="A166" s="90">
        <v>46070</v>
      </c>
      <c r="B166" s="96" t="s">
        <v>2463</v>
      </c>
      <c r="C166" s="69" t="s">
        <v>2307</v>
      </c>
      <c r="D166" s="33"/>
      <c r="E166" s="107" t="s">
        <v>2306</v>
      </c>
      <c r="F166" s="33"/>
      <c r="G166" s="69" t="s">
        <v>2786</v>
      </c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</row>
    <row r="167" spans="1:20">
      <c r="A167" s="90">
        <v>46071</v>
      </c>
      <c r="B167" s="33" t="s">
        <v>2556</v>
      </c>
      <c r="C167" s="69" t="s">
        <v>2314</v>
      </c>
      <c r="D167" s="33"/>
      <c r="E167" s="107" t="s">
        <v>2313</v>
      </c>
      <c r="F167" s="33"/>
      <c r="G167" s="69" t="s">
        <v>2787</v>
      </c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</row>
  </sheetData>
  <mergeCells count="2">
    <mergeCell ref="H1:N1"/>
    <mergeCell ref="H14:N14"/>
  </mergeCells>
  <phoneticPr fontId="18"/>
  <hyperlinks>
    <hyperlink ref="E75" r:id="rId1" xr:uid="{EE752FCF-083D-461E-87AC-2A1D1769A19F}"/>
    <hyperlink ref="E76" r:id="rId2" xr:uid="{9AA51674-8091-4074-A5CD-ED7E1D673DBF}"/>
    <hyperlink ref="E77" r:id="rId3" xr:uid="{FE6D3E14-0DDD-4325-9F53-9BE469C1ADE7}"/>
    <hyperlink ref="E78" r:id="rId4" xr:uid="{A7537232-DB05-4B15-BE86-85321F0BC14D}"/>
    <hyperlink ref="E79" r:id="rId5" xr:uid="{6DED595F-EA2B-422C-93EF-17A03860A3FF}"/>
    <hyperlink ref="E80" r:id="rId6" xr:uid="{5D301205-3295-4A80-A748-D51EE4EA55A2}"/>
    <hyperlink ref="E81" r:id="rId7" xr:uid="{513D58E5-DB1E-4EDD-8425-5EFB548B5866}"/>
    <hyperlink ref="E82" r:id="rId8" xr:uid="{74A637D7-E53D-499B-8F5F-08A8AACDB8F9}"/>
    <hyperlink ref="E83" r:id="rId9" xr:uid="{6C04DCF4-B83C-4D4F-870B-B74C8B23B831}"/>
    <hyperlink ref="E84" r:id="rId10" xr:uid="{1EE6B33D-2DF3-4E57-B7C8-9A5D4AF0543A}"/>
    <hyperlink ref="E85" r:id="rId11" xr:uid="{BEE8D620-A60C-4D98-813D-B63854E133BD}"/>
    <hyperlink ref="E86" r:id="rId12" xr:uid="{E04A547D-4999-46CF-B799-813EC66D8077}"/>
    <hyperlink ref="E87" r:id="rId13" xr:uid="{DCBE1689-D8E2-4FEA-9E9C-AA4BB462E44B}"/>
    <hyperlink ref="E88" r:id="rId14" xr:uid="{65DC5EDE-8C04-4745-AB22-DEE2D0829496}"/>
    <hyperlink ref="E89" r:id="rId15" xr:uid="{B9DB4A41-CDA9-4ADF-8785-C883370828AC}"/>
    <hyperlink ref="E90" r:id="rId16" xr:uid="{D4CAEE3E-F0F5-4243-B5E2-6AD700A34316}"/>
    <hyperlink ref="E91" r:id="rId17" xr:uid="{820E5BA1-FEA7-4EBA-A445-16C8B50EB3BE}"/>
    <hyperlink ref="E92" r:id="rId18" xr:uid="{4BB7C064-1176-44C3-9B8D-688E4530CAA9}"/>
    <hyperlink ref="E93" r:id="rId19" xr:uid="{2A0A1EBC-6C07-43FE-99FF-65C4F2640332}"/>
    <hyperlink ref="E94" r:id="rId20" xr:uid="{2ECCD503-4972-44CD-A5F5-D50191019A94}"/>
    <hyperlink ref="E95" r:id="rId21" xr:uid="{3E58CAC8-B5E4-49B6-BA27-F34261DA5A35}"/>
    <hyperlink ref="E96" r:id="rId22" xr:uid="{4B5EB56E-0B8E-49A4-87F4-12360053FC8B}"/>
    <hyperlink ref="E97" r:id="rId23" xr:uid="{3146DC55-1F10-477E-88ED-8768462E9B8B}"/>
    <hyperlink ref="E98" r:id="rId24" xr:uid="{EBBE5BCE-64BC-42D4-93ED-15CDAC287194}"/>
    <hyperlink ref="E99" r:id="rId25" xr:uid="{6E1082CA-AA83-4E37-86A9-6DCC2BECC572}"/>
    <hyperlink ref="E100" r:id="rId26" xr:uid="{A1327102-866E-4AC5-B6AA-A0D2A985DB8E}"/>
    <hyperlink ref="G101" r:id="rId27" xr:uid="{DBBB2067-91CD-4A7F-9430-75A3689981ED}"/>
    <hyperlink ref="E102" r:id="rId28" xr:uid="{9B44571F-1F70-4146-BCDC-0BC2A35F64ED}"/>
    <hyperlink ref="G102" r:id="rId29" xr:uid="{9EE52BA0-3737-4958-9D0A-37FCA9ED505D}"/>
    <hyperlink ref="E103" r:id="rId30" xr:uid="{07CABC91-4E85-4EA3-B4AC-1B21D72CAD08}"/>
    <hyperlink ref="E104" r:id="rId31" xr:uid="{165BCD0D-5B6F-4F87-A91A-D6EDE01CC9B5}"/>
    <hyperlink ref="E105" r:id="rId32" xr:uid="{F5860C54-5CE6-481A-8F13-E2201F99DF0B}"/>
    <hyperlink ref="E106" r:id="rId33" xr:uid="{16F99D16-6DFB-4732-875C-0F3D10BD0E01}"/>
    <hyperlink ref="E107" r:id="rId34" xr:uid="{84893B1A-426E-49F6-9067-27AE903FFF4C}"/>
    <hyperlink ref="E108" r:id="rId35" xr:uid="{B562099E-646F-49B9-BA9F-211435D4C9D1}"/>
    <hyperlink ref="E109" r:id="rId36" xr:uid="{720AE4F1-EDD4-4C83-AB48-5E78CDF2140F}"/>
    <hyperlink ref="E110" r:id="rId37" xr:uid="{2F98EB18-F6F0-4559-BDF2-FC5547F0B20B}"/>
    <hyperlink ref="E111" r:id="rId38" xr:uid="{303DEA40-FC9D-4B81-85AC-014A66E2E05D}"/>
    <hyperlink ref="E112" r:id="rId39" xr:uid="{9437A111-3F50-4467-A5FB-2396D9F18261}"/>
    <hyperlink ref="E113" r:id="rId40" xr:uid="{4CCC11C1-BBBC-4411-BF78-88A7A702F134}"/>
    <hyperlink ref="E114" r:id="rId41" xr:uid="{4A73CB74-1491-4B1C-AE79-5770499C93DB}"/>
    <hyperlink ref="E115" r:id="rId42" xr:uid="{D9619332-87DD-47D8-B9C3-AA9647D6BF62}"/>
    <hyperlink ref="E116" r:id="rId43" xr:uid="{7F2065E3-762D-4A35-81D3-3CCE0FC2859A}"/>
    <hyperlink ref="E117" r:id="rId44" xr:uid="{23B3F0A2-BDA7-4AEF-985A-866C74D8C666}"/>
    <hyperlink ref="E118" r:id="rId45" xr:uid="{98802C07-4808-4380-ABEA-059D85BEF27A}"/>
    <hyperlink ref="E119" r:id="rId46" xr:uid="{31B3438E-A6F5-4261-89CC-AA4D4BACCBD4}"/>
    <hyperlink ref="E120" r:id="rId47" xr:uid="{5949B74D-CA66-4A0F-BDE7-8FAF3F50FB42}"/>
    <hyperlink ref="E121" r:id="rId48" xr:uid="{27018C24-AB25-47F6-91AB-5E27886A6356}"/>
    <hyperlink ref="E122" r:id="rId49" xr:uid="{D2A9E260-AFB3-4F18-9227-C7BD74D3020A}"/>
    <hyperlink ref="E123" r:id="rId50" xr:uid="{64A9CAD8-588D-4C14-BBE3-22493DDDA697}"/>
    <hyperlink ref="E124" r:id="rId51" xr:uid="{157D2461-CF9F-4531-909C-782CCA529A2B}"/>
    <hyperlink ref="E125" r:id="rId52" xr:uid="{1B5C038C-A9B5-4C26-9928-83732C168266}"/>
    <hyperlink ref="E126" r:id="rId53" xr:uid="{E7B16B26-1B5B-4128-9C83-29B57965F4CD}"/>
    <hyperlink ref="E127" r:id="rId54" xr:uid="{BD12E135-E75E-4A7C-9917-838152234F78}"/>
    <hyperlink ref="E128" r:id="rId55" xr:uid="{51F81DA6-7B76-48FA-8043-56DB39AB8263}"/>
    <hyperlink ref="E129" r:id="rId56" xr:uid="{F3C1EF36-F76C-47A3-BC3C-F6BD0C7E703D}"/>
    <hyperlink ref="E130" r:id="rId57" xr:uid="{0BC0C707-B2EE-4696-B0AD-38A9F2804A10}"/>
    <hyperlink ref="E131" r:id="rId58" xr:uid="{B1CC3411-2F3E-4918-9310-32C37B220278}"/>
    <hyperlink ref="E132" r:id="rId59" xr:uid="{A3156487-B960-41A3-85C5-4D9FF3952896}"/>
    <hyperlink ref="E133" r:id="rId60" xr:uid="{618C96B7-55A0-4570-85F6-EDE44E121E0E}"/>
    <hyperlink ref="E134" r:id="rId61" xr:uid="{CAAB974C-E7F7-49B9-8133-EB9FDB423D2D}"/>
    <hyperlink ref="E135" r:id="rId62" xr:uid="{7BFDF30F-6286-48FA-9D1E-E4DA8D3F7C0B}"/>
    <hyperlink ref="E136" r:id="rId63" xr:uid="{C19ED034-0E37-4F37-8DA4-CBFC5E30AD4A}"/>
    <hyperlink ref="E137" r:id="rId64" xr:uid="{B0C4CCEF-3B7D-4313-8339-17FECE2CE213}"/>
    <hyperlink ref="E138" r:id="rId65" xr:uid="{0B0C932D-BF2A-48E8-A729-59B0C5BDC0A9}"/>
    <hyperlink ref="E139" r:id="rId66" xr:uid="{1B872D61-D0C8-4A07-AC66-DBF0948DD46A}"/>
    <hyperlink ref="E140" r:id="rId67" xr:uid="{7D3BC7DF-95B9-4F68-9854-A97269A68043}"/>
    <hyperlink ref="E141" r:id="rId68" xr:uid="{EDC8B222-6046-428D-A509-88B010BBC248}"/>
    <hyperlink ref="E142" r:id="rId69" xr:uid="{18601D26-3EFF-499E-B69A-E68E39B9B3D7}"/>
    <hyperlink ref="E143" r:id="rId70" xr:uid="{E32570C4-DD80-47B5-AE00-A0268E8B24D5}"/>
    <hyperlink ref="E144" r:id="rId71" xr:uid="{5FC4D2DE-D8C2-4838-AC09-4B952F2CB495}"/>
    <hyperlink ref="E145" r:id="rId72" xr:uid="{51012E42-CF58-4923-BD68-578CEE97709B}"/>
    <hyperlink ref="E146" r:id="rId73" xr:uid="{EBD2EF6A-4209-4B89-B7B4-9982DC3283DB}"/>
    <hyperlink ref="E147" r:id="rId74" xr:uid="{050259E0-FA0E-4E29-BCB0-D57210903DA4}"/>
    <hyperlink ref="E148" r:id="rId75" xr:uid="{F7B39F1D-98A8-4422-A669-AD507C4786F4}"/>
    <hyperlink ref="E149" r:id="rId76" xr:uid="{9AF2ABD7-FB5E-4A8A-A406-CEFD7CB9B348}"/>
    <hyperlink ref="E150" r:id="rId77" xr:uid="{D8605181-F854-42FA-BDF5-9DB231011FAB}"/>
    <hyperlink ref="E151" r:id="rId78" xr:uid="{B173943D-941A-4B34-BC4D-B9CFC74E2D08}"/>
    <hyperlink ref="E153" r:id="rId79" xr:uid="{AE6B2282-E132-40F2-B539-CCB20DA8CBE7}"/>
    <hyperlink ref="E154" r:id="rId80" xr:uid="{AF259130-CB6E-4190-9A5D-C97A8D35AF5C}"/>
    <hyperlink ref="E155" r:id="rId81" xr:uid="{77548B86-AD9B-4B6A-8A37-4ADC51873F3B}"/>
    <hyperlink ref="E156" r:id="rId82" xr:uid="{33133CD5-4F11-419E-A342-EDEE126DFF08}"/>
    <hyperlink ref="E157" r:id="rId83" xr:uid="{D84447C1-A542-43B4-896C-48CCAB26FE2D}"/>
    <hyperlink ref="E158" r:id="rId84" xr:uid="{7C024A75-7389-455C-8F9E-80A028CD4FCE}"/>
    <hyperlink ref="E159" r:id="rId85" xr:uid="{A2583B9F-813B-45E3-8D53-FBF8627D135C}"/>
    <hyperlink ref="E160" r:id="rId86" xr:uid="{75A839EA-2D4E-4E88-80AB-7A0727C226EB}"/>
    <hyperlink ref="E161" r:id="rId87" xr:uid="{456DCB63-2898-4A04-91CC-544284486E5F}"/>
    <hyperlink ref="E162" r:id="rId88" xr:uid="{42F69B69-1955-4446-AB41-CB8946AFAA5B}"/>
    <hyperlink ref="E163" r:id="rId89" xr:uid="{B034571E-2C0C-4874-916D-916629A7743F}"/>
    <hyperlink ref="E164" r:id="rId90" xr:uid="{EADD1AE3-C6D7-4960-970A-0208F1325F11}"/>
    <hyperlink ref="E165" r:id="rId91" xr:uid="{B7CBADAC-EA64-4653-89F3-663B4A2B07B6}"/>
    <hyperlink ref="E166" r:id="rId92" xr:uid="{C83224B1-6B56-4425-AC21-D9BA198C2528}"/>
    <hyperlink ref="E167" r:id="rId93" xr:uid="{473E4674-8043-44C9-B667-431CC4EC618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57D8-2774-4F7E-B066-E4AB7434C4B6}">
  <sheetPr>
    <tabColor theme="4" tint="0.79998168889431442"/>
  </sheetPr>
  <dimension ref="A1:Z175"/>
  <sheetViews>
    <sheetView showZeros="0" zoomScale="85" zoomScaleNormal="85" workbookViewId="0">
      <selection activeCell="F34" sqref="F34"/>
    </sheetView>
  </sheetViews>
  <sheetFormatPr defaultColWidth="8.625" defaultRowHeight="18"/>
  <cols>
    <col min="1" max="1" width="12.5" style="10" customWidth="1"/>
    <col min="2" max="25" width="6.375" style="10" customWidth="1"/>
    <col min="26" max="16384" width="8.625" style="10"/>
  </cols>
  <sheetData>
    <row r="1" spans="1:26">
      <c r="A1" s="41"/>
      <c r="B1" s="41" t="s">
        <v>2788</v>
      </c>
      <c r="C1" s="41"/>
      <c r="D1" s="41"/>
      <c r="E1" s="41"/>
      <c r="F1" s="41"/>
      <c r="G1" s="41"/>
      <c r="H1" s="41"/>
      <c r="I1" s="41"/>
      <c r="J1" s="46"/>
      <c r="K1" s="47"/>
      <c r="L1" s="47"/>
      <c r="M1" s="47"/>
      <c r="N1" s="47"/>
      <c r="O1" s="47"/>
      <c r="P1" s="47"/>
      <c r="Q1" s="47"/>
      <c r="R1" s="48"/>
      <c r="S1" s="41"/>
      <c r="T1" s="41"/>
      <c r="U1" s="41"/>
      <c r="V1" s="41"/>
      <c r="W1" s="41"/>
      <c r="X1" s="41"/>
      <c r="Y1" s="41"/>
      <c r="Z1" s="13"/>
    </row>
    <row r="2" spans="1:26">
      <c r="A2" s="49"/>
      <c r="B2" s="138" t="s">
        <v>2789</v>
      </c>
      <c r="C2" s="139"/>
      <c r="D2" s="139"/>
      <c r="E2" s="139"/>
      <c r="F2" s="139"/>
      <c r="G2" s="139"/>
      <c r="H2" s="139"/>
      <c r="I2" s="140"/>
      <c r="J2" s="141" t="s">
        <v>2790</v>
      </c>
      <c r="K2" s="142"/>
      <c r="L2" s="142"/>
      <c r="M2" s="142"/>
      <c r="N2" s="142"/>
      <c r="O2" s="142"/>
      <c r="P2" s="142"/>
      <c r="Q2" s="143"/>
      <c r="R2" s="144" t="s">
        <v>2791</v>
      </c>
      <c r="S2" s="145"/>
      <c r="T2" s="145"/>
      <c r="U2" s="145"/>
      <c r="V2" s="145"/>
      <c r="W2" s="145"/>
      <c r="X2" s="145"/>
      <c r="Y2" s="145"/>
      <c r="Z2" s="13"/>
    </row>
    <row r="3" spans="1:26">
      <c r="A3" s="50"/>
      <c r="B3" s="51" t="s">
        <v>2792</v>
      </c>
      <c r="C3" s="52" t="s">
        <v>2793</v>
      </c>
      <c r="D3" s="53" t="s">
        <v>2794</v>
      </c>
      <c r="E3" s="54" t="s">
        <v>2793</v>
      </c>
      <c r="F3" s="55" t="s">
        <v>2795</v>
      </c>
      <c r="G3" s="56" t="s">
        <v>2793</v>
      </c>
      <c r="H3" s="57" t="s">
        <v>1887</v>
      </c>
      <c r="I3" s="58" t="s">
        <v>2793</v>
      </c>
      <c r="J3" s="51" t="s">
        <v>2792</v>
      </c>
      <c r="K3" s="52" t="s">
        <v>2793</v>
      </c>
      <c r="L3" s="53" t="s">
        <v>2794</v>
      </c>
      <c r="M3" s="54" t="s">
        <v>2793</v>
      </c>
      <c r="N3" s="55" t="s">
        <v>2795</v>
      </c>
      <c r="O3" s="56" t="s">
        <v>2793</v>
      </c>
      <c r="P3" s="57" t="s">
        <v>1887</v>
      </c>
      <c r="Q3" s="59" t="s">
        <v>2793</v>
      </c>
      <c r="R3" s="51" t="s">
        <v>2792</v>
      </c>
      <c r="S3" s="52" t="s">
        <v>2793</v>
      </c>
      <c r="T3" s="53" t="s">
        <v>2794</v>
      </c>
      <c r="U3" s="54" t="s">
        <v>2793</v>
      </c>
      <c r="V3" s="55" t="s">
        <v>2795</v>
      </c>
      <c r="W3" s="56" t="s">
        <v>2793</v>
      </c>
      <c r="X3" s="57" t="s">
        <v>1887</v>
      </c>
      <c r="Y3" s="59" t="s">
        <v>2793</v>
      </c>
      <c r="Z3" s="13"/>
    </row>
    <row r="4" spans="1:26">
      <c r="A4" s="50" t="s">
        <v>2796</v>
      </c>
      <c r="B4" s="60">
        <v>104</v>
      </c>
      <c r="C4" s="61"/>
      <c r="D4" s="62">
        <v>17</v>
      </c>
      <c r="E4" s="61"/>
      <c r="F4" s="62">
        <v>2</v>
      </c>
      <c r="G4" s="61"/>
      <c r="H4" s="62"/>
      <c r="I4" s="63"/>
      <c r="J4" s="60">
        <v>21</v>
      </c>
      <c r="K4" s="61"/>
      <c r="L4" s="62">
        <v>2</v>
      </c>
      <c r="M4" s="61"/>
      <c r="N4" s="62">
        <v>1</v>
      </c>
      <c r="O4" s="61"/>
      <c r="P4" s="64"/>
      <c r="Q4" s="65"/>
      <c r="R4" s="60">
        <f>B4+J4</f>
        <v>125</v>
      </c>
      <c r="S4" s="61"/>
      <c r="T4" s="60">
        <f>D4+L4</f>
        <v>19</v>
      </c>
      <c r="U4" s="61"/>
      <c r="V4" s="62">
        <f>F4+N4</f>
        <v>3</v>
      </c>
      <c r="W4" s="61"/>
      <c r="X4" s="62">
        <f>H4+P4</f>
        <v>0</v>
      </c>
      <c r="Y4" s="65"/>
      <c r="Z4" s="13"/>
    </row>
    <row r="5" spans="1:26">
      <c r="A5" s="50" t="s">
        <v>2797</v>
      </c>
      <c r="B5" s="66"/>
      <c r="C5" s="67">
        <f>B4+B5</f>
        <v>104</v>
      </c>
      <c r="D5" s="64"/>
      <c r="E5" s="67">
        <f>D4+D5</f>
        <v>17</v>
      </c>
      <c r="F5" s="64"/>
      <c r="G5" s="67">
        <f>F4+F5</f>
        <v>2</v>
      </c>
      <c r="H5" s="64"/>
      <c r="I5" s="67">
        <f>H4+H5</f>
        <v>0</v>
      </c>
      <c r="J5" s="66"/>
      <c r="K5" s="67">
        <f>J4+J5</f>
        <v>21</v>
      </c>
      <c r="L5" s="64"/>
      <c r="M5" s="67">
        <f>L4+L5</f>
        <v>2</v>
      </c>
      <c r="N5" s="64"/>
      <c r="O5" s="67">
        <f>N4+N5</f>
        <v>1</v>
      </c>
      <c r="P5" s="64"/>
      <c r="Q5" s="67">
        <f>P4+P5</f>
        <v>0</v>
      </c>
      <c r="R5" s="60">
        <f t="shared" ref="R5:T34" si="0">B5+J5</f>
        <v>0</v>
      </c>
      <c r="S5" s="67">
        <f>R4+R5</f>
        <v>125</v>
      </c>
      <c r="T5" s="60">
        <f t="shared" si="0"/>
        <v>0</v>
      </c>
      <c r="U5" s="67">
        <f>T4+T5</f>
        <v>19</v>
      </c>
      <c r="V5" s="62">
        <f t="shared" ref="V5:V34" si="1">F5+N5</f>
        <v>0</v>
      </c>
      <c r="W5" s="67">
        <f>V4+V5</f>
        <v>3</v>
      </c>
      <c r="X5" s="62">
        <f t="shared" ref="X5:X34" si="2">H5+P5</f>
        <v>0</v>
      </c>
      <c r="Y5" s="67">
        <f>X4+X5</f>
        <v>0</v>
      </c>
      <c r="Z5" s="13"/>
    </row>
    <row r="6" spans="1:26">
      <c r="A6" s="50" t="s">
        <v>2798</v>
      </c>
      <c r="B6" s="66"/>
      <c r="C6" s="67">
        <f>C5+B6</f>
        <v>104</v>
      </c>
      <c r="D6" s="64"/>
      <c r="E6" s="67">
        <f>E5+D6</f>
        <v>17</v>
      </c>
      <c r="F6" s="64"/>
      <c r="G6" s="67">
        <f>G5+F6</f>
        <v>2</v>
      </c>
      <c r="H6" s="64"/>
      <c r="I6" s="67">
        <f>I5+H6</f>
        <v>0</v>
      </c>
      <c r="J6" s="66"/>
      <c r="K6" s="67">
        <f>K5+J6</f>
        <v>21</v>
      </c>
      <c r="L6" s="64"/>
      <c r="M6" s="67">
        <f>M5+L6</f>
        <v>2</v>
      </c>
      <c r="N6" s="64"/>
      <c r="O6" s="67">
        <f>O5+N6</f>
        <v>1</v>
      </c>
      <c r="P6" s="64"/>
      <c r="Q6" s="67">
        <f>Q5+P6</f>
        <v>0</v>
      </c>
      <c r="R6" s="60">
        <f t="shared" si="0"/>
        <v>0</v>
      </c>
      <c r="S6" s="67">
        <f>S5+R6</f>
        <v>125</v>
      </c>
      <c r="T6" s="60">
        <f t="shared" si="0"/>
        <v>0</v>
      </c>
      <c r="U6" s="67">
        <f>U5+T6</f>
        <v>19</v>
      </c>
      <c r="V6" s="62">
        <f t="shared" si="1"/>
        <v>0</v>
      </c>
      <c r="W6" s="67">
        <f>W5+V6</f>
        <v>3</v>
      </c>
      <c r="X6" s="62">
        <f t="shared" si="2"/>
        <v>0</v>
      </c>
      <c r="Y6" s="67">
        <f>Y5+X6</f>
        <v>0</v>
      </c>
      <c r="Z6" s="13"/>
    </row>
    <row r="7" spans="1:26">
      <c r="A7" s="50" t="s">
        <v>2799</v>
      </c>
      <c r="B7" s="66"/>
      <c r="C7" s="67">
        <f t="shared" ref="C7:U22" si="3">C6+B7</f>
        <v>104</v>
      </c>
      <c r="D7" s="64"/>
      <c r="E7" s="67">
        <f t="shared" si="3"/>
        <v>17</v>
      </c>
      <c r="F7" s="64"/>
      <c r="G7" s="67">
        <f t="shared" si="3"/>
        <v>2</v>
      </c>
      <c r="H7" s="64"/>
      <c r="I7" s="67">
        <f t="shared" si="3"/>
        <v>0</v>
      </c>
      <c r="J7" s="66"/>
      <c r="K7" s="67">
        <f t="shared" si="3"/>
        <v>21</v>
      </c>
      <c r="L7" s="64"/>
      <c r="M7" s="67">
        <f t="shared" si="3"/>
        <v>2</v>
      </c>
      <c r="N7" s="64"/>
      <c r="O7" s="67">
        <f t="shared" si="3"/>
        <v>1</v>
      </c>
      <c r="P7" s="64"/>
      <c r="Q7" s="67">
        <f t="shared" si="3"/>
        <v>0</v>
      </c>
      <c r="R7" s="60">
        <f t="shared" si="0"/>
        <v>0</v>
      </c>
      <c r="S7" s="67">
        <f t="shared" si="3"/>
        <v>125</v>
      </c>
      <c r="T7" s="60">
        <f t="shared" si="0"/>
        <v>0</v>
      </c>
      <c r="U7" s="67">
        <f t="shared" si="3"/>
        <v>19</v>
      </c>
      <c r="V7" s="62">
        <f t="shared" si="1"/>
        <v>0</v>
      </c>
      <c r="W7" s="67">
        <f t="shared" ref="W7:W34" si="4">W6+V7</f>
        <v>3</v>
      </c>
      <c r="X7" s="62">
        <f t="shared" si="2"/>
        <v>0</v>
      </c>
      <c r="Y7" s="67">
        <f t="shared" ref="Y7:Y34" si="5">Y6+X7</f>
        <v>0</v>
      </c>
      <c r="Z7" s="13"/>
    </row>
    <row r="8" spans="1:26">
      <c r="A8" s="50" t="s">
        <v>2800</v>
      </c>
      <c r="B8" s="60">
        <v>27</v>
      </c>
      <c r="C8" s="67">
        <f t="shared" si="3"/>
        <v>131</v>
      </c>
      <c r="D8" s="64">
        <v>1</v>
      </c>
      <c r="E8" s="67">
        <f t="shared" si="3"/>
        <v>18</v>
      </c>
      <c r="F8" s="64"/>
      <c r="G8" s="67">
        <f t="shared" si="3"/>
        <v>2</v>
      </c>
      <c r="H8" s="64"/>
      <c r="I8" s="67">
        <f t="shared" si="3"/>
        <v>0</v>
      </c>
      <c r="J8" s="60">
        <v>1</v>
      </c>
      <c r="K8" s="67">
        <f t="shared" si="3"/>
        <v>22</v>
      </c>
      <c r="L8" s="64"/>
      <c r="M8" s="67">
        <f t="shared" si="3"/>
        <v>2</v>
      </c>
      <c r="N8" s="64"/>
      <c r="O8" s="67">
        <f t="shared" si="3"/>
        <v>1</v>
      </c>
      <c r="P8" s="64"/>
      <c r="Q8" s="67">
        <f t="shared" si="3"/>
        <v>0</v>
      </c>
      <c r="R8" s="60">
        <f t="shared" si="0"/>
        <v>28</v>
      </c>
      <c r="S8" s="67">
        <f t="shared" si="3"/>
        <v>153</v>
      </c>
      <c r="T8" s="60">
        <f t="shared" si="0"/>
        <v>1</v>
      </c>
      <c r="U8" s="67">
        <f t="shared" si="3"/>
        <v>20</v>
      </c>
      <c r="V8" s="62">
        <f t="shared" si="1"/>
        <v>0</v>
      </c>
      <c r="W8" s="67">
        <f t="shared" si="4"/>
        <v>3</v>
      </c>
      <c r="X8" s="62">
        <f t="shared" si="2"/>
        <v>0</v>
      </c>
      <c r="Y8" s="67">
        <f t="shared" si="5"/>
        <v>0</v>
      </c>
      <c r="Z8" s="13"/>
    </row>
    <row r="9" spans="1:26">
      <c r="A9" s="50" t="s">
        <v>2801</v>
      </c>
      <c r="B9" s="66"/>
      <c r="C9" s="67">
        <f t="shared" si="3"/>
        <v>131</v>
      </c>
      <c r="D9" s="64"/>
      <c r="E9" s="67">
        <f t="shared" si="3"/>
        <v>18</v>
      </c>
      <c r="F9" s="64"/>
      <c r="G9" s="67">
        <f t="shared" si="3"/>
        <v>2</v>
      </c>
      <c r="H9" s="64"/>
      <c r="I9" s="67">
        <f t="shared" si="3"/>
        <v>0</v>
      </c>
      <c r="J9" s="66"/>
      <c r="K9" s="67">
        <f t="shared" si="3"/>
        <v>22</v>
      </c>
      <c r="L9" s="64"/>
      <c r="M9" s="67">
        <f t="shared" si="3"/>
        <v>2</v>
      </c>
      <c r="N9" s="64"/>
      <c r="O9" s="67">
        <f t="shared" si="3"/>
        <v>1</v>
      </c>
      <c r="P9" s="64"/>
      <c r="Q9" s="67">
        <f t="shared" si="3"/>
        <v>0</v>
      </c>
      <c r="R9" s="60">
        <f t="shared" si="0"/>
        <v>0</v>
      </c>
      <c r="S9" s="67">
        <f t="shared" si="3"/>
        <v>153</v>
      </c>
      <c r="T9" s="60">
        <f t="shared" si="0"/>
        <v>0</v>
      </c>
      <c r="U9" s="67">
        <f t="shared" si="3"/>
        <v>20</v>
      </c>
      <c r="V9" s="62">
        <f t="shared" si="1"/>
        <v>0</v>
      </c>
      <c r="W9" s="67">
        <f t="shared" si="4"/>
        <v>3</v>
      </c>
      <c r="X9" s="62">
        <f t="shared" si="2"/>
        <v>0</v>
      </c>
      <c r="Y9" s="67">
        <f t="shared" si="5"/>
        <v>0</v>
      </c>
      <c r="Z9" s="13"/>
    </row>
    <row r="10" spans="1:26">
      <c r="A10" s="50" t="s">
        <v>2802</v>
      </c>
      <c r="B10" s="66"/>
      <c r="C10" s="67">
        <f t="shared" si="3"/>
        <v>131</v>
      </c>
      <c r="D10" s="64"/>
      <c r="E10" s="67">
        <f t="shared" si="3"/>
        <v>18</v>
      </c>
      <c r="F10" s="64"/>
      <c r="G10" s="67">
        <f t="shared" si="3"/>
        <v>2</v>
      </c>
      <c r="H10" s="64"/>
      <c r="I10" s="67">
        <f t="shared" si="3"/>
        <v>0</v>
      </c>
      <c r="J10" s="66"/>
      <c r="K10" s="67">
        <f t="shared" si="3"/>
        <v>22</v>
      </c>
      <c r="L10" s="64"/>
      <c r="M10" s="67">
        <f t="shared" si="3"/>
        <v>2</v>
      </c>
      <c r="N10" s="64"/>
      <c r="O10" s="67">
        <f t="shared" si="3"/>
        <v>1</v>
      </c>
      <c r="P10" s="64"/>
      <c r="Q10" s="67">
        <f t="shared" si="3"/>
        <v>0</v>
      </c>
      <c r="R10" s="60">
        <f t="shared" si="0"/>
        <v>0</v>
      </c>
      <c r="S10" s="67">
        <f t="shared" si="3"/>
        <v>153</v>
      </c>
      <c r="T10" s="60">
        <f t="shared" si="0"/>
        <v>0</v>
      </c>
      <c r="U10" s="67">
        <f t="shared" si="3"/>
        <v>20</v>
      </c>
      <c r="V10" s="62">
        <f t="shared" si="1"/>
        <v>0</v>
      </c>
      <c r="W10" s="67">
        <f t="shared" si="4"/>
        <v>3</v>
      </c>
      <c r="X10" s="62">
        <f t="shared" si="2"/>
        <v>0</v>
      </c>
      <c r="Y10" s="67">
        <f t="shared" si="5"/>
        <v>0</v>
      </c>
      <c r="Z10" s="13"/>
    </row>
    <row r="11" spans="1:26">
      <c r="A11" s="50" t="s">
        <v>2803</v>
      </c>
      <c r="B11" s="66">
        <v>1</v>
      </c>
      <c r="C11" s="67">
        <f t="shared" si="3"/>
        <v>132</v>
      </c>
      <c r="D11" s="64"/>
      <c r="E11" s="67">
        <f t="shared" si="3"/>
        <v>18</v>
      </c>
      <c r="F11" s="64"/>
      <c r="G11" s="67">
        <f t="shared" si="3"/>
        <v>2</v>
      </c>
      <c r="H11" s="64"/>
      <c r="I11" s="67">
        <f t="shared" si="3"/>
        <v>0</v>
      </c>
      <c r="J11" s="66">
        <v>1</v>
      </c>
      <c r="K11" s="67">
        <f t="shared" si="3"/>
        <v>23</v>
      </c>
      <c r="L11" s="64"/>
      <c r="M11" s="67">
        <f t="shared" si="3"/>
        <v>2</v>
      </c>
      <c r="N11" s="64"/>
      <c r="O11" s="67">
        <f t="shared" si="3"/>
        <v>1</v>
      </c>
      <c r="P11" s="64"/>
      <c r="Q11" s="67">
        <f t="shared" si="3"/>
        <v>0</v>
      </c>
      <c r="R11" s="60">
        <f t="shared" si="0"/>
        <v>2</v>
      </c>
      <c r="S11" s="67">
        <f t="shared" si="3"/>
        <v>155</v>
      </c>
      <c r="T11" s="60">
        <f t="shared" si="0"/>
        <v>0</v>
      </c>
      <c r="U11" s="67">
        <f t="shared" si="3"/>
        <v>20</v>
      </c>
      <c r="V11" s="62">
        <f t="shared" si="1"/>
        <v>0</v>
      </c>
      <c r="W11" s="67">
        <f t="shared" si="4"/>
        <v>3</v>
      </c>
      <c r="X11" s="62">
        <f t="shared" si="2"/>
        <v>0</v>
      </c>
      <c r="Y11" s="67">
        <f t="shared" si="5"/>
        <v>0</v>
      </c>
      <c r="Z11" s="13"/>
    </row>
    <row r="12" spans="1:26">
      <c r="A12" s="50" t="s">
        <v>2804</v>
      </c>
      <c r="B12" s="66"/>
      <c r="C12" s="67">
        <f t="shared" si="3"/>
        <v>132</v>
      </c>
      <c r="D12" s="64"/>
      <c r="E12" s="67">
        <f t="shared" si="3"/>
        <v>18</v>
      </c>
      <c r="F12" s="64"/>
      <c r="G12" s="67">
        <f t="shared" si="3"/>
        <v>2</v>
      </c>
      <c r="H12" s="64"/>
      <c r="I12" s="67">
        <f t="shared" si="3"/>
        <v>0</v>
      </c>
      <c r="J12" s="66"/>
      <c r="K12" s="67">
        <f t="shared" si="3"/>
        <v>23</v>
      </c>
      <c r="L12" s="64"/>
      <c r="M12" s="67">
        <f t="shared" si="3"/>
        <v>2</v>
      </c>
      <c r="N12" s="64"/>
      <c r="O12" s="67">
        <f t="shared" si="3"/>
        <v>1</v>
      </c>
      <c r="P12" s="64"/>
      <c r="Q12" s="67">
        <f t="shared" si="3"/>
        <v>0</v>
      </c>
      <c r="R12" s="60">
        <f t="shared" si="0"/>
        <v>0</v>
      </c>
      <c r="S12" s="67">
        <f t="shared" si="3"/>
        <v>155</v>
      </c>
      <c r="T12" s="60">
        <f t="shared" si="0"/>
        <v>0</v>
      </c>
      <c r="U12" s="67">
        <f t="shared" si="3"/>
        <v>20</v>
      </c>
      <c r="V12" s="62">
        <f t="shared" si="1"/>
        <v>0</v>
      </c>
      <c r="W12" s="67">
        <f t="shared" si="4"/>
        <v>3</v>
      </c>
      <c r="X12" s="62">
        <f t="shared" si="2"/>
        <v>0</v>
      </c>
      <c r="Y12" s="67">
        <f t="shared" si="5"/>
        <v>0</v>
      </c>
      <c r="Z12" s="13"/>
    </row>
    <row r="13" spans="1:26">
      <c r="A13" s="50" t="s">
        <v>2805</v>
      </c>
      <c r="B13" s="66"/>
      <c r="C13" s="67">
        <f t="shared" si="3"/>
        <v>132</v>
      </c>
      <c r="D13" s="64"/>
      <c r="E13" s="67">
        <f t="shared" si="3"/>
        <v>18</v>
      </c>
      <c r="F13" s="64"/>
      <c r="G13" s="67">
        <f t="shared" si="3"/>
        <v>2</v>
      </c>
      <c r="H13" s="64"/>
      <c r="I13" s="67">
        <f t="shared" si="3"/>
        <v>0</v>
      </c>
      <c r="J13" s="66"/>
      <c r="K13" s="67">
        <f t="shared" si="3"/>
        <v>23</v>
      </c>
      <c r="L13" s="64"/>
      <c r="M13" s="67">
        <f t="shared" si="3"/>
        <v>2</v>
      </c>
      <c r="N13" s="64"/>
      <c r="O13" s="67">
        <f t="shared" si="3"/>
        <v>1</v>
      </c>
      <c r="P13" s="64"/>
      <c r="Q13" s="67">
        <f t="shared" si="3"/>
        <v>0</v>
      </c>
      <c r="R13" s="60">
        <f t="shared" si="0"/>
        <v>0</v>
      </c>
      <c r="S13" s="67">
        <f t="shared" si="3"/>
        <v>155</v>
      </c>
      <c r="T13" s="60">
        <f t="shared" si="0"/>
        <v>0</v>
      </c>
      <c r="U13" s="67">
        <f t="shared" si="3"/>
        <v>20</v>
      </c>
      <c r="V13" s="62">
        <f t="shared" si="1"/>
        <v>0</v>
      </c>
      <c r="W13" s="67">
        <f t="shared" si="4"/>
        <v>3</v>
      </c>
      <c r="X13" s="62">
        <f t="shared" si="2"/>
        <v>0</v>
      </c>
      <c r="Y13" s="67">
        <f t="shared" si="5"/>
        <v>0</v>
      </c>
      <c r="Z13" s="13"/>
    </row>
    <row r="14" spans="1:26">
      <c r="A14" s="50" t="s">
        <v>2806</v>
      </c>
      <c r="B14" s="66">
        <v>14</v>
      </c>
      <c r="C14" s="67">
        <f t="shared" si="3"/>
        <v>146</v>
      </c>
      <c r="D14" s="64">
        <v>3</v>
      </c>
      <c r="E14" s="67">
        <f t="shared" si="3"/>
        <v>21</v>
      </c>
      <c r="F14" s="64"/>
      <c r="G14" s="67">
        <f t="shared" si="3"/>
        <v>2</v>
      </c>
      <c r="H14" s="64"/>
      <c r="I14" s="67">
        <f t="shared" si="3"/>
        <v>0</v>
      </c>
      <c r="J14" s="66"/>
      <c r="K14" s="67">
        <f t="shared" si="3"/>
        <v>23</v>
      </c>
      <c r="L14" s="64"/>
      <c r="M14" s="67">
        <f t="shared" si="3"/>
        <v>2</v>
      </c>
      <c r="N14" s="64"/>
      <c r="O14" s="67">
        <f t="shared" si="3"/>
        <v>1</v>
      </c>
      <c r="P14" s="64"/>
      <c r="Q14" s="67">
        <f t="shared" si="3"/>
        <v>0</v>
      </c>
      <c r="R14" s="60">
        <f t="shared" si="0"/>
        <v>14</v>
      </c>
      <c r="S14" s="67">
        <f t="shared" si="3"/>
        <v>169</v>
      </c>
      <c r="T14" s="60">
        <f t="shared" si="0"/>
        <v>3</v>
      </c>
      <c r="U14" s="67">
        <f t="shared" si="3"/>
        <v>23</v>
      </c>
      <c r="V14" s="62">
        <f t="shared" si="1"/>
        <v>0</v>
      </c>
      <c r="W14" s="67">
        <f t="shared" si="4"/>
        <v>3</v>
      </c>
      <c r="X14" s="62">
        <f t="shared" si="2"/>
        <v>0</v>
      </c>
      <c r="Y14" s="67">
        <f t="shared" si="5"/>
        <v>0</v>
      </c>
      <c r="Z14" s="13"/>
    </row>
    <row r="15" spans="1:26">
      <c r="A15" s="50" t="s">
        <v>2807</v>
      </c>
      <c r="B15" s="66">
        <v>1</v>
      </c>
      <c r="C15" s="67">
        <f t="shared" si="3"/>
        <v>147</v>
      </c>
      <c r="D15" s="64"/>
      <c r="E15" s="67">
        <f t="shared" si="3"/>
        <v>21</v>
      </c>
      <c r="F15" s="64"/>
      <c r="G15" s="67">
        <f t="shared" si="3"/>
        <v>2</v>
      </c>
      <c r="H15" s="64"/>
      <c r="I15" s="67">
        <f t="shared" si="3"/>
        <v>0</v>
      </c>
      <c r="J15" s="66">
        <v>1</v>
      </c>
      <c r="K15" s="67">
        <f t="shared" si="3"/>
        <v>24</v>
      </c>
      <c r="L15" s="64"/>
      <c r="M15" s="67">
        <f t="shared" si="3"/>
        <v>2</v>
      </c>
      <c r="N15" s="64"/>
      <c r="O15" s="67">
        <f t="shared" si="3"/>
        <v>1</v>
      </c>
      <c r="P15" s="64"/>
      <c r="Q15" s="67">
        <f t="shared" si="3"/>
        <v>0</v>
      </c>
      <c r="R15" s="60">
        <f t="shared" si="0"/>
        <v>2</v>
      </c>
      <c r="S15" s="67">
        <f t="shared" si="3"/>
        <v>171</v>
      </c>
      <c r="T15" s="60">
        <f t="shared" si="0"/>
        <v>0</v>
      </c>
      <c r="U15" s="67">
        <f t="shared" si="3"/>
        <v>23</v>
      </c>
      <c r="V15" s="62">
        <f t="shared" si="1"/>
        <v>0</v>
      </c>
      <c r="W15" s="67">
        <f t="shared" si="4"/>
        <v>3</v>
      </c>
      <c r="X15" s="62">
        <f t="shared" si="2"/>
        <v>0</v>
      </c>
      <c r="Y15" s="67">
        <f t="shared" si="5"/>
        <v>0</v>
      </c>
      <c r="Z15" s="13"/>
    </row>
    <row r="16" spans="1:26">
      <c r="A16" s="50" t="s">
        <v>2808</v>
      </c>
      <c r="B16" s="66">
        <v>1</v>
      </c>
      <c r="C16" s="67">
        <f t="shared" si="3"/>
        <v>148</v>
      </c>
      <c r="D16" s="64"/>
      <c r="E16" s="67">
        <f t="shared" si="3"/>
        <v>21</v>
      </c>
      <c r="F16" s="64"/>
      <c r="G16" s="67">
        <f t="shared" si="3"/>
        <v>2</v>
      </c>
      <c r="H16" s="64"/>
      <c r="I16" s="67">
        <f t="shared" si="3"/>
        <v>0</v>
      </c>
      <c r="J16" s="66"/>
      <c r="K16" s="67">
        <f t="shared" si="3"/>
        <v>24</v>
      </c>
      <c r="L16" s="64"/>
      <c r="M16" s="67">
        <f t="shared" si="3"/>
        <v>2</v>
      </c>
      <c r="N16" s="64"/>
      <c r="O16" s="67">
        <f t="shared" si="3"/>
        <v>1</v>
      </c>
      <c r="P16" s="64"/>
      <c r="Q16" s="67">
        <f t="shared" si="3"/>
        <v>0</v>
      </c>
      <c r="R16" s="60">
        <f t="shared" si="0"/>
        <v>1</v>
      </c>
      <c r="S16" s="67">
        <f t="shared" si="3"/>
        <v>172</v>
      </c>
      <c r="T16" s="60">
        <f t="shared" si="0"/>
        <v>0</v>
      </c>
      <c r="U16" s="67">
        <f t="shared" si="3"/>
        <v>23</v>
      </c>
      <c r="V16" s="62">
        <f t="shared" si="1"/>
        <v>0</v>
      </c>
      <c r="W16" s="67">
        <f t="shared" si="4"/>
        <v>3</v>
      </c>
      <c r="X16" s="62">
        <f t="shared" si="2"/>
        <v>0</v>
      </c>
      <c r="Y16" s="67">
        <f t="shared" si="5"/>
        <v>0</v>
      </c>
      <c r="Z16" s="13"/>
    </row>
    <row r="17" spans="1:26">
      <c r="A17" s="50" t="s">
        <v>2809</v>
      </c>
      <c r="B17" s="66"/>
      <c r="C17" s="67">
        <f t="shared" si="3"/>
        <v>148</v>
      </c>
      <c r="D17" s="64"/>
      <c r="E17" s="67">
        <f t="shared" si="3"/>
        <v>21</v>
      </c>
      <c r="F17" s="64"/>
      <c r="G17" s="67">
        <f t="shared" si="3"/>
        <v>2</v>
      </c>
      <c r="H17" s="64"/>
      <c r="I17" s="67">
        <f t="shared" si="3"/>
        <v>0</v>
      </c>
      <c r="J17" s="66"/>
      <c r="K17" s="67">
        <f t="shared" si="3"/>
        <v>24</v>
      </c>
      <c r="L17" s="64"/>
      <c r="M17" s="67">
        <f t="shared" si="3"/>
        <v>2</v>
      </c>
      <c r="N17" s="64"/>
      <c r="O17" s="67">
        <f t="shared" si="3"/>
        <v>1</v>
      </c>
      <c r="P17" s="64"/>
      <c r="Q17" s="67">
        <f t="shared" si="3"/>
        <v>0</v>
      </c>
      <c r="R17" s="60">
        <f t="shared" si="0"/>
        <v>0</v>
      </c>
      <c r="S17" s="67">
        <f t="shared" si="3"/>
        <v>172</v>
      </c>
      <c r="T17" s="60">
        <f t="shared" si="0"/>
        <v>0</v>
      </c>
      <c r="U17" s="67">
        <f t="shared" si="3"/>
        <v>23</v>
      </c>
      <c r="V17" s="62">
        <f t="shared" si="1"/>
        <v>0</v>
      </c>
      <c r="W17" s="67">
        <f t="shared" si="4"/>
        <v>3</v>
      </c>
      <c r="X17" s="62">
        <f t="shared" si="2"/>
        <v>0</v>
      </c>
      <c r="Y17" s="67">
        <f t="shared" si="5"/>
        <v>0</v>
      </c>
      <c r="Z17" s="13"/>
    </row>
    <row r="18" spans="1:26">
      <c r="A18" s="50" t="s">
        <v>2810</v>
      </c>
      <c r="B18" s="66"/>
      <c r="C18" s="67">
        <f t="shared" si="3"/>
        <v>148</v>
      </c>
      <c r="D18" s="64"/>
      <c r="E18" s="67">
        <f t="shared" si="3"/>
        <v>21</v>
      </c>
      <c r="F18" s="64"/>
      <c r="G18" s="67">
        <f t="shared" si="3"/>
        <v>2</v>
      </c>
      <c r="H18" s="64"/>
      <c r="I18" s="67">
        <f t="shared" si="3"/>
        <v>0</v>
      </c>
      <c r="J18" s="66"/>
      <c r="K18" s="67">
        <f t="shared" si="3"/>
        <v>24</v>
      </c>
      <c r="L18" s="64"/>
      <c r="M18" s="67">
        <f t="shared" si="3"/>
        <v>2</v>
      </c>
      <c r="N18" s="64"/>
      <c r="O18" s="67">
        <f t="shared" si="3"/>
        <v>1</v>
      </c>
      <c r="P18" s="64"/>
      <c r="Q18" s="67">
        <f t="shared" si="3"/>
        <v>0</v>
      </c>
      <c r="R18" s="60">
        <f t="shared" si="0"/>
        <v>0</v>
      </c>
      <c r="S18" s="67">
        <f t="shared" si="3"/>
        <v>172</v>
      </c>
      <c r="T18" s="60">
        <f t="shared" si="0"/>
        <v>0</v>
      </c>
      <c r="U18" s="67">
        <f t="shared" si="3"/>
        <v>23</v>
      </c>
      <c r="V18" s="62">
        <f t="shared" si="1"/>
        <v>0</v>
      </c>
      <c r="W18" s="67">
        <f t="shared" si="4"/>
        <v>3</v>
      </c>
      <c r="X18" s="62">
        <f t="shared" si="2"/>
        <v>0</v>
      </c>
      <c r="Y18" s="67">
        <f t="shared" si="5"/>
        <v>0</v>
      </c>
      <c r="Z18" s="13"/>
    </row>
    <row r="19" spans="1:26">
      <c r="A19" s="50" t="s">
        <v>2811</v>
      </c>
      <c r="B19" s="66">
        <v>9</v>
      </c>
      <c r="C19" s="67">
        <f t="shared" si="3"/>
        <v>157</v>
      </c>
      <c r="D19" s="64">
        <v>2</v>
      </c>
      <c r="E19" s="67">
        <f t="shared" si="3"/>
        <v>23</v>
      </c>
      <c r="F19" s="64"/>
      <c r="G19" s="67">
        <f t="shared" si="3"/>
        <v>2</v>
      </c>
      <c r="H19" s="64"/>
      <c r="I19" s="67">
        <f t="shared" si="3"/>
        <v>0</v>
      </c>
      <c r="J19" s="66"/>
      <c r="K19" s="67">
        <f t="shared" si="3"/>
        <v>24</v>
      </c>
      <c r="L19" s="64"/>
      <c r="M19" s="67">
        <f t="shared" si="3"/>
        <v>2</v>
      </c>
      <c r="N19" s="64"/>
      <c r="O19" s="67">
        <f t="shared" si="3"/>
        <v>1</v>
      </c>
      <c r="P19" s="64"/>
      <c r="Q19" s="67">
        <f t="shared" si="3"/>
        <v>0</v>
      </c>
      <c r="R19" s="60">
        <f t="shared" si="0"/>
        <v>9</v>
      </c>
      <c r="S19" s="67">
        <f t="shared" si="3"/>
        <v>181</v>
      </c>
      <c r="T19" s="60">
        <f t="shared" si="0"/>
        <v>2</v>
      </c>
      <c r="U19" s="67">
        <f t="shared" si="3"/>
        <v>25</v>
      </c>
      <c r="V19" s="62">
        <f t="shared" si="1"/>
        <v>0</v>
      </c>
      <c r="W19" s="67">
        <f t="shared" si="4"/>
        <v>3</v>
      </c>
      <c r="X19" s="62">
        <f t="shared" si="2"/>
        <v>0</v>
      </c>
      <c r="Y19" s="67">
        <f t="shared" si="5"/>
        <v>0</v>
      </c>
      <c r="Z19" s="13"/>
    </row>
    <row r="20" spans="1:26">
      <c r="A20" s="50" t="s">
        <v>2812</v>
      </c>
      <c r="B20" s="66"/>
      <c r="C20" s="67">
        <f t="shared" si="3"/>
        <v>157</v>
      </c>
      <c r="D20" s="64"/>
      <c r="E20" s="67">
        <f t="shared" si="3"/>
        <v>23</v>
      </c>
      <c r="F20" s="64"/>
      <c r="G20" s="67">
        <f t="shared" si="3"/>
        <v>2</v>
      </c>
      <c r="H20" s="64"/>
      <c r="I20" s="67">
        <f t="shared" si="3"/>
        <v>0</v>
      </c>
      <c r="J20" s="66"/>
      <c r="K20" s="67">
        <f t="shared" si="3"/>
        <v>24</v>
      </c>
      <c r="L20" s="64"/>
      <c r="M20" s="67">
        <f t="shared" si="3"/>
        <v>2</v>
      </c>
      <c r="N20" s="64"/>
      <c r="O20" s="67">
        <f t="shared" si="3"/>
        <v>1</v>
      </c>
      <c r="P20" s="64"/>
      <c r="Q20" s="67">
        <f t="shared" si="3"/>
        <v>0</v>
      </c>
      <c r="R20" s="60">
        <f t="shared" si="0"/>
        <v>0</v>
      </c>
      <c r="S20" s="67">
        <f t="shared" si="3"/>
        <v>181</v>
      </c>
      <c r="T20" s="60">
        <f t="shared" si="0"/>
        <v>0</v>
      </c>
      <c r="U20" s="67">
        <f t="shared" si="3"/>
        <v>25</v>
      </c>
      <c r="V20" s="62">
        <f t="shared" si="1"/>
        <v>0</v>
      </c>
      <c r="W20" s="67">
        <f t="shared" si="4"/>
        <v>3</v>
      </c>
      <c r="X20" s="62">
        <f t="shared" si="2"/>
        <v>0</v>
      </c>
      <c r="Y20" s="67">
        <f t="shared" si="5"/>
        <v>0</v>
      </c>
      <c r="Z20" s="13"/>
    </row>
    <row r="21" spans="1:26">
      <c r="A21" s="50" t="s">
        <v>2813</v>
      </c>
      <c r="B21" s="66"/>
      <c r="C21" s="67">
        <f t="shared" si="3"/>
        <v>157</v>
      </c>
      <c r="D21" s="64"/>
      <c r="E21" s="67">
        <f t="shared" si="3"/>
        <v>23</v>
      </c>
      <c r="F21" s="64"/>
      <c r="G21" s="67">
        <f t="shared" si="3"/>
        <v>2</v>
      </c>
      <c r="H21" s="64"/>
      <c r="I21" s="67">
        <f t="shared" si="3"/>
        <v>0</v>
      </c>
      <c r="J21" s="66"/>
      <c r="K21" s="67">
        <f t="shared" si="3"/>
        <v>24</v>
      </c>
      <c r="L21" s="64"/>
      <c r="M21" s="67">
        <f t="shared" si="3"/>
        <v>2</v>
      </c>
      <c r="N21" s="64"/>
      <c r="O21" s="67">
        <f t="shared" si="3"/>
        <v>1</v>
      </c>
      <c r="P21" s="64"/>
      <c r="Q21" s="67">
        <f t="shared" si="3"/>
        <v>0</v>
      </c>
      <c r="R21" s="60">
        <f t="shared" si="0"/>
        <v>0</v>
      </c>
      <c r="S21" s="67">
        <f t="shared" si="3"/>
        <v>181</v>
      </c>
      <c r="T21" s="60">
        <f t="shared" si="0"/>
        <v>0</v>
      </c>
      <c r="U21" s="67">
        <f t="shared" si="3"/>
        <v>25</v>
      </c>
      <c r="V21" s="62">
        <f t="shared" si="1"/>
        <v>0</v>
      </c>
      <c r="W21" s="67">
        <f t="shared" si="4"/>
        <v>3</v>
      </c>
      <c r="X21" s="62">
        <f t="shared" si="2"/>
        <v>0</v>
      </c>
      <c r="Y21" s="67">
        <f t="shared" si="5"/>
        <v>0</v>
      </c>
      <c r="Z21" s="13"/>
    </row>
    <row r="22" spans="1:26">
      <c r="A22" s="50" t="s">
        <v>2814</v>
      </c>
      <c r="B22" s="66">
        <v>1</v>
      </c>
      <c r="C22" s="67">
        <f t="shared" si="3"/>
        <v>158</v>
      </c>
      <c r="D22" s="64"/>
      <c r="E22" s="67">
        <f t="shared" si="3"/>
        <v>23</v>
      </c>
      <c r="F22" s="64"/>
      <c r="G22" s="67">
        <f t="shared" si="3"/>
        <v>2</v>
      </c>
      <c r="H22" s="64"/>
      <c r="I22" s="67">
        <f t="shared" si="3"/>
        <v>0</v>
      </c>
      <c r="J22" s="66"/>
      <c r="K22" s="67">
        <f t="shared" si="3"/>
        <v>24</v>
      </c>
      <c r="L22" s="64"/>
      <c r="M22" s="67">
        <f t="shared" si="3"/>
        <v>2</v>
      </c>
      <c r="N22" s="64"/>
      <c r="O22" s="67">
        <f t="shared" si="3"/>
        <v>1</v>
      </c>
      <c r="P22" s="64"/>
      <c r="Q22" s="67">
        <f t="shared" si="3"/>
        <v>0</v>
      </c>
      <c r="R22" s="60">
        <f t="shared" si="0"/>
        <v>1</v>
      </c>
      <c r="S22" s="67">
        <f t="shared" si="3"/>
        <v>182</v>
      </c>
      <c r="T22" s="60">
        <f t="shared" si="0"/>
        <v>0</v>
      </c>
      <c r="U22" s="67">
        <f t="shared" si="3"/>
        <v>25</v>
      </c>
      <c r="V22" s="62">
        <f t="shared" si="1"/>
        <v>0</v>
      </c>
      <c r="W22" s="67">
        <f t="shared" si="4"/>
        <v>3</v>
      </c>
      <c r="X22" s="62">
        <f t="shared" si="2"/>
        <v>0</v>
      </c>
      <c r="Y22" s="67">
        <f t="shared" si="5"/>
        <v>0</v>
      </c>
      <c r="Z22" s="13"/>
    </row>
    <row r="23" spans="1:26">
      <c r="A23" s="50" t="s">
        <v>2815</v>
      </c>
      <c r="B23" s="66"/>
      <c r="C23" s="67">
        <f t="shared" ref="C23:S34" si="6">C22+B23</f>
        <v>158</v>
      </c>
      <c r="D23" s="64"/>
      <c r="E23" s="67">
        <f t="shared" si="6"/>
        <v>23</v>
      </c>
      <c r="F23" s="64"/>
      <c r="G23" s="67">
        <f t="shared" si="6"/>
        <v>2</v>
      </c>
      <c r="H23" s="64"/>
      <c r="I23" s="67">
        <f t="shared" si="6"/>
        <v>0</v>
      </c>
      <c r="J23" s="66"/>
      <c r="K23" s="67">
        <f t="shared" si="6"/>
        <v>24</v>
      </c>
      <c r="L23" s="64"/>
      <c r="M23" s="67">
        <f t="shared" si="6"/>
        <v>2</v>
      </c>
      <c r="N23" s="64"/>
      <c r="O23" s="67">
        <f t="shared" si="6"/>
        <v>1</v>
      </c>
      <c r="P23" s="64"/>
      <c r="Q23" s="67">
        <f t="shared" si="6"/>
        <v>0</v>
      </c>
      <c r="R23" s="60">
        <f t="shared" si="0"/>
        <v>0</v>
      </c>
      <c r="S23" s="67">
        <f t="shared" si="6"/>
        <v>182</v>
      </c>
      <c r="T23" s="60">
        <f t="shared" si="0"/>
        <v>0</v>
      </c>
      <c r="U23" s="67">
        <f t="shared" ref="U23:U34" si="7">U22+T23</f>
        <v>25</v>
      </c>
      <c r="V23" s="62">
        <f t="shared" si="1"/>
        <v>0</v>
      </c>
      <c r="W23" s="67">
        <f t="shared" si="4"/>
        <v>3</v>
      </c>
      <c r="X23" s="62">
        <f t="shared" si="2"/>
        <v>0</v>
      </c>
      <c r="Y23" s="67">
        <f t="shared" si="5"/>
        <v>0</v>
      </c>
      <c r="Z23" s="13"/>
    </row>
    <row r="24" spans="1:26">
      <c r="A24" s="50" t="s">
        <v>2816</v>
      </c>
      <c r="B24" s="66"/>
      <c r="C24" s="67">
        <f t="shared" si="6"/>
        <v>158</v>
      </c>
      <c r="D24" s="64"/>
      <c r="E24" s="67">
        <f t="shared" si="6"/>
        <v>23</v>
      </c>
      <c r="F24" s="64"/>
      <c r="G24" s="67">
        <f t="shared" si="6"/>
        <v>2</v>
      </c>
      <c r="H24" s="64"/>
      <c r="I24" s="67">
        <f t="shared" si="6"/>
        <v>0</v>
      </c>
      <c r="J24" s="66"/>
      <c r="K24" s="67">
        <f t="shared" si="6"/>
        <v>24</v>
      </c>
      <c r="L24" s="64"/>
      <c r="M24" s="67">
        <f t="shared" si="6"/>
        <v>2</v>
      </c>
      <c r="N24" s="64"/>
      <c r="O24" s="67">
        <f t="shared" si="6"/>
        <v>1</v>
      </c>
      <c r="P24" s="64"/>
      <c r="Q24" s="67">
        <f t="shared" si="6"/>
        <v>0</v>
      </c>
      <c r="R24" s="60">
        <f t="shared" si="0"/>
        <v>0</v>
      </c>
      <c r="S24" s="67">
        <f t="shared" si="6"/>
        <v>182</v>
      </c>
      <c r="T24" s="60">
        <f t="shared" si="0"/>
        <v>0</v>
      </c>
      <c r="U24" s="67">
        <f t="shared" si="7"/>
        <v>25</v>
      </c>
      <c r="V24" s="62">
        <f t="shared" si="1"/>
        <v>0</v>
      </c>
      <c r="W24" s="67">
        <f t="shared" si="4"/>
        <v>3</v>
      </c>
      <c r="X24" s="62">
        <f t="shared" si="2"/>
        <v>0</v>
      </c>
      <c r="Y24" s="67">
        <f t="shared" si="5"/>
        <v>0</v>
      </c>
      <c r="Z24" s="13"/>
    </row>
    <row r="25" spans="1:26">
      <c r="A25" s="50" t="s">
        <v>2817</v>
      </c>
      <c r="B25" s="66">
        <v>23</v>
      </c>
      <c r="C25" s="67">
        <f t="shared" si="6"/>
        <v>181</v>
      </c>
      <c r="D25" s="64">
        <v>4</v>
      </c>
      <c r="E25" s="67">
        <f t="shared" si="6"/>
        <v>27</v>
      </c>
      <c r="F25" s="64"/>
      <c r="G25" s="67">
        <f t="shared" si="6"/>
        <v>2</v>
      </c>
      <c r="H25" s="64"/>
      <c r="I25" s="67">
        <f t="shared" si="6"/>
        <v>0</v>
      </c>
      <c r="J25" s="66"/>
      <c r="K25" s="67">
        <f t="shared" si="6"/>
        <v>24</v>
      </c>
      <c r="L25" s="64"/>
      <c r="M25" s="67">
        <f t="shared" si="6"/>
        <v>2</v>
      </c>
      <c r="N25" s="64"/>
      <c r="O25" s="67">
        <f t="shared" si="6"/>
        <v>1</v>
      </c>
      <c r="P25" s="64"/>
      <c r="Q25" s="67">
        <f t="shared" si="6"/>
        <v>0</v>
      </c>
      <c r="R25" s="60">
        <f t="shared" si="0"/>
        <v>23</v>
      </c>
      <c r="S25" s="67">
        <f t="shared" si="6"/>
        <v>205</v>
      </c>
      <c r="T25" s="60">
        <f t="shared" si="0"/>
        <v>4</v>
      </c>
      <c r="U25" s="67">
        <f t="shared" si="7"/>
        <v>29</v>
      </c>
      <c r="V25" s="62">
        <f t="shared" si="1"/>
        <v>0</v>
      </c>
      <c r="W25" s="67">
        <f t="shared" si="4"/>
        <v>3</v>
      </c>
      <c r="X25" s="62">
        <f t="shared" si="2"/>
        <v>0</v>
      </c>
      <c r="Y25" s="67">
        <f t="shared" si="5"/>
        <v>0</v>
      </c>
      <c r="Z25" s="13"/>
    </row>
    <row r="26" spans="1:26">
      <c r="A26" s="50" t="s">
        <v>2818</v>
      </c>
      <c r="B26" s="66"/>
      <c r="C26" s="67">
        <f t="shared" si="6"/>
        <v>181</v>
      </c>
      <c r="D26" s="64"/>
      <c r="E26" s="67">
        <f t="shared" si="6"/>
        <v>27</v>
      </c>
      <c r="F26" s="64"/>
      <c r="G26" s="67">
        <f t="shared" si="6"/>
        <v>2</v>
      </c>
      <c r="H26" s="64"/>
      <c r="I26" s="67">
        <f t="shared" si="6"/>
        <v>0</v>
      </c>
      <c r="J26" s="66"/>
      <c r="K26" s="67">
        <f t="shared" si="6"/>
        <v>24</v>
      </c>
      <c r="L26" s="64"/>
      <c r="M26" s="67">
        <f t="shared" si="6"/>
        <v>2</v>
      </c>
      <c r="N26" s="64"/>
      <c r="O26" s="67">
        <f t="shared" si="6"/>
        <v>1</v>
      </c>
      <c r="P26" s="64"/>
      <c r="Q26" s="67">
        <f t="shared" si="6"/>
        <v>0</v>
      </c>
      <c r="R26" s="60">
        <f t="shared" si="0"/>
        <v>0</v>
      </c>
      <c r="S26" s="67">
        <f t="shared" si="6"/>
        <v>205</v>
      </c>
      <c r="T26" s="60">
        <f t="shared" si="0"/>
        <v>0</v>
      </c>
      <c r="U26" s="67">
        <f t="shared" si="7"/>
        <v>29</v>
      </c>
      <c r="V26" s="62">
        <f t="shared" si="1"/>
        <v>0</v>
      </c>
      <c r="W26" s="67">
        <f t="shared" si="4"/>
        <v>3</v>
      </c>
      <c r="X26" s="62">
        <f t="shared" si="2"/>
        <v>0</v>
      </c>
      <c r="Y26" s="67">
        <f t="shared" si="5"/>
        <v>0</v>
      </c>
      <c r="Z26" s="13"/>
    </row>
    <row r="27" spans="1:26">
      <c r="A27" s="50" t="s">
        <v>2819</v>
      </c>
      <c r="B27" s="66">
        <v>1</v>
      </c>
      <c r="C27" s="67">
        <f t="shared" si="6"/>
        <v>182</v>
      </c>
      <c r="D27" s="64">
        <v>1</v>
      </c>
      <c r="E27" s="67">
        <f t="shared" si="6"/>
        <v>28</v>
      </c>
      <c r="F27" s="64">
        <v>1</v>
      </c>
      <c r="G27" s="67">
        <f t="shared" si="6"/>
        <v>3</v>
      </c>
      <c r="H27" s="64"/>
      <c r="I27" s="67">
        <f t="shared" si="6"/>
        <v>0</v>
      </c>
      <c r="J27" s="66"/>
      <c r="K27" s="67">
        <f t="shared" si="6"/>
        <v>24</v>
      </c>
      <c r="L27" s="64"/>
      <c r="M27" s="67">
        <f t="shared" si="6"/>
        <v>2</v>
      </c>
      <c r="N27" s="64"/>
      <c r="O27" s="67">
        <f t="shared" si="6"/>
        <v>1</v>
      </c>
      <c r="P27" s="64"/>
      <c r="Q27" s="67">
        <f t="shared" si="6"/>
        <v>0</v>
      </c>
      <c r="R27" s="60">
        <f t="shared" si="0"/>
        <v>1</v>
      </c>
      <c r="S27" s="67">
        <f t="shared" si="6"/>
        <v>206</v>
      </c>
      <c r="T27" s="60">
        <f t="shared" si="0"/>
        <v>1</v>
      </c>
      <c r="U27" s="67">
        <f t="shared" si="7"/>
        <v>30</v>
      </c>
      <c r="V27" s="62">
        <f t="shared" si="1"/>
        <v>1</v>
      </c>
      <c r="W27" s="67">
        <f t="shared" si="4"/>
        <v>4</v>
      </c>
      <c r="X27" s="62">
        <f t="shared" si="2"/>
        <v>0</v>
      </c>
      <c r="Y27" s="67">
        <f t="shared" si="5"/>
        <v>0</v>
      </c>
      <c r="Z27" s="13"/>
    </row>
    <row r="28" spans="1:26">
      <c r="A28" s="50" t="s">
        <v>2820</v>
      </c>
      <c r="B28" s="66">
        <v>1</v>
      </c>
      <c r="C28" s="67">
        <f t="shared" si="6"/>
        <v>183</v>
      </c>
      <c r="D28" s="64">
        <v>1</v>
      </c>
      <c r="E28" s="67">
        <f t="shared" si="6"/>
        <v>29</v>
      </c>
      <c r="F28" s="64"/>
      <c r="G28" s="67">
        <f t="shared" si="6"/>
        <v>3</v>
      </c>
      <c r="H28" s="64"/>
      <c r="I28" s="67">
        <f t="shared" si="6"/>
        <v>0</v>
      </c>
      <c r="J28" s="66"/>
      <c r="K28" s="67">
        <f t="shared" si="6"/>
        <v>24</v>
      </c>
      <c r="L28" s="64"/>
      <c r="M28" s="67">
        <f t="shared" si="6"/>
        <v>2</v>
      </c>
      <c r="N28" s="64"/>
      <c r="O28" s="67">
        <f t="shared" si="6"/>
        <v>1</v>
      </c>
      <c r="P28" s="64"/>
      <c r="Q28" s="67">
        <f t="shared" si="6"/>
        <v>0</v>
      </c>
      <c r="R28" s="60">
        <f t="shared" si="0"/>
        <v>1</v>
      </c>
      <c r="S28" s="67">
        <f t="shared" si="6"/>
        <v>207</v>
      </c>
      <c r="T28" s="60">
        <f t="shared" si="0"/>
        <v>1</v>
      </c>
      <c r="U28" s="67">
        <f t="shared" si="7"/>
        <v>31</v>
      </c>
      <c r="V28" s="62">
        <f t="shared" si="1"/>
        <v>0</v>
      </c>
      <c r="W28" s="67">
        <f t="shared" si="4"/>
        <v>4</v>
      </c>
      <c r="X28" s="62">
        <f t="shared" si="2"/>
        <v>0</v>
      </c>
      <c r="Y28" s="67">
        <f t="shared" si="5"/>
        <v>0</v>
      </c>
      <c r="Z28" s="13"/>
    </row>
    <row r="29" spans="1:26">
      <c r="A29" s="50" t="s">
        <v>2821</v>
      </c>
      <c r="B29" s="66">
        <v>3</v>
      </c>
      <c r="C29" s="67">
        <f t="shared" si="6"/>
        <v>186</v>
      </c>
      <c r="D29" s="64">
        <v>0</v>
      </c>
      <c r="E29" s="67">
        <f t="shared" si="6"/>
        <v>29</v>
      </c>
      <c r="F29" s="64">
        <v>1</v>
      </c>
      <c r="G29" s="67">
        <f t="shared" si="6"/>
        <v>4</v>
      </c>
      <c r="H29" s="64"/>
      <c r="I29" s="67">
        <f t="shared" si="6"/>
        <v>0</v>
      </c>
      <c r="J29" s="66"/>
      <c r="K29" s="67">
        <f t="shared" si="6"/>
        <v>24</v>
      </c>
      <c r="L29" s="64"/>
      <c r="M29" s="67">
        <f t="shared" si="6"/>
        <v>2</v>
      </c>
      <c r="N29" s="64"/>
      <c r="O29" s="67">
        <f t="shared" si="6"/>
        <v>1</v>
      </c>
      <c r="P29" s="64"/>
      <c r="Q29" s="67">
        <f t="shared" si="6"/>
        <v>0</v>
      </c>
      <c r="R29" s="60">
        <f t="shared" si="0"/>
        <v>3</v>
      </c>
      <c r="S29" s="67">
        <f t="shared" si="6"/>
        <v>210</v>
      </c>
      <c r="T29" s="60">
        <f t="shared" si="0"/>
        <v>0</v>
      </c>
      <c r="U29" s="67">
        <f t="shared" si="7"/>
        <v>31</v>
      </c>
      <c r="V29" s="62">
        <f t="shared" si="1"/>
        <v>1</v>
      </c>
      <c r="W29" s="67">
        <f t="shared" si="4"/>
        <v>5</v>
      </c>
      <c r="X29" s="62">
        <f t="shared" si="2"/>
        <v>0</v>
      </c>
      <c r="Y29" s="67">
        <f t="shared" si="5"/>
        <v>0</v>
      </c>
      <c r="Z29" s="13"/>
    </row>
    <row r="30" spans="1:26">
      <c r="A30" s="50" t="s">
        <v>2822</v>
      </c>
      <c r="B30" s="66">
        <v>21</v>
      </c>
      <c r="C30" s="67">
        <f t="shared" si="6"/>
        <v>207</v>
      </c>
      <c r="D30" s="64">
        <v>2</v>
      </c>
      <c r="E30" s="67">
        <f t="shared" si="6"/>
        <v>31</v>
      </c>
      <c r="F30" s="64"/>
      <c r="G30" s="67">
        <f t="shared" si="6"/>
        <v>4</v>
      </c>
      <c r="H30" s="64"/>
      <c r="I30" s="67">
        <f t="shared" si="6"/>
        <v>0</v>
      </c>
      <c r="J30" s="66"/>
      <c r="K30" s="67">
        <f t="shared" si="6"/>
        <v>24</v>
      </c>
      <c r="L30" s="64"/>
      <c r="M30" s="67">
        <f t="shared" si="6"/>
        <v>2</v>
      </c>
      <c r="N30" s="64"/>
      <c r="O30" s="67">
        <f t="shared" si="6"/>
        <v>1</v>
      </c>
      <c r="P30" s="64"/>
      <c r="Q30" s="67">
        <f t="shared" si="6"/>
        <v>0</v>
      </c>
      <c r="R30" s="60">
        <f t="shared" si="0"/>
        <v>21</v>
      </c>
      <c r="S30" s="67">
        <f t="shared" si="6"/>
        <v>231</v>
      </c>
      <c r="T30" s="60">
        <f t="shared" si="0"/>
        <v>2</v>
      </c>
      <c r="U30" s="67">
        <f t="shared" si="7"/>
        <v>33</v>
      </c>
      <c r="V30" s="62">
        <f t="shared" si="1"/>
        <v>0</v>
      </c>
      <c r="W30" s="67">
        <f t="shared" si="4"/>
        <v>5</v>
      </c>
      <c r="X30" s="62">
        <f t="shared" si="2"/>
        <v>0</v>
      </c>
      <c r="Y30" s="67">
        <f t="shared" si="5"/>
        <v>0</v>
      </c>
      <c r="Z30" s="13"/>
    </row>
    <row r="31" spans="1:26">
      <c r="A31" s="50" t="s">
        <v>2823</v>
      </c>
      <c r="B31" s="66">
        <v>25</v>
      </c>
      <c r="C31" s="67">
        <f t="shared" si="6"/>
        <v>232</v>
      </c>
      <c r="D31" s="64">
        <v>4</v>
      </c>
      <c r="E31" s="67">
        <f t="shared" si="6"/>
        <v>35</v>
      </c>
      <c r="F31" s="64"/>
      <c r="G31" s="67">
        <f t="shared" si="6"/>
        <v>4</v>
      </c>
      <c r="H31" s="64"/>
      <c r="I31" s="67">
        <f t="shared" si="6"/>
        <v>0</v>
      </c>
      <c r="J31" s="66"/>
      <c r="K31" s="67">
        <f t="shared" si="6"/>
        <v>24</v>
      </c>
      <c r="L31" s="64"/>
      <c r="M31" s="67">
        <f t="shared" si="6"/>
        <v>2</v>
      </c>
      <c r="N31" s="64"/>
      <c r="O31" s="67">
        <f t="shared" si="6"/>
        <v>1</v>
      </c>
      <c r="P31" s="64"/>
      <c r="Q31" s="67">
        <f t="shared" si="6"/>
        <v>0</v>
      </c>
      <c r="R31" s="60">
        <f t="shared" si="0"/>
        <v>25</v>
      </c>
      <c r="S31" s="67">
        <f t="shared" si="6"/>
        <v>256</v>
      </c>
      <c r="T31" s="60">
        <f t="shared" si="0"/>
        <v>4</v>
      </c>
      <c r="U31" s="67">
        <f t="shared" si="7"/>
        <v>37</v>
      </c>
      <c r="V31" s="62">
        <f t="shared" si="1"/>
        <v>0</v>
      </c>
      <c r="W31" s="67">
        <f t="shared" si="4"/>
        <v>5</v>
      </c>
      <c r="X31" s="62">
        <f t="shared" si="2"/>
        <v>0</v>
      </c>
      <c r="Y31" s="67">
        <f t="shared" si="5"/>
        <v>0</v>
      </c>
      <c r="Z31" s="13"/>
    </row>
    <row r="32" spans="1:26">
      <c r="A32" s="50" t="s">
        <v>2824</v>
      </c>
      <c r="B32" s="66">
        <v>16</v>
      </c>
      <c r="C32" s="67">
        <f t="shared" si="6"/>
        <v>248</v>
      </c>
      <c r="D32" s="64">
        <v>2</v>
      </c>
      <c r="E32" s="67">
        <f t="shared" si="6"/>
        <v>37</v>
      </c>
      <c r="F32" s="64">
        <v>2</v>
      </c>
      <c r="G32" s="67">
        <f t="shared" si="6"/>
        <v>6</v>
      </c>
      <c r="H32" s="64"/>
      <c r="I32" s="67">
        <f t="shared" si="6"/>
        <v>0</v>
      </c>
      <c r="J32" s="66"/>
      <c r="K32" s="67">
        <f t="shared" si="6"/>
        <v>24</v>
      </c>
      <c r="L32" s="64"/>
      <c r="M32" s="67">
        <f t="shared" si="6"/>
        <v>2</v>
      </c>
      <c r="N32" s="64"/>
      <c r="O32" s="67">
        <f t="shared" si="6"/>
        <v>1</v>
      </c>
      <c r="P32" s="64"/>
      <c r="Q32" s="67">
        <f t="shared" si="6"/>
        <v>0</v>
      </c>
      <c r="R32" s="60">
        <f t="shared" si="0"/>
        <v>16</v>
      </c>
      <c r="S32" s="67">
        <f t="shared" si="6"/>
        <v>272</v>
      </c>
      <c r="T32" s="60">
        <f t="shared" si="0"/>
        <v>2</v>
      </c>
      <c r="U32" s="67">
        <f t="shared" si="7"/>
        <v>39</v>
      </c>
      <c r="V32" s="62">
        <f t="shared" si="1"/>
        <v>2</v>
      </c>
      <c r="W32" s="67">
        <f t="shared" si="4"/>
        <v>7</v>
      </c>
      <c r="X32" s="62">
        <f t="shared" si="2"/>
        <v>0</v>
      </c>
      <c r="Y32" s="67">
        <f t="shared" si="5"/>
        <v>0</v>
      </c>
      <c r="Z32" s="13"/>
    </row>
    <row r="33" spans="1:26">
      <c r="A33" s="50" t="s">
        <v>2825</v>
      </c>
      <c r="B33" s="66">
        <v>2</v>
      </c>
      <c r="C33" s="67">
        <f t="shared" si="6"/>
        <v>250</v>
      </c>
      <c r="D33" s="64"/>
      <c r="E33" s="67">
        <f t="shared" si="6"/>
        <v>37</v>
      </c>
      <c r="F33" s="64"/>
      <c r="G33" s="67">
        <f t="shared" si="6"/>
        <v>6</v>
      </c>
      <c r="H33" s="64"/>
      <c r="I33" s="67">
        <f t="shared" si="6"/>
        <v>0</v>
      </c>
      <c r="J33" s="66"/>
      <c r="K33" s="67">
        <f t="shared" si="6"/>
        <v>24</v>
      </c>
      <c r="L33" s="64"/>
      <c r="M33" s="67">
        <f t="shared" si="6"/>
        <v>2</v>
      </c>
      <c r="N33" s="64"/>
      <c r="O33" s="67">
        <f t="shared" si="6"/>
        <v>1</v>
      </c>
      <c r="P33" s="64"/>
      <c r="Q33" s="67">
        <f t="shared" si="6"/>
        <v>0</v>
      </c>
      <c r="R33" s="60">
        <f t="shared" si="0"/>
        <v>2</v>
      </c>
      <c r="S33" s="67">
        <f t="shared" si="6"/>
        <v>274</v>
      </c>
      <c r="T33" s="60">
        <f t="shared" si="0"/>
        <v>0</v>
      </c>
      <c r="U33" s="67">
        <f t="shared" si="7"/>
        <v>39</v>
      </c>
      <c r="V33" s="62">
        <f t="shared" si="1"/>
        <v>0</v>
      </c>
      <c r="W33" s="67">
        <f t="shared" si="4"/>
        <v>7</v>
      </c>
      <c r="X33" s="62">
        <f t="shared" si="2"/>
        <v>0</v>
      </c>
      <c r="Y33" s="67">
        <f t="shared" si="5"/>
        <v>0</v>
      </c>
      <c r="Z33" s="13"/>
    </row>
    <row r="34" spans="1:26">
      <c r="A34" s="50" t="s">
        <v>2826</v>
      </c>
      <c r="B34" s="68"/>
      <c r="C34" s="67">
        <f t="shared" si="6"/>
        <v>250</v>
      </c>
      <c r="D34" s="64"/>
      <c r="E34" s="67">
        <f t="shared" si="6"/>
        <v>37</v>
      </c>
      <c r="F34" s="64"/>
      <c r="G34" s="67">
        <f t="shared" si="6"/>
        <v>6</v>
      </c>
      <c r="H34" s="64"/>
      <c r="I34" s="67">
        <f t="shared" si="6"/>
        <v>0</v>
      </c>
      <c r="J34" s="66"/>
      <c r="K34" s="67">
        <f t="shared" si="6"/>
        <v>24</v>
      </c>
      <c r="L34" s="64"/>
      <c r="M34" s="67">
        <f t="shared" si="6"/>
        <v>2</v>
      </c>
      <c r="N34" s="64"/>
      <c r="O34" s="67">
        <f t="shared" si="6"/>
        <v>1</v>
      </c>
      <c r="P34" s="64"/>
      <c r="Q34" s="67">
        <f t="shared" si="6"/>
        <v>0</v>
      </c>
      <c r="R34" s="60">
        <f t="shared" si="0"/>
        <v>0</v>
      </c>
      <c r="S34" s="67">
        <f t="shared" si="6"/>
        <v>274</v>
      </c>
      <c r="T34" s="60">
        <f t="shared" si="0"/>
        <v>0</v>
      </c>
      <c r="U34" s="67">
        <f t="shared" si="7"/>
        <v>39</v>
      </c>
      <c r="V34" s="62">
        <f t="shared" si="1"/>
        <v>0</v>
      </c>
      <c r="W34" s="67">
        <f t="shared" si="4"/>
        <v>7</v>
      </c>
      <c r="X34" s="62">
        <f t="shared" si="2"/>
        <v>0</v>
      </c>
      <c r="Y34" s="67">
        <f t="shared" si="5"/>
        <v>0</v>
      </c>
      <c r="Z34" s="13"/>
    </row>
    <row r="35" spans="1:26">
      <c r="A35" s="35" t="s">
        <v>2444</v>
      </c>
      <c r="B35" s="36" t="s">
        <v>2444</v>
      </c>
      <c r="C35" s="37" t="s">
        <v>2444</v>
      </c>
      <c r="D35" s="38" t="s">
        <v>2444</v>
      </c>
      <c r="E35" s="37" t="s">
        <v>2444</v>
      </c>
      <c r="F35" s="38" t="s">
        <v>2444</v>
      </c>
      <c r="G35" s="37" t="s">
        <v>2444</v>
      </c>
      <c r="H35" s="38" t="s">
        <v>2444</v>
      </c>
      <c r="I35" s="34" t="s">
        <v>2444</v>
      </c>
      <c r="J35" s="39" t="s">
        <v>2444</v>
      </c>
      <c r="K35" s="37" t="s">
        <v>2444</v>
      </c>
      <c r="L35" s="38" t="s">
        <v>2444</v>
      </c>
      <c r="M35" s="37" t="s">
        <v>2444</v>
      </c>
      <c r="N35" s="38" t="s">
        <v>2444</v>
      </c>
      <c r="O35" s="37" t="s">
        <v>2444</v>
      </c>
      <c r="P35" s="38" t="s">
        <v>2444</v>
      </c>
      <c r="Q35" s="40" t="s">
        <v>2444</v>
      </c>
      <c r="R35" s="38" t="s">
        <v>2444</v>
      </c>
      <c r="S35" s="37" t="s">
        <v>2444</v>
      </c>
      <c r="T35" s="38" t="s">
        <v>2444</v>
      </c>
      <c r="U35" s="37" t="s">
        <v>2444</v>
      </c>
      <c r="V35" s="38" t="s">
        <v>2444</v>
      </c>
      <c r="W35" s="37" t="s">
        <v>2444</v>
      </c>
      <c r="X35" s="38" t="s">
        <v>2444</v>
      </c>
      <c r="Y35" s="40" t="s">
        <v>2444</v>
      </c>
      <c r="Z35" s="13"/>
    </row>
    <row r="36" spans="1:26">
      <c r="A36" s="33"/>
      <c r="B36" s="33" t="s">
        <v>2444</v>
      </c>
      <c r="C36" s="33" t="s">
        <v>2444</v>
      </c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13"/>
    </row>
    <row r="37" spans="1:26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13"/>
    </row>
    <row r="38" spans="1:26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13"/>
    </row>
    <row r="39" spans="1:26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13"/>
    </row>
    <row r="40" spans="1:26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13"/>
    </row>
    <row r="41" spans="1:26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13"/>
    </row>
    <row r="42" spans="1:26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13"/>
    </row>
    <row r="43" spans="1:26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13"/>
    </row>
    <row r="44" spans="1:26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13"/>
    </row>
    <row r="45" spans="1:26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13"/>
    </row>
    <row r="46" spans="1:26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13"/>
    </row>
    <row r="47" spans="1:26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13"/>
    </row>
    <row r="48" spans="1:26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13"/>
    </row>
    <row r="49" spans="1:26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13"/>
    </row>
    <row r="50" spans="1:26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13"/>
    </row>
    <row r="51" spans="1:26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13"/>
    </row>
    <row r="52" spans="1:26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13"/>
    </row>
    <row r="53" spans="1:26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13"/>
    </row>
    <row r="54" spans="1:26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13"/>
    </row>
    <row r="55" spans="1:26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13"/>
    </row>
    <row r="56" spans="1:26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13"/>
    </row>
    <row r="57" spans="1:26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13"/>
    </row>
    <row r="58" spans="1:26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13"/>
    </row>
    <row r="59" spans="1:26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13"/>
    </row>
    <row r="60" spans="1:26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13"/>
    </row>
    <row r="61" spans="1:26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13"/>
    </row>
    <row r="62" spans="1:26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13"/>
    </row>
    <row r="63" spans="1:26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13"/>
    </row>
    <row r="64" spans="1:26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13"/>
    </row>
    <row r="65" spans="1:26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13"/>
    </row>
    <row r="66" spans="1:26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13"/>
    </row>
    <row r="67" spans="1:26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13"/>
    </row>
    <row r="68" spans="1:26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13"/>
    </row>
    <row r="69" spans="1:26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13"/>
    </row>
    <row r="70" spans="1:26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13"/>
    </row>
    <row r="71" spans="1:26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13"/>
    </row>
    <row r="72" spans="1:26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13"/>
    </row>
    <row r="73" spans="1:26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13"/>
    </row>
    <row r="74" spans="1:26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13"/>
    </row>
    <row r="75" spans="1:26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13"/>
    </row>
    <row r="76" spans="1:26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13"/>
    </row>
    <row r="77" spans="1:26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13"/>
    </row>
    <row r="78" spans="1:26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13"/>
    </row>
    <row r="79" spans="1:26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13"/>
    </row>
    <row r="80" spans="1:26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13"/>
    </row>
    <row r="81" spans="1:26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13"/>
    </row>
    <row r="82" spans="1:26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13"/>
    </row>
    <row r="83" spans="1:26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13"/>
    </row>
    <row r="84" spans="1:26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13"/>
    </row>
    <row r="85" spans="1:26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13"/>
    </row>
    <row r="86" spans="1:26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13"/>
    </row>
    <row r="87" spans="1:26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13"/>
    </row>
    <row r="88" spans="1:26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13"/>
    </row>
    <row r="89" spans="1:26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13"/>
    </row>
    <row r="90" spans="1:26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13"/>
    </row>
    <row r="91" spans="1:26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13"/>
    </row>
    <row r="92" spans="1:26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13"/>
    </row>
    <row r="93" spans="1:26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13"/>
    </row>
    <row r="94" spans="1:26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13"/>
    </row>
    <row r="95" spans="1:26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13"/>
    </row>
    <row r="96" spans="1:26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13"/>
    </row>
    <row r="97" spans="1:26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13"/>
    </row>
    <row r="98" spans="1:26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13"/>
    </row>
    <row r="99" spans="1:26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13"/>
    </row>
    <row r="100" spans="1:26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13"/>
    </row>
    <row r="101" spans="1:26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13"/>
    </row>
    <row r="102" spans="1:26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13"/>
    </row>
    <row r="103" spans="1:26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13"/>
    </row>
    <row r="104" spans="1:26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13"/>
    </row>
    <row r="105" spans="1:26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13"/>
    </row>
    <row r="106" spans="1:26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13"/>
    </row>
    <row r="107" spans="1:26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13"/>
    </row>
    <row r="108" spans="1:26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13"/>
    </row>
    <row r="109" spans="1:26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13"/>
    </row>
    <row r="110" spans="1:26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13"/>
    </row>
    <row r="111" spans="1:26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13"/>
    </row>
    <row r="112" spans="1:26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13"/>
    </row>
    <row r="113" spans="1:26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13"/>
    </row>
    <row r="114" spans="1:26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13"/>
    </row>
    <row r="115" spans="1:26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13"/>
    </row>
    <row r="116" spans="1:26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13"/>
    </row>
    <row r="117" spans="1:26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13"/>
    </row>
    <row r="118" spans="1:26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13"/>
    </row>
    <row r="119" spans="1:26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13"/>
    </row>
    <row r="120" spans="1:26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13"/>
    </row>
    <row r="121" spans="1:26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13"/>
    </row>
    <row r="122" spans="1:26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13"/>
    </row>
    <row r="123" spans="1:26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13"/>
    </row>
    <row r="124" spans="1:26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13"/>
    </row>
    <row r="125" spans="1:26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13"/>
    </row>
    <row r="126" spans="1:26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13"/>
    </row>
    <row r="127" spans="1:26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13"/>
    </row>
    <row r="128" spans="1:26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13"/>
    </row>
    <row r="129" spans="1:26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13"/>
    </row>
    <row r="130" spans="1:26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13"/>
    </row>
    <row r="131" spans="1:26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13"/>
    </row>
    <row r="132" spans="1:26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13"/>
    </row>
    <row r="133" spans="1:26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13"/>
    </row>
    <row r="134" spans="1:26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13"/>
    </row>
    <row r="135" spans="1:26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13"/>
    </row>
    <row r="136" spans="1:26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13"/>
    </row>
    <row r="137" spans="1:26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13"/>
    </row>
    <row r="138" spans="1:26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13"/>
    </row>
    <row r="139" spans="1:26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13"/>
    </row>
    <row r="140" spans="1:26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13"/>
    </row>
    <row r="141" spans="1:26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13"/>
    </row>
    <row r="142" spans="1:26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13"/>
    </row>
    <row r="143" spans="1:26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13"/>
    </row>
    <row r="144" spans="1:26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13"/>
    </row>
    <row r="145" spans="1:26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13"/>
    </row>
    <row r="146" spans="1:26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13"/>
    </row>
    <row r="147" spans="1:26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13"/>
    </row>
    <row r="148" spans="1:26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13"/>
    </row>
    <row r="149" spans="1:26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13"/>
    </row>
    <row r="150" spans="1:26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13"/>
    </row>
    <row r="151" spans="1:26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13"/>
    </row>
    <row r="152" spans="1:26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13"/>
    </row>
    <row r="153" spans="1:26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13"/>
    </row>
    <row r="154" spans="1:26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13"/>
    </row>
    <row r="155" spans="1:26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13"/>
    </row>
    <row r="156" spans="1:26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13"/>
    </row>
    <row r="157" spans="1:26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13"/>
    </row>
    <row r="158" spans="1:26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13"/>
    </row>
    <row r="159" spans="1:26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13"/>
    </row>
    <row r="160" spans="1:26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13"/>
    </row>
    <row r="161" spans="1:26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13"/>
    </row>
    <row r="162" spans="1:26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13"/>
    </row>
    <row r="163" spans="1:26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13"/>
    </row>
    <row r="164" spans="1:26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13"/>
    </row>
    <row r="165" spans="1:26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13"/>
    </row>
    <row r="166" spans="1:26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13"/>
    </row>
    <row r="167" spans="1:26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13"/>
    </row>
    <row r="168" spans="1:26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13"/>
    </row>
    <row r="169" spans="1:26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13"/>
    </row>
    <row r="170" spans="1:26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13"/>
    </row>
    <row r="171" spans="1:26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13"/>
    </row>
    <row r="172" spans="1:26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13"/>
    </row>
    <row r="173" spans="1:26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13"/>
    </row>
    <row r="174" spans="1:26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13"/>
    </row>
    <row r="175" spans="1:26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13"/>
    </row>
  </sheetData>
  <mergeCells count="3">
    <mergeCell ref="B2:I2"/>
    <mergeCell ref="J2:Q2"/>
    <mergeCell ref="R2:Y2"/>
  </mergeCells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88BF-EC8E-47DA-B5AC-F3C550346C93}">
  <dimension ref="A1:V88"/>
  <sheetViews>
    <sheetView workbookViewId="0"/>
  </sheetViews>
  <sheetFormatPr defaultColWidth="9" defaultRowHeight="18"/>
  <cols>
    <col min="1" max="1" width="9.5" style="123" customWidth="1"/>
    <col min="2" max="2" width="43.25" style="123" customWidth="1"/>
    <col min="3" max="4" width="17.625" style="123" customWidth="1"/>
    <col min="5" max="5" width="9" style="123" customWidth="1"/>
    <col min="6" max="6" width="28.25" style="123" customWidth="1"/>
    <col min="7" max="7" width="8.375" style="123" customWidth="1"/>
    <col min="8" max="8" width="33.125" style="123" customWidth="1"/>
    <col min="9" max="9" width="6.5" style="123" customWidth="1"/>
    <col min="10" max="10" width="17.625" style="123" customWidth="1"/>
    <col min="11" max="12" width="26" style="123" customWidth="1"/>
    <col min="13" max="14" width="255" style="123" customWidth="1"/>
    <col min="15" max="15" width="28.625" style="123" customWidth="1"/>
    <col min="16" max="16" width="11.5" style="123" customWidth="1"/>
    <col min="17" max="17" width="15" style="123" customWidth="1"/>
    <col min="18" max="18" width="9.25" style="123" customWidth="1"/>
    <col min="19" max="19" width="6.875" style="123" customWidth="1"/>
    <col min="20" max="20" width="15.75" style="123" customWidth="1"/>
    <col min="21" max="21" width="10.125" style="123" customWidth="1"/>
    <col min="22" max="22" width="15" style="123" customWidth="1"/>
    <col min="23" max="16384" width="9" style="123"/>
  </cols>
  <sheetData>
    <row r="1" spans="1:22">
      <c r="A1" s="123" t="s">
        <v>2827</v>
      </c>
      <c r="B1" s="123" t="s">
        <v>2828</v>
      </c>
      <c r="C1" s="123" t="s">
        <v>2829</v>
      </c>
      <c r="D1" s="123" t="s">
        <v>2829</v>
      </c>
      <c r="E1" s="123" t="s">
        <v>1883</v>
      </c>
      <c r="F1" s="123" t="s">
        <v>1325</v>
      </c>
      <c r="G1" s="123" t="s">
        <v>1327</v>
      </c>
      <c r="H1" s="123" t="s">
        <v>2830</v>
      </c>
      <c r="I1" s="123" t="s">
        <v>2831</v>
      </c>
      <c r="J1" s="123" t="s">
        <v>2832</v>
      </c>
      <c r="K1" s="123" t="s">
        <v>2833</v>
      </c>
      <c r="L1" s="123" t="s">
        <v>2834</v>
      </c>
      <c r="M1" s="123" t="s">
        <v>2835</v>
      </c>
      <c r="N1" s="123" t="s">
        <v>2836</v>
      </c>
      <c r="O1" s="123" t="s">
        <v>2837</v>
      </c>
      <c r="P1" s="123" t="s">
        <v>2838</v>
      </c>
      <c r="Q1" s="123" t="s">
        <v>2839</v>
      </c>
      <c r="R1" s="123" t="s">
        <v>2840</v>
      </c>
      <c r="S1" s="123" t="s">
        <v>2841</v>
      </c>
      <c r="T1" s="123" t="s">
        <v>2842</v>
      </c>
      <c r="U1" s="123" t="s">
        <v>2843</v>
      </c>
      <c r="V1" s="123" t="s">
        <v>2844</v>
      </c>
    </row>
    <row r="2" spans="1:22">
      <c r="A2" s="123" t="s">
        <v>2845</v>
      </c>
      <c r="B2" s="123" t="s">
        <v>2846</v>
      </c>
      <c r="C2" s="124">
        <v>45818.507477893516</v>
      </c>
      <c r="D2" s="124">
        <v>45818.507477893516</v>
      </c>
      <c r="E2" s="123" t="s">
        <v>2379</v>
      </c>
      <c r="F2" s="123" t="s">
        <v>2847</v>
      </c>
      <c r="G2" s="123" t="s">
        <v>2848</v>
      </c>
      <c r="H2" s="123" t="s">
        <v>2849</v>
      </c>
      <c r="I2" s="123" t="s">
        <v>2379</v>
      </c>
      <c r="J2" s="123" t="s">
        <v>2850</v>
      </c>
      <c r="K2" s="123" t="s">
        <v>2851</v>
      </c>
      <c r="L2" s="123" t="s">
        <v>2379</v>
      </c>
      <c r="M2" s="123" t="s">
        <v>2852</v>
      </c>
      <c r="N2" s="123" t="s">
        <v>2853</v>
      </c>
      <c r="O2" s="123" t="s">
        <v>2854</v>
      </c>
      <c r="P2" s="123" t="s">
        <v>2855</v>
      </c>
      <c r="Q2" s="123" t="s">
        <v>2856</v>
      </c>
      <c r="R2" s="123" t="s">
        <v>2379</v>
      </c>
      <c r="S2" s="123" t="s">
        <v>2379</v>
      </c>
      <c r="T2" s="123" t="s">
        <v>2379</v>
      </c>
      <c r="U2" s="123" t="s">
        <v>2379</v>
      </c>
      <c r="V2" s="123" t="s">
        <v>2857</v>
      </c>
    </row>
    <row r="3" spans="1:22">
      <c r="A3" s="123" t="s">
        <v>2845</v>
      </c>
      <c r="B3" s="123" t="s">
        <v>2846</v>
      </c>
      <c r="C3" s="124">
        <v>45818.507477893516</v>
      </c>
      <c r="D3" s="124">
        <v>45818.507477893516</v>
      </c>
      <c r="E3" s="123" t="s">
        <v>2379</v>
      </c>
      <c r="F3" s="123" t="s">
        <v>2847</v>
      </c>
      <c r="G3" s="123" t="s">
        <v>2848</v>
      </c>
      <c r="H3" s="123" t="s">
        <v>2849</v>
      </c>
      <c r="I3" s="123" t="s">
        <v>2379</v>
      </c>
      <c r="J3" s="123" t="s">
        <v>2850</v>
      </c>
      <c r="K3" s="123" t="s">
        <v>2851</v>
      </c>
      <c r="L3" s="123" t="s">
        <v>2379</v>
      </c>
      <c r="M3" s="123" t="s">
        <v>2852</v>
      </c>
      <c r="N3" s="123" t="s">
        <v>2853</v>
      </c>
      <c r="O3" s="123" t="s">
        <v>2854</v>
      </c>
      <c r="P3" s="123" t="s">
        <v>2855</v>
      </c>
      <c r="Q3" s="123" t="s">
        <v>2856</v>
      </c>
      <c r="R3" s="123" t="s">
        <v>2379</v>
      </c>
      <c r="S3" s="123" t="s">
        <v>2379</v>
      </c>
      <c r="T3" s="123" t="s">
        <v>2379</v>
      </c>
      <c r="U3" s="123" t="s">
        <v>2379</v>
      </c>
      <c r="V3" s="123" t="s">
        <v>2858</v>
      </c>
    </row>
    <row r="4" spans="1:22">
      <c r="A4" s="123" t="s">
        <v>2845</v>
      </c>
      <c r="B4" s="123" t="s">
        <v>2846</v>
      </c>
      <c r="C4" s="124">
        <v>45818.507477893516</v>
      </c>
      <c r="D4" s="124">
        <v>45818.507477893516</v>
      </c>
      <c r="E4" s="123" t="s">
        <v>2379</v>
      </c>
      <c r="F4" s="123" t="s">
        <v>2847</v>
      </c>
      <c r="G4" s="123" t="s">
        <v>2848</v>
      </c>
      <c r="H4" s="123" t="s">
        <v>2849</v>
      </c>
      <c r="I4" s="123" t="s">
        <v>2379</v>
      </c>
      <c r="J4" s="123" t="s">
        <v>2850</v>
      </c>
      <c r="K4" s="123" t="s">
        <v>2851</v>
      </c>
      <c r="L4" s="123" t="s">
        <v>2379</v>
      </c>
      <c r="M4" s="123" t="s">
        <v>2852</v>
      </c>
      <c r="N4" s="123" t="s">
        <v>2853</v>
      </c>
      <c r="O4" s="123" t="s">
        <v>2854</v>
      </c>
      <c r="P4" s="123" t="s">
        <v>2855</v>
      </c>
      <c r="Q4" s="123" t="s">
        <v>2856</v>
      </c>
      <c r="R4" s="123" t="s">
        <v>2379</v>
      </c>
      <c r="S4" s="123" t="s">
        <v>2379</v>
      </c>
      <c r="T4" s="123" t="s">
        <v>2379</v>
      </c>
      <c r="U4" s="123" t="s">
        <v>2379</v>
      </c>
      <c r="V4" s="123" t="s">
        <v>2859</v>
      </c>
    </row>
    <row r="5" spans="1:22">
      <c r="A5" s="123" t="s">
        <v>2845</v>
      </c>
      <c r="B5" s="123" t="s">
        <v>2846</v>
      </c>
      <c r="C5" s="124">
        <v>45818.507477893516</v>
      </c>
      <c r="D5" s="124">
        <v>45818.507477893516</v>
      </c>
      <c r="E5" s="123" t="s">
        <v>2379</v>
      </c>
      <c r="F5" s="123" t="s">
        <v>2847</v>
      </c>
      <c r="G5" s="123" t="s">
        <v>2848</v>
      </c>
      <c r="H5" s="123" t="s">
        <v>2849</v>
      </c>
      <c r="I5" s="123" t="s">
        <v>2379</v>
      </c>
      <c r="J5" s="123" t="s">
        <v>2850</v>
      </c>
      <c r="K5" s="123" t="s">
        <v>2851</v>
      </c>
      <c r="L5" s="123" t="s">
        <v>2379</v>
      </c>
      <c r="M5" s="123" t="s">
        <v>2852</v>
      </c>
      <c r="N5" s="123" t="s">
        <v>2853</v>
      </c>
      <c r="O5" s="123" t="s">
        <v>2854</v>
      </c>
      <c r="P5" s="123" t="s">
        <v>2855</v>
      </c>
      <c r="Q5" s="123" t="s">
        <v>2856</v>
      </c>
      <c r="R5" s="123" t="s">
        <v>2379</v>
      </c>
      <c r="S5" s="123" t="s">
        <v>2379</v>
      </c>
      <c r="T5" s="123" t="s">
        <v>2379</v>
      </c>
      <c r="U5" s="123" t="s">
        <v>2379</v>
      </c>
      <c r="V5" s="123" t="s">
        <v>2860</v>
      </c>
    </row>
    <row r="6" spans="1:22">
      <c r="A6" s="123" t="s">
        <v>2845</v>
      </c>
      <c r="B6" s="123" t="s">
        <v>2846</v>
      </c>
      <c r="C6" s="124">
        <v>45818.507477893516</v>
      </c>
      <c r="D6" s="124">
        <v>45818.507477893516</v>
      </c>
      <c r="E6" s="123" t="s">
        <v>2379</v>
      </c>
      <c r="F6" s="123" t="s">
        <v>2847</v>
      </c>
      <c r="G6" s="123" t="s">
        <v>2848</v>
      </c>
      <c r="H6" s="123" t="s">
        <v>2849</v>
      </c>
      <c r="I6" s="123" t="s">
        <v>2379</v>
      </c>
      <c r="J6" s="123" t="s">
        <v>2850</v>
      </c>
      <c r="K6" s="123" t="s">
        <v>2851</v>
      </c>
      <c r="L6" s="123" t="s">
        <v>2379</v>
      </c>
      <c r="M6" s="123" t="s">
        <v>2852</v>
      </c>
      <c r="N6" s="123" t="s">
        <v>2853</v>
      </c>
      <c r="O6" s="123" t="s">
        <v>2854</v>
      </c>
      <c r="P6" s="123" t="s">
        <v>2855</v>
      </c>
      <c r="Q6" s="123" t="s">
        <v>2856</v>
      </c>
      <c r="R6" s="123" t="s">
        <v>2379</v>
      </c>
      <c r="S6" s="123" t="s">
        <v>2379</v>
      </c>
      <c r="T6" s="123" t="s">
        <v>2379</v>
      </c>
      <c r="U6" s="123" t="s">
        <v>2379</v>
      </c>
      <c r="V6" s="123" t="s">
        <v>2379</v>
      </c>
    </row>
    <row r="7" spans="1:22">
      <c r="A7" s="123" t="s">
        <v>2845</v>
      </c>
      <c r="B7" s="123" t="s">
        <v>2846</v>
      </c>
      <c r="C7" s="124">
        <v>45818.507477893516</v>
      </c>
      <c r="D7" s="124">
        <v>45818.507477893516</v>
      </c>
      <c r="E7" s="123" t="s">
        <v>2379</v>
      </c>
      <c r="F7" s="123" t="s">
        <v>2847</v>
      </c>
      <c r="G7" s="123" t="s">
        <v>2848</v>
      </c>
      <c r="H7" s="123" t="s">
        <v>2849</v>
      </c>
      <c r="I7" s="123" t="s">
        <v>2379</v>
      </c>
      <c r="J7" s="123" t="s">
        <v>2850</v>
      </c>
      <c r="K7" s="123" t="s">
        <v>2851</v>
      </c>
      <c r="L7" s="123" t="s">
        <v>2379</v>
      </c>
      <c r="M7" s="123" t="s">
        <v>2852</v>
      </c>
      <c r="N7" s="123" t="s">
        <v>2853</v>
      </c>
      <c r="O7" s="123" t="s">
        <v>2854</v>
      </c>
      <c r="P7" s="123" t="s">
        <v>2855</v>
      </c>
      <c r="Q7" s="123" t="s">
        <v>2856</v>
      </c>
      <c r="R7" s="123" t="s">
        <v>2379</v>
      </c>
      <c r="S7" s="123" t="s">
        <v>2379</v>
      </c>
      <c r="T7" s="123" t="s">
        <v>2379</v>
      </c>
      <c r="U7" s="123" t="s">
        <v>2379</v>
      </c>
      <c r="V7" s="123" t="s">
        <v>2861</v>
      </c>
    </row>
    <row r="8" spans="1:22">
      <c r="A8" s="123" t="s">
        <v>2862</v>
      </c>
      <c r="B8" s="123" t="s">
        <v>1900</v>
      </c>
      <c r="C8" s="124">
        <v>45916.560334363428</v>
      </c>
      <c r="D8" s="124">
        <v>45916.560334363428</v>
      </c>
      <c r="E8" s="123" t="s">
        <v>1893</v>
      </c>
      <c r="F8" s="123" t="s">
        <v>2003</v>
      </c>
      <c r="G8" s="123" t="s">
        <v>2004</v>
      </c>
      <c r="H8" s="123" t="s">
        <v>2002</v>
      </c>
      <c r="I8" s="123" t="s">
        <v>2379</v>
      </c>
      <c r="J8" s="123" t="s">
        <v>1946</v>
      </c>
      <c r="K8" s="123" t="s">
        <v>2863</v>
      </c>
      <c r="L8" s="123" t="s">
        <v>2379</v>
      </c>
      <c r="M8" s="123" t="s">
        <v>2864</v>
      </c>
      <c r="N8" s="123" t="s">
        <v>2865</v>
      </c>
      <c r="O8" s="123" t="s">
        <v>2854</v>
      </c>
      <c r="P8" s="123" t="s">
        <v>2379</v>
      </c>
      <c r="Q8" s="123" t="s">
        <v>2866</v>
      </c>
      <c r="R8" s="123" t="s">
        <v>2379</v>
      </c>
      <c r="S8" s="123" t="s">
        <v>2379</v>
      </c>
      <c r="T8" s="123" t="s">
        <v>2379</v>
      </c>
      <c r="U8" s="123" t="s">
        <v>2379</v>
      </c>
      <c r="V8" s="123" t="s">
        <v>2379</v>
      </c>
    </row>
    <row r="9" spans="1:22">
      <c r="A9" s="123" t="s">
        <v>2862</v>
      </c>
      <c r="B9" s="123" t="s">
        <v>1900</v>
      </c>
      <c r="C9" s="124">
        <v>45852.627641678242</v>
      </c>
      <c r="D9" s="124">
        <v>45852.627641678242</v>
      </c>
      <c r="E9" s="123" t="s">
        <v>1893</v>
      </c>
      <c r="F9" s="123" t="s">
        <v>1902</v>
      </c>
      <c r="G9" s="123" t="s">
        <v>1903</v>
      </c>
      <c r="H9" s="123" t="s">
        <v>1901</v>
      </c>
      <c r="I9" s="123" t="s">
        <v>2379</v>
      </c>
      <c r="J9" s="123" t="s">
        <v>1894</v>
      </c>
      <c r="K9" s="123" t="s">
        <v>2867</v>
      </c>
      <c r="L9" s="123" t="s">
        <v>2868</v>
      </c>
      <c r="M9" s="123" t="s">
        <v>2869</v>
      </c>
      <c r="N9" s="123" t="s">
        <v>2870</v>
      </c>
      <c r="O9" s="123" t="s">
        <v>2854</v>
      </c>
      <c r="P9" s="123" t="s">
        <v>2379</v>
      </c>
      <c r="Q9" s="123" t="s">
        <v>2871</v>
      </c>
      <c r="R9" s="123" t="s">
        <v>2379</v>
      </c>
      <c r="S9" s="123" t="s">
        <v>2379</v>
      </c>
      <c r="T9" s="123" t="s">
        <v>2379</v>
      </c>
      <c r="U9" s="123" t="s">
        <v>2379</v>
      </c>
      <c r="V9" s="123" t="s">
        <v>2858</v>
      </c>
    </row>
    <row r="10" spans="1:22">
      <c r="A10" s="123" t="s">
        <v>2862</v>
      </c>
      <c r="B10" s="123" t="s">
        <v>1889</v>
      </c>
      <c r="C10" s="124">
        <v>45924.739321909721</v>
      </c>
      <c r="D10" s="124">
        <v>45924.739321909721</v>
      </c>
      <c r="E10" s="123" t="s">
        <v>1893</v>
      </c>
      <c r="F10" s="123" t="s">
        <v>2012</v>
      </c>
      <c r="G10" s="123" t="s">
        <v>2013</v>
      </c>
      <c r="H10" s="123" t="s">
        <v>2011</v>
      </c>
      <c r="I10" s="123" t="s">
        <v>2379</v>
      </c>
      <c r="J10" s="123" t="s">
        <v>1908</v>
      </c>
      <c r="K10" s="123" t="s">
        <v>2872</v>
      </c>
      <c r="L10" s="123" t="s">
        <v>2873</v>
      </c>
      <c r="M10" s="123" t="s">
        <v>2874</v>
      </c>
      <c r="N10" s="123" t="s">
        <v>2875</v>
      </c>
      <c r="O10" s="123" t="s">
        <v>2854</v>
      </c>
      <c r="P10" s="123" t="s">
        <v>2379</v>
      </c>
      <c r="Q10" s="123" t="s">
        <v>2876</v>
      </c>
      <c r="R10" s="123" t="s">
        <v>2379</v>
      </c>
      <c r="S10" s="123" t="s">
        <v>2379</v>
      </c>
      <c r="T10" s="123" t="s">
        <v>2379</v>
      </c>
      <c r="U10" s="123" t="s">
        <v>2379</v>
      </c>
      <c r="V10" s="123" t="s">
        <v>2379</v>
      </c>
    </row>
    <row r="11" spans="1:22">
      <c r="A11" s="123" t="s">
        <v>2862</v>
      </c>
      <c r="B11" s="123" t="s">
        <v>1889</v>
      </c>
      <c r="C11" s="124">
        <v>45846.546676192127</v>
      </c>
      <c r="D11" s="124">
        <v>45846.546676192127</v>
      </c>
      <c r="E11" s="123" t="s">
        <v>2319</v>
      </c>
      <c r="F11" s="123" t="s">
        <v>1896</v>
      </c>
      <c r="G11" s="123" t="s">
        <v>1897</v>
      </c>
      <c r="H11" s="123" t="s">
        <v>1895</v>
      </c>
      <c r="I11" s="123" t="s">
        <v>2379</v>
      </c>
      <c r="J11" s="123" t="s">
        <v>1899</v>
      </c>
      <c r="K11" s="123" t="s">
        <v>2877</v>
      </c>
      <c r="L11" s="123" t="s">
        <v>2878</v>
      </c>
      <c r="M11" s="123" t="s">
        <v>2865</v>
      </c>
      <c r="N11" s="123" t="s">
        <v>2879</v>
      </c>
      <c r="O11" s="123" t="s">
        <v>2854</v>
      </c>
      <c r="P11" s="123" t="s">
        <v>2379</v>
      </c>
      <c r="Q11" s="123" t="s">
        <v>2880</v>
      </c>
      <c r="R11" s="123" t="s">
        <v>2379</v>
      </c>
      <c r="S11" s="123" t="s">
        <v>2379</v>
      </c>
      <c r="T11" s="123" t="s">
        <v>2379</v>
      </c>
      <c r="U11" s="123" t="s">
        <v>2379</v>
      </c>
      <c r="V11" s="123" t="s">
        <v>2858</v>
      </c>
    </row>
    <row r="12" spans="1:22">
      <c r="A12" s="123" t="s">
        <v>2862</v>
      </c>
      <c r="B12" s="123" t="s">
        <v>1889</v>
      </c>
      <c r="C12" s="124">
        <v>45852.640907997687</v>
      </c>
      <c r="D12" s="124">
        <v>45852.640907997687</v>
      </c>
      <c r="E12" s="123" t="s">
        <v>1893</v>
      </c>
      <c r="F12" s="123" t="s">
        <v>2881</v>
      </c>
      <c r="G12" s="123" t="s">
        <v>2882</v>
      </c>
      <c r="H12" s="123" t="s">
        <v>1905</v>
      </c>
      <c r="I12" s="123" t="s">
        <v>2379</v>
      </c>
      <c r="J12" s="123" t="s">
        <v>1908</v>
      </c>
      <c r="K12" s="123" t="s">
        <v>2883</v>
      </c>
      <c r="L12" s="123" t="s">
        <v>2873</v>
      </c>
      <c r="M12" s="123" t="s">
        <v>2884</v>
      </c>
      <c r="N12" s="123" t="s">
        <v>2884</v>
      </c>
      <c r="O12" s="123" t="s">
        <v>2854</v>
      </c>
      <c r="P12" s="123" t="s">
        <v>2379</v>
      </c>
      <c r="Q12" s="123" t="s">
        <v>2885</v>
      </c>
      <c r="R12" s="123" t="s">
        <v>2379</v>
      </c>
      <c r="S12" s="123" t="s">
        <v>2379</v>
      </c>
      <c r="T12" s="123" t="s">
        <v>2379</v>
      </c>
      <c r="U12" s="123" t="s">
        <v>2379</v>
      </c>
      <c r="V12" s="123" t="s">
        <v>2858</v>
      </c>
    </row>
    <row r="13" spans="1:22">
      <c r="A13" s="123" t="s">
        <v>2862</v>
      </c>
      <c r="B13" s="123" t="s">
        <v>1900</v>
      </c>
      <c r="C13" s="124">
        <v>46042.675079421293</v>
      </c>
      <c r="D13" s="124">
        <v>46042.675079421293</v>
      </c>
      <c r="E13" s="123" t="s">
        <v>1893</v>
      </c>
      <c r="F13" s="123" t="s">
        <v>2166</v>
      </c>
      <c r="G13" s="123" t="s">
        <v>2167</v>
      </c>
      <c r="H13" s="123" t="s">
        <v>2165</v>
      </c>
      <c r="I13" s="123" t="s">
        <v>2379</v>
      </c>
      <c r="J13" s="123" t="s">
        <v>2168</v>
      </c>
      <c r="K13" s="123" t="s">
        <v>2886</v>
      </c>
      <c r="L13" s="123" t="s">
        <v>2887</v>
      </c>
      <c r="M13" s="123" t="s">
        <v>2888</v>
      </c>
      <c r="N13" s="123" t="s">
        <v>2889</v>
      </c>
      <c r="O13" s="123" t="s">
        <v>2854</v>
      </c>
      <c r="P13" s="123" t="s">
        <v>2890</v>
      </c>
      <c r="Q13" s="123" t="s">
        <v>2891</v>
      </c>
      <c r="R13" s="123" t="s">
        <v>2379</v>
      </c>
      <c r="S13" s="123" t="s">
        <v>2379</v>
      </c>
      <c r="T13" s="123" t="s">
        <v>2379</v>
      </c>
      <c r="U13" s="123" t="s">
        <v>2379</v>
      </c>
      <c r="V13" s="123" t="s">
        <v>2858</v>
      </c>
    </row>
    <row r="14" spans="1:22">
      <c r="A14" s="123" t="s">
        <v>2862</v>
      </c>
      <c r="B14" s="123" t="s">
        <v>1889</v>
      </c>
      <c r="C14" s="124">
        <v>45852.640907997687</v>
      </c>
      <c r="D14" s="124">
        <v>45852.640907997687</v>
      </c>
      <c r="E14" s="123" t="s">
        <v>1893</v>
      </c>
      <c r="F14" s="123" t="s">
        <v>2881</v>
      </c>
      <c r="G14" s="123" t="s">
        <v>2882</v>
      </c>
      <c r="H14" s="123" t="s">
        <v>1905</v>
      </c>
      <c r="I14" s="123" t="s">
        <v>2379</v>
      </c>
      <c r="J14" s="123" t="s">
        <v>1908</v>
      </c>
      <c r="K14" s="123" t="s">
        <v>2883</v>
      </c>
      <c r="L14" s="123" t="s">
        <v>2873</v>
      </c>
      <c r="M14" s="123" t="s">
        <v>2884</v>
      </c>
      <c r="N14" s="123" t="s">
        <v>2884</v>
      </c>
      <c r="O14" s="123" t="s">
        <v>2854</v>
      </c>
      <c r="P14" s="123" t="s">
        <v>2379</v>
      </c>
      <c r="Q14" s="123" t="s">
        <v>2885</v>
      </c>
      <c r="R14" s="123" t="s">
        <v>2379</v>
      </c>
      <c r="S14" s="123" t="s">
        <v>2379</v>
      </c>
      <c r="T14" s="123" t="s">
        <v>2379</v>
      </c>
      <c r="U14" s="123" t="s">
        <v>2379</v>
      </c>
      <c r="V14" s="123" t="s">
        <v>2861</v>
      </c>
    </row>
    <row r="15" spans="1:22">
      <c r="A15" s="123" t="s">
        <v>2862</v>
      </c>
      <c r="B15" s="123" t="s">
        <v>1900</v>
      </c>
      <c r="C15" s="124">
        <v>46042.675079421293</v>
      </c>
      <c r="D15" s="124">
        <v>46042.675079421293</v>
      </c>
      <c r="E15" s="123" t="s">
        <v>1893</v>
      </c>
      <c r="F15" s="123" t="s">
        <v>2166</v>
      </c>
      <c r="G15" s="123" t="s">
        <v>2167</v>
      </c>
      <c r="H15" s="123" t="s">
        <v>2165</v>
      </c>
      <c r="I15" s="123" t="s">
        <v>2379</v>
      </c>
      <c r="J15" s="123" t="s">
        <v>2168</v>
      </c>
      <c r="K15" s="123" t="s">
        <v>2886</v>
      </c>
      <c r="L15" s="123" t="s">
        <v>2887</v>
      </c>
      <c r="M15" s="123" t="s">
        <v>2888</v>
      </c>
      <c r="N15" s="123" t="s">
        <v>2889</v>
      </c>
      <c r="O15" s="123" t="s">
        <v>2854</v>
      </c>
      <c r="P15" s="123" t="s">
        <v>2890</v>
      </c>
      <c r="Q15" s="123" t="s">
        <v>2891</v>
      </c>
      <c r="R15" s="123" t="s">
        <v>2379</v>
      </c>
      <c r="S15" s="123" t="s">
        <v>2379</v>
      </c>
      <c r="T15" s="123" t="s">
        <v>2379</v>
      </c>
      <c r="U15" s="123" t="s">
        <v>2379</v>
      </c>
      <c r="V15" s="123" t="s">
        <v>2892</v>
      </c>
    </row>
    <row r="16" spans="1:22">
      <c r="A16" s="123" t="s">
        <v>2862</v>
      </c>
      <c r="B16" s="123" t="s">
        <v>1900</v>
      </c>
      <c r="C16" s="124">
        <v>46097.477207812502</v>
      </c>
      <c r="D16" s="124">
        <v>46097.477207812502</v>
      </c>
      <c r="E16" s="123" t="s">
        <v>1893</v>
      </c>
      <c r="F16" s="123" t="s">
        <v>2333</v>
      </c>
      <c r="G16" s="123" t="s">
        <v>2334</v>
      </c>
      <c r="H16" s="123" t="s">
        <v>2332</v>
      </c>
      <c r="I16" s="123" t="s">
        <v>2379</v>
      </c>
      <c r="J16" s="123" t="s">
        <v>2168</v>
      </c>
      <c r="K16" s="123" t="s">
        <v>2886</v>
      </c>
      <c r="L16" s="123" t="s">
        <v>2887</v>
      </c>
      <c r="M16" s="123" t="s">
        <v>2893</v>
      </c>
      <c r="N16" s="123" t="s">
        <v>2894</v>
      </c>
      <c r="O16" s="123" t="s">
        <v>2854</v>
      </c>
      <c r="P16" s="123" t="s">
        <v>2895</v>
      </c>
      <c r="Q16" s="123" t="s">
        <v>2896</v>
      </c>
      <c r="R16" s="123" t="s">
        <v>2379</v>
      </c>
      <c r="S16" s="123" t="s">
        <v>2379</v>
      </c>
      <c r="T16" s="123" t="s">
        <v>2379</v>
      </c>
      <c r="U16" s="123" t="s">
        <v>2379</v>
      </c>
      <c r="V16" s="123" t="s">
        <v>2858</v>
      </c>
    </row>
    <row r="17" spans="1:22">
      <c r="A17" s="123" t="s">
        <v>2862</v>
      </c>
      <c r="B17" s="123" t="s">
        <v>1900</v>
      </c>
      <c r="C17" s="124">
        <v>45873.642175763889</v>
      </c>
      <c r="D17" s="124">
        <v>45873.642175763889</v>
      </c>
      <c r="E17" s="123" t="s">
        <v>1893</v>
      </c>
      <c r="F17" s="123" t="s">
        <v>1944</v>
      </c>
      <c r="G17" s="123" t="s">
        <v>1945</v>
      </c>
      <c r="H17" s="123" t="s">
        <v>1943</v>
      </c>
      <c r="I17" s="123" t="s">
        <v>2379</v>
      </c>
      <c r="J17" s="123" t="s">
        <v>1946</v>
      </c>
      <c r="K17" s="123" t="s">
        <v>2863</v>
      </c>
      <c r="L17" s="123" t="s">
        <v>2379</v>
      </c>
      <c r="M17" s="123" t="s">
        <v>2864</v>
      </c>
      <c r="N17" s="123" t="s">
        <v>2897</v>
      </c>
      <c r="O17" s="123" t="s">
        <v>2854</v>
      </c>
      <c r="P17" s="123" t="s">
        <v>2379</v>
      </c>
      <c r="Q17" s="123" t="s">
        <v>2898</v>
      </c>
      <c r="R17" s="123" t="s">
        <v>2379</v>
      </c>
      <c r="S17" s="123" t="s">
        <v>2379</v>
      </c>
      <c r="T17" s="123" t="s">
        <v>2379</v>
      </c>
      <c r="U17" s="123" t="s">
        <v>2379</v>
      </c>
      <c r="V17" s="123" t="s">
        <v>2379</v>
      </c>
    </row>
    <row r="18" spans="1:22">
      <c r="A18" s="123" t="s">
        <v>2862</v>
      </c>
      <c r="B18" s="123" t="s">
        <v>1889</v>
      </c>
      <c r="C18" s="124">
        <v>45841.481554409722</v>
      </c>
      <c r="D18" s="124">
        <v>45841.481554409722</v>
      </c>
      <c r="E18" s="123" t="s">
        <v>1893</v>
      </c>
      <c r="F18" s="123" t="s">
        <v>1891</v>
      </c>
      <c r="G18" s="123" t="s">
        <v>1892</v>
      </c>
      <c r="H18" s="123" t="s">
        <v>1890</v>
      </c>
      <c r="I18" s="123" t="s">
        <v>2379</v>
      </c>
      <c r="J18" s="123" t="s">
        <v>1894</v>
      </c>
      <c r="K18" s="123" t="s">
        <v>2899</v>
      </c>
      <c r="L18" s="123" t="s">
        <v>2877</v>
      </c>
      <c r="M18" s="123" t="s">
        <v>2900</v>
      </c>
      <c r="N18" s="123" t="s">
        <v>2900</v>
      </c>
      <c r="O18" s="123" t="s">
        <v>2854</v>
      </c>
      <c r="P18" s="123" t="s">
        <v>2379</v>
      </c>
      <c r="Q18" s="123" t="s">
        <v>2901</v>
      </c>
      <c r="R18" s="123" t="s">
        <v>2379</v>
      </c>
      <c r="S18" s="123" t="s">
        <v>2379</v>
      </c>
      <c r="T18" s="123" t="s">
        <v>2379</v>
      </c>
      <c r="U18" s="123" t="s">
        <v>2379</v>
      </c>
      <c r="V18" s="123" t="s">
        <v>2379</v>
      </c>
    </row>
    <row r="19" spans="1:22">
      <c r="A19" s="123" t="s">
        <v>2862</v>
      </c>
      <c r="B19" s="123" t="s">
        <v>1889</v>
      </c>
      <c r="C19" s="124">
        <v>45899.713615995373</v>
      </c>
      <c r="D19" s="124">
        <v>45899.713615995373</v>
      </c>
      <c r="E19" s="123" t="s">
        <v>1893</v>
      </c>
      <c r="F19" s="123" t="s">
        <v>1996</v>
      </c>
      <c r="G19" s="123" t="s">
        <v>1997</v>
      </c>
      <c r="H19" s="123" t="s">
        <v>1995</v>
      </c>
      <c r="I19" s="123" t="s">
        <v>2379</v>
      </c>
      <c r="J19" s="123" t="s">
        <v>1908</v>
      </c>
      <c r="K19" s="123" t="s">
        <v>2883</v>
      </c>
      <c r="L19" s="123" t="s">
        <v>2873</v>
      </c>
      <c r="M19" s="123" t="s">
        <v>2884</v>
      </c>
      <c r="N19" s="123" t="s">
        <v>2884</v>
      </c>
      <c r="O19" s="123" t="s">
        <v>2854</v>
      </c>
      <c r="P19" s="123" t="s">
        <v>2379</v>
      </c>
      <c r="Q19" s="123" t="s">
        <v>2902</v>
      </c>
      <c r="R19" s="123" t="s">
        <v>2379</v>
      </c>
      <c r="S19" s="123" t="s">
        <v>2379</v>
      </c>
      <c r="T19" s="123" t="s">
        <v>2379</v>
      </c>
      <c r="U19" s="123" t="s">
        <v>2379</v>
      </c>
      <c r="V19" s="123" t="s">
        <v>2858</v>
      </c>
    </row>
    <row r="20" spans="1:22">
      <c r="A20" s="123" t="s">
        <v>2862</v>
      </c>
      <c r="B20" s="123" t="s">
        <v>1889</v>
      </c>
      <c r="C20" s="124">
        <v>45937.426243969909</v>
      </c>
      <c r="D20" s="124">
        <v>45937.426243969909</v>
      </c>
      <c r="E20" s="123" t="s">
        <v>1893</v>
      </c>
      <c r="F20" s="123" t="s">
        <v>2015</v>
      </c>
      <c r="G20" s="123" t="s">
        <v>2016</v>
      </c>
      <c r="H20" s="123" t="s">
        <v>2014</v>
      </c>
      <c r="I20" s="123" t="s">
        <v>2379</v>
      </c>
      <c r="J20" s="123" t="s">
        <v>1908</v>
      </c>
      <c r="K20" s="123" t="s">
        <v>2883</v>
      </c>
      <c r="L20" s="123" t="s">
        <v>2873</v>
      </c>
      <c r="M20" s="123" t="s">
        <v>2884</v>
      </c>
      <c r="N20" s="123" t="s">
        <v>2884</v>
      </c>
      <c r="O20" s="123" t="s">
        <v>2854</v>
      </c>
      <c r="P20" s="123" t="s">
        <v>2379</v>
      </c>
      <c r="Q20" s="123" t="s">
        <v>2903</v>
      </c>
      <c r="R20" s="123" t="s">
        <v>2379</v>
      </c>
      <c r="S20" s="123" t="s">
        <v>2379</v>
      </c>
      <c r="T20" s="123" t="s">
        <v>2379</v>
      </c>
      <c r="U20" s="123" t="s">
        <v>2379</v>
      </c>
      <c r="V20" s="123" t="s">
        <v>2858</v>
      </c>
    </row>
    <row r="21" spans="1:22">
      <c r="A21" s="123" t="s">
        <v>2862</v>
      </c>
      <c r="B21" s="123" t="s">
        <v>1900</v>
      </c>
      <c r="C21" s="124">
        <v>45873.642175763889</v>
      </c>
      <c r="D21" s="124">
        <v>45873.642175763889</v>
      </c>
      <c r="E21" s="123" t="s">
        <v>1893</v>
      </c>
      <c r="F21" s="123" t="s">
        <v>1944</v>
      </c>
      <c r="G21" s="123" t="s">
        <v>1945</v>
      </c>
      <c r="H21" s="123" t="s">
        <v>1943</v>
      </c>
      <c r="I21" s="123" t="s">
        <v>2379</v>
      </c>
      <c r="J21" s="123" t="s">
        <v>1946</v>
      </c>
      <c r="K21" s="123" t="s">
        <v>2863</v>
      </c>
      <c r="L21" s="123" t="s">
        <v>2379</v>
      </c>
      <c r="M21" s="123" t="s">
        <v>2864</v>
      </c>
      <c r="N21" s="123" t="s">
        <v>2897</v>
      </c>
      <c r="O21" s="123" t="s">
        <v>2854</v>
      </c>
      <c r="P21" s="123" t="s">
        <v>2379</v>
      </c>
      <c r="Q21" s="123" t="s">
        <v>2898</v>
      </c>
      <c r="R21" s="123" t="s">
        <v>2379</v>
      </c>
      <c r="S21" s="123" t="s">
        <v>2379</v>
      </c>
      <c r="T21" s="123" t="s">
        <v>2379</v>
      </c>
      <c r="U21" s="123" t="s">
        <v>2379</v>
      </c>
      <c r="V21" s="123" t="s">
        <v>2858</v>
      </c>
    </row>
    <row r="22" spans="1:22">
      <c r="A22" s="123" t="s">
        <v>2862</v>
      </c>
      <c r="B22" s="123" t="s">
        <v>1900</v>
      </c>
      <c r="C22" s="124">
        <v>46071.566184861113</v>
      </c>
      <c r="D22" s="124">
        <v>46071.566184861113</v>
      </c>
      <c r="E22" s="123" t="s">
        <v>2020</v>
      </c>
      <c r="F22" s="123" t="s">
        <v>2314</v>
      </c>
      <c r="G22" s="123" t="s">
        <v>2315</v>
      </c>
      <c r="H22" s="123" t="s">
        <v>2313</v>
      </c>
      <c r="I22" s="123" t="s">
        <v>2379</v>
      </c>
      <c r="J22" s="123" t="s">
        <v>1899</v>
      </c>
      <c r="K22" s="123" t="s">
        <v>2877</v>
      </c>
      <c r="L22" s="123" t="s">
        <v>2904</v>
      </c>
      <c r="M22" s="123" t="s">
        <v>2905</v>
      </c>
      <c r="N22" s="123" t="s">
        <v>2906</v>
      </c>
      <c r="O22" s="123" t="s">
        <v>2854</v>
      </c>
      <c r="P22" s="123" t="s">
        <v>2379</v>
      </c>
      <c r="Q22" s="123" t="s">
        <v>2907</v>
      </c>
      <c r="R22" s="123" t="s">
        <v>2379</v>
      </c>
      <c r="S22" s="123" t="s">
        <v>2379</v>
      </c>
      <c r="T22" s="123" t="s">
        <v>2379</v>
      </c>
      <c r="U22" s="123" t="s">
        <v>2379</v>
      </c>
      <c r="V22" s="123" t="s">
        <v>2379</v>
      </c>
    </row>
    <row r="23" spans="1:22">
      <c r="A23" s="123" t="s">
        <v>2862</v>
      </c>
      <c r="B23" s="123" t="s">
        <v>1900</v>
      </c>
      <c r="C23" s="124">
        <v>46042.675079421293</v>
      </c>
      <c r="D23" s="124">
        <v>46042.675079421293</v>
      </c>
      <c r="E23" s="123" t="s">
        <v>1893</v>
      </c>
      <c r="F23" s="123" t="s">
        <v>2166</v>
      </c>
      <c r="G23" s="123" t="s">
        <v>2167</v>
      </c>
      <c r="H23" s="123" t="s">
        <v>2165</v>
      </c>
      <c r="I23" s="123" t="s">
        <v>2379</v>
      </c>
      <c r="J23" s="123" t="s">
        <v>2168</v>
      </c>
      <c r="K23" s="123" t="s">
        <v>2886</v>
      </c>
      <c r="L23" s="123" t="s">
        <v>2887</v>
      </c>
      <c r="M23" s="123" t="s">
        <v>2888</v>
      </c>
      <c r="N23" s="123" t="s">
        <v>2889</v>
      </c>
      <c r="O23" s="123" t="s">
        <v>2854</v>
      </c>
      <c r="P23" s="123" t="s">
        <v>2890</v>
      </c>
      <c r="Q23" s="123" t="s">
        <v>2891</v>
      </c>
      <c r="R23" s="123" t="s">
        <v>2379</v>
      </c>
      <c r="S23" s="123" t="s">
        <v>2379</v>
      </c>
      <c r="T23" s="123" t="s">
        <v>2379</v>
      </c>
      <c r="U23" s="123" t="s">
        <v>2379</v>
      </c>
      <c r="V23" s="123" t="s">
        <v>2861</v>
      </c>
    </row>
    <row r="24" spans="1:22">
      <c r="A24" s="123" t="s">
        <v>2862</v>
      </c>
      <c r="B24" s="123" t="s">
        <v>1889</v>
      </c>
      <c r="C24" s="124">
        <v>45846.546676192127</v>
      </c>
      <c r="D24" s="124">
        <v>45846.546676192127</v>
      </c>
      <c r="E24" s="123" t="s">
        <v>2319</v>
      </c>
      <c r="F24" s="123" t="s">
        <v>1896</v>
      </c>
      <c r="G24" s="123" t="s">
        <v>1897</v>
      </c>
      <c r="H24" s="123" t="s">
        <v>1895</v>
      </c>
      <c r="I24" s="123" t="s">
        <v>2379</v>
      </c>
      <c r="J24" s="123" t="s">
        <v>1899</v>
      </c>
      <c r="K24" s="123" t="s">
        <v>2877</v>
      </c>
      <c r="L24" s="123" t="s">
        <v>2878</v>
      </c>
      <c r="M24" s="123" t="s">
        <v>2865</v>
      </c>
      <c r="N24" s="123" t="s">
        <v>2879</v>
      </c>
      <c r="O24" s="123" t="s">
        <v>2854</v>
      </c>
      <c r="P24" s="123" t="s">
        <v>2379</v>
      </c>
      <c r="Q24" s="123" t="s">
        <v>2880</v>
      </c>
      <c r="R24" s="123" t="s">
        <v>2379</v>
      </c>
      <c r="S24" s="123" t="s">
        <v>2379</v>
      </c>
      <c r="T24" s="123" t="s">
        <v>2379</v>
      </c>
      <c r="U24" s="123" t="s">
        <v>2379</v>
      </c>
      <c r="V24" s="123" t="s">
        <v>2379</v>
      </c>
    </row>
    <row r="25" spans="1:22">
      <c r="A25" s="123" t="s">
        <v>2862</v>
      </c>
      <c r="B25" s="123" t="s">
        <v>1889</v>
      </c>
      <c r="C25" s="124">
        <v>46041.891249398148</v>
      </c>
      <c r="D25" s="124">
        <v>46041.891249398148</v>
      </c>
      <c r="E25" s="123" t="s">
        <v>2908</v>
      </c>
      <c r="F25" s="123" t="s">
        <v>2160</v>
      </c>
      <c r="G25" s="123" t="s">
        <v>2161</v>
      </c>
      <c r="H25" s="123" t="s">
        <v>2159</v>
      </c>
      <c r="I25" s="123" t="s">
        <v>2379</v>
      </c>
      <c r="J25" s="123" t="s">
        <v>1946</v>
      </c>
      <c r="K25" s="123" t="s">
        <v>2909</v>
      </c>
      <c r="L25" s="123" t="s">
        <v>2379</v>
      </c>
      <c r="M25" s="123" t="s">
        <v>2910</v>
      </c>
      <c r="N25" s="123" t="s">
        <v>2884</v>
      </c>
      <c r="O25" s="123" t="s">
        <v>2854</v>
      </c>
      <c r="P25" s="123" t="s">
        <v>2379</v>
      </c>
      <c r="Q25" s="123" t="s">
        <v>2911</v>
      </c>
      <c r="R25" s="123" t="s">
        <v>2379</v>
      </c>
      <c r="S25" s="123" t="s">
        <v>2379</v>
      </c>
      <c r="T25" s="123" t="s">
        <v>2379</v>
      </c>
      <c r="U25" s="123" t="s">
        <v>2379</v>
      </c>
      <c r="V25" s="123" t="s">
        <v>2858</v>
      </c>
    </row>
    <row r="26" spans="1:22">
      <c r="A26" s="123" t="s">
        <v>2862</v>
      </c>
      <c r="B26" s="123" t="s">
        <v>1889</v>
      </c>
      <c r="C26" s="124">
        <v>45862.578807210652</v>
      </c>
      <c r="D26" s="124">
        <v>45862.578807210652</v>
      </c>
      <c r="E26" s="123" t="s">
        <v>1935</v>
      </c>
      <c r="F26" s="123" t="s">
        <v>1933</v>
      </c>
      <c r="G26" s="123" t="s">
        <v>1934</v>
      </c>
      <c r="H26" s="123" t="s">
        <v>1932</v>
      </c>
      <c r="I26" s="123" t="s">
        <v>2379</v>
      </c>
      <c r="J26" s="123" t="s">
        <v>1908</v>
      </c>
      <c r="K26" s="123" t="s">
        <v>2883</v>
      </c>
      <c r="L26" s="123" t="s">
        <v>2873</v>
      </c>
      <c r="M26" s="123" t="s">
        <v>2884</v>
      </c>
      <c r="N26" s="123" t="s">
        <v>2884</v>
      </c>
      <c r="O26" s="123" t="s">
        <v>2854</v>
      </c>
      <c r="P26" s="123" t="s">
        <v>2379</v>
      </c>
      <c r="Q26" s="123" t="s">
        <v>2912</v>
      </c>
      <c r="R26" s="123" t="s">
        <v>2379</v>
      </c>
      <c r="S26" s="123" t="s">
        <v>2379</v>
      </c>
      <c r="T26" s="123" t="s">
        <v>2379</v>
      </c>
      <c r="U26" s="123" t="s">
        <v>2379</v>
      </c>
      <c r="V26" s="123" t="s">
        <v>2379</v>
      </c>
    </row>
    <row r="27" spans="1:22">
      <c r="A27" s="123" t="s">
        <v>2862</v>
      </c>
      <c r="B27" s="123" t="s">
        <v>2846</v>
      </c>
      <c r="C27" s="124">
        <v>45807.545163969909</v>
      </c>
      <c r="D27" s="124">
        <v>45807.545163969909</v>
      </c>
      <c r="E27" s="123" t="s">
        <v>2379</v>
      </c>
      <c r="F27" s="123" t="s">
        <v>1836</v>
      </c>
      <c r="G27" s="123" t="s">
        <v>1838</v>
      </c>
      <c r="H27" s="123" t="s">
        <v>1835</v>
      </c>
      <c r="I27" s="123" t="s">
        <v>2379</v>
      </c>
      <c r="J27" s="123" t="s">
        <v>1894</v>
      </c>
      <c r="K27" s="123" t="s">
        <v>2899</v>
      </c>
      <c r="L27" s="123" t="s">
        <v>2877</v>
      </c>
      <c r="M27" s="123" t="s">
        <v>2913</v>
      </c>
      <c r="N27" s="123" t="s">
        <v>2914</v>
      </c>
      <c r="O27" s="123" t="s">
        <v>2915</v>
      </c>
      <c r="P27" s="123" t="s">
        <v>2379</v>
      </c>
      <c r="Q27" s="123" t="s">
        <v>2916</v>
      </c>
      <c r="R27" s="123" t="s">
        <v>2379</v>
      </c>
      <c r="S27" s="123" t="s">
        <v>2379</v>
      </c>
      <c r="T27" s="123" t="s">
        <v>2379</v>
      </c>
      <c r="U27" s="123" t="s">
        <v>2379</v>
      </c>
      <c r="V27" s="123" t="s">
        <v>2917</v>
      </c>
    </row>
    <row r="28" spans="1:22">
      <c r="A28" s="123" t="s">
        <v>2862</v>
      </c>
      <c r="B28" s="123" t="s">
        <v>1889</v>
      </c>
      <c r="C28" s="124">
        <v>46006.758926435185</v>
      </c>
      <c r="D28" s="124">
        <v>46006.758926435185</v>
      </c>
      <c r="E28" s="123" t="s">
        <v>1893</v>
      </c>
      <c r="F28" s="123" t="s">
        <v>2081</v>
      </c>
      <c r="G28" s="123" t="s">
        <v>2082</v>
      </c>
      <c r="H28" s="123" t="s">
        <v>2080</v>
      </c>
      <c r="I28" s="123" t="s">
        <v>2379</v>
      </c>
      <c r="J28" s="123" t="s">
        <v>2083</v>
      </c>
      <c r="K28" s="123" t="s">
        <v>2918</v>
      </c>
      <c r="L28" s="123" t="s">
        <v>2863</v>
      </c>
      <c r="M28" s="123" t="s">
        <v>2919</v>
      </c>
      <c r="N28" s="123" t="s">
        <v>2919</v>
      </c>
      <c r="O28" s="123" t="s">
        <v>2854</v>
      </c>
      <c r="P28" s="123" t="s">
        <v>2379</v>
      </c>
      <c r="Q28" s="123" t="s">
        <v>2920</v>
      </c>
      <c r="R28" s="123" t="s">
        <v>2379</v>
      </c>
      <c r="S28" s="123" t="s">
        <v>2379</v>
      </c>
      <c r="T28" s="123" t="s">
        <v>2379</v>
      </c>
      <c r="U28" s="123" t="s">
        <v>2379</v>
      </c>
      <c r="V28" s="123" t="s">
        <v>2858</v>
      </c>
    </row>
    <row r="29" spans="1:22">
      <c r="A29" s="123" t="s">
        <v>2862</v>
      </c>
      <c r="B29" s="123" t="s">
        <v>2846</v>
      </c>
      <c r="C29" s="124">
        <v>45827.408104826391</v>
      </c>
      <c r="D29" s="124">
        <v>45827.408104826391</v>
      </c>
      <c r="E29" s="123" t="s">
        <v>2379</v>
      </c>
      <c r="F29" s="123" t="s">
        <v>1854</v>
      </c>
      <c r="G29" s="123" t="s">
        <v>1856</v>
      </c>
      <c r="H29" s="123" t="s">
        <v>1853</v>
      </c>
      <c r="I29" s="123" t="s">
        <v>2379</v>
      </c>
      <c r="J29" s="123" t="s">
        <v>1908</v>
      </c>
      <c r="K29" s="123" t="s">
        <v>2883</v>
      </c>
      <c r="L29" s="123" t="s">
        <v>2873</v>
      </c>
      <c r="M29" s="123" t="s">
        <v>2921</v>
      </c>
      <c r="N29" s="123" t="s">
        <v>2922</v>
      </c>
      <c r="O29" s="123" t="s">
        <v>2915</v>
      </c>
      <c r="P29" s="123" t="s">
        <v>2379</v>
      </c>
      <c r="Q29" s="123" t="s">
        <v>2923</v>
      </c>
      <c r="R29" s="123" t="s">
        <v>2379</v>
      </c>
      <c r="S29" s="123" t="s">
        <v>2379</v>
      </c>
      <c r="T29" s="123" t="s">
        <v>2379</v>
      </c>
      <c r="U29" s="123" t="s">
        <v>2379</v>
      </c>
      <c r="V29" s="123" t="s">
        <v>2379</v>
      </c>
    </row>
    <row r="30" spans="1:22">
      <c r="A30" s="123" t="s">
        <v>2862</v>
      </c>
      <c r="B30" s="123" t="s">
        <v>1889</v>
      </c>
      <c r="C30" s="124">
        <v>45902.394943113424</v>
      </c>
      <c r="D30" s="124">
        <v>45902.394943113424</v>
      </c>
      <c r="E30" s="123" t="s">
        <v>1893</v>
      </c>
      <c r="F30" s="123" t="s">
        <v>2000</v>
      </c>
      <c r="G30" s="123" t="s">
        <v>2001</v>
      </c>
      <c r="H30" s="123" t="s">
        <v>1999</v>
      </c>
      <c r="I30" s="123" t="s">
        <v>2379</v>
      </c>
      <c r="J30" s="123" t="s">
        <v>1946</v>
      </c>
      <c r="K30" s="123" t="s">
        <v>2924</v>
      </c>
      <c r="L30" s="123" t="s">
        <v>2379</v>
      </c>
      <c r="M30" s="123" t="s">
        <v>2925</v>
      </c>
      <c r="N30" s="123" t="s">
        <v>2884</v>
      </c>
      <c r="O30" s="123" t="s">
        <v>2854</v>
      </c>
      <c r="P30" s="123" t="s">
        <v>2379</v>
      </c>
      <c r="Q30" s="123" t="s">
        <v>2926</v>
      </c>
      <c r="R30" s="123" t="s">
        <v>2379</v>
      </c>
      <c r="S30" s="123" t="s">
        <v>2379</v>
      </c>
      <c r="T30" s="123" t="s">
        <v>2379</v>
      </c>
      <c r="U30" s="123" t="s">
        <v>2379</v>
      </c>
      <c r="V30" s="123" t="s">
        <v>2858</v>
      </c>
    </row>
    <row r="31" spans="1:22">
      <c r="A31" s="123" t="s">
        <v>2862</v>
      </c>
      <c r="B31" s="123" t="s">
        <v>1889</v>
      </c>
      <c r="C31" s="124">
        <v>46039.391626875004</v>
      </c>
      <c r="D31" s="124">
        <v>46039.391626875004</v>
      </c>
      <c r="E31" s="123" t="s">
        <v>1893</v>
      </c>
      <c r="F31" s="123" t="s">
        <v>2149</v>
      </c>
      <c r="G31" s="123" t="s">
        <v>2150</v>
      </c>
      <c r="H31" s="123" t="s">
        <v>2148</v>
      </c>
      <c r="I31" s="123" t="s">
        <v>2379</v>
      </c>
      <c r="J31" s="123" t="s">
        <v>1908</v>
      </c>
      <c r="K31" s="123" t="s">
        <v>2883</v>
      </c>
      <c r="L31" s="123" t="s">
        <v>2873</v>
      </c>
      <c r="M31" s="123" t="s">
        <v>2884</v>
      </c>
      <c r="N31" s="123" t="s">
        <v>2927</v>
      </c>
      <c r="O31" s="123" t="s">
        <v>2854</v>
      </c>
      <c r="P31" s="123" t="s">
        <v>2379</v>
      </c>
      <c r="Q31" s="123" t="s">
        <v>2928</v>
      </c>
      <c r="R31" s="123" t="s">
        <v>2379</v>
      </c>
      <c r="S31" s="123" t="s">
        <v>2379</v>
      </c>
      <c r="T31" s="123" t="s">
        <v>2379</v>
      </c>
      <c r="U31" s="123" t="s">
        <v>2379</v>
      </c>
      <c r="V31" s="123" t="s">
        <v>2379</v>
      </c>
    </row>
    <row r="32" spans="1:22">
      <c r="A32" s="123" t="s">
        <v>2862</v>
      </c>
      <c r="B32" s="123" t="s">
        <v>2846</v>
      </c>
      <c r="C32" s="124">
        <v>45832.639499699071</v>
      </c>
      <c r="D32" s="124">
        <v>45832.639499699071</v>
      </c>
      <c r="E32" s="123" t="s">
        <v>1893</v>
      </c>
      <c r="F32" s="123" t="s">
        <v>1876</v>
      </c>
      <c r="G32" s="123" t="s">
        <v>1877</v>
      </c>
      <c r="H32" s="123" t="s">
        <v>1875</v>
      </c>
      <c r="I32" s="123" t="s">
        <v>2379</v>
      </c>
      <c r="J32" s="123" t="s">
        <v>1946</v>
      </c>
      <c r="K32" s="123" t="s">
        <v>2863</v>
      </c>
      <c r="L32" s="123" t="s">
        <v>2379</v>
      </c>
      <c r="M32" s="123" t="s">
        <v>2864</v>
      </c>
      <c r="N32" s="123" t="s">
        <v>2929</v>
      </c>
      <c r="O32" s="123" t="s">
        <v>2915</v>
      </c>
      <c r="P32" s="123" t="s">
        <v>2379</v>
      </c>
      <c r="Q32" s="123" t="s">
        <v>2930</v>
      </c>
      <c r="R32" s="123" t="s">
        <v>2379</v>
      </c>
      <c r="S32" s="123" t="s">
        <v>2379</v>
      </c>
      <c r="T32" s="123" t="s">
        <v>2379</v>
      </c>
      <c r="U32" s="123" t="s">
        <v>2379</v>
      </c>
      <c r="V32" s="123" t="s">
        <v>2379</v>
      </c>
    </row>
    <row r="33" spans="1:22">
      <c r="A33" s="123" t="s">
        <v>2862</v>
      </c>
      <c r="B33" s="123" t="s">
        <v>1889</v>
      </c>
      <c r="C33" s="124">
        <v>46042.379280081019</v>
      </c>
      <c r="D33" s="124">
        <v>46042.379280081019</v>
      </c>
      <c r="E33" s="123" t="s">
        <v>1893</v>
      </c>
      <c r="F33" s="123" t="s">
        <v>2163</v>
      </c>
      <c r="G33" s="123" t="s">
        <v>2164</v>
      </c>
      <c r="H33" s="123" t="s">
        <v>2162</v>
      </c>
      <c r="I33" s="123" t="s">
        <v>2379</v>
      </c>
      <c r="J33" s="123" t="s">
        <v>1908</v>
      </c>
      <c r="K33" s="123" t="s">
        <v>2883</v>
      </c>
      <c r="L33" s="123" t="s">
        <v>2873</v>
      </c>
      <c r="M33" s="123" t="s">
        <v>2884</v>
      </c>
      <c r="N33" s="123" t="s">
        <v>2884</v>
      </c>
      <c r="O33" s="123" t="s">
        <v>2854</v>
      </c>
      <c r="P33" s="123" t="s">
        <v>2379</v>
      </c>
      <c r="Q33" s="123" t="s">
        <v>2931</v>
      </c>
      <c r="R33" s="123" t="s">
        <v>2379</v>
      </c>
      <c r="S33" s="123" t="s">
        <v>2379</v>
      </c>
      <c r="T33" s="123" t="s">
        <v>2379</v>
      </c>
      <c r="U33" s="123" t="s">
        <v>2379</v>
      </c>
      <c r="V33" s="123" t="s">
        <v>2858</v>
      </c>
    </row>
    <row r="34" spans="1:22">
      <c r="A34" s="123" t="s">
        <v>2862</v>
      </c>
      <c r="B34" s="123" t="s">
        <v>1900</v>
      </c>
      <c r="C34" s="124">
        <v>45947.94979583333</v>
      </c>
      <c r="D34" s="124">
        <v>45947.94979583333</v>
      </c>
      <c r="E34" s="123" t="s">
        <v>2020</v>
      </c>
      <c r="F34" s="123" t="s">
        <v>2018</v>
      </c>
      <c r="G34" s="123" t="s">
        <v>2019</v>
      </c>
      <c r="H34" s="123" t="s">
        <v>2017</v>
      </c>
      <c r="I34" s="123" t="s">
        <v>2379</v>
      </c>
      <c r="J34" s="123" t="s">
        <v>1946</v>
      </c>
      <c r="K34" s="123" t="s">
        <v>2863</v>
      </c>
      <c r="L34" s="123" t="s">
        <v>2379</v>
      </c>
      <c r="M34" s="123" t="s">
        <v>2864</v>
      </c>
      <c r="N34" s="123" t="s">
        <v>2864</v>
      </c>
      <c r="O34" s="123" t="s">
        <v>2854</v>
      </c>
      <c r="P34" s="123" t="s">
        <v>2379</v>
      </c>
      <c r="Q34" s="123" t="s">
        <v>2932</v>
      </c>
      <c r="R34" s="123" t="s">
        <v>2379</v>
      </c>
      <c r="S34" s="123" t="s">
        <v>2379</v>
      </c>
      <c r="T34" s="123" t="s">
        <v>2379</v>
      </c>
      <c r="U34" s="123" t="s">
        <v>2379</v>
      </c>
      <c r="V34" s="123" t="s">
        <v>2858</v>
      </c>
    </row>
    <row r="35" spans="1:22">
      <c r="A35" s="123" t="s">
        <v>2862</v>
      </c>
      <c r="B35" s="123" t="s">
        <v>1900</v>
      </c>
      <c r="C35" s="124">
        <v>45916.560334363428</v>
      </c>
      <c r="D35" s="124">
        <v>45916.560334363428</v>
      </c>
      <c r="E35" s="123" t="s">
        <v>1893</v>
      </c>
      <c r="F35" s="123" t="s">
        <v>2003</v>
      </c>
      <c r="G35" s="123" t="s">
        <v>2004</v>
      </c>
      <c r="H35" s="123" t="s">
        <v>2002</v>
      </c>
      <c r="I35" s="123" t="s">
        <v>2379</v>
      </c>
      <c r="J35" s="123" t="s">
        <v>1946</v>
      </c>
      <c r="K35" s="123" t="s">
        <v>2863</v>
      </c>
      <c r="L35" s="123" t="s">
        <v>2379</v>
      </c>
      <c r="M35" s="123" t="s">
        <v>2864</v>
      </c>
      <c r="N35" s="123" t="s">
        <v>2865</v>
      </c>
      <c r="O35" s="123" t="s">
        <v>2854</v>
      </c>
      <c r="P35" s="123" t="s">
        <v>2379</v>
      </c>
      <c r="Q35" s="123" t="s">
        <v>2866</v>
      </c>
      <c r="R35" s="123" t="s">
        <v>2379</v>
      </c>
      <c r="S35" s="123" t="s">
        <v>2379</v>
      </c>
      <c r="T35" s="123" t="s">
        <v>2379</v>
      </c>
      <c r="U35" s="123" t="s">
        <v>2379</v>
      </c>
      <c r="V35" s="123" t="s">
        <v>2858</v>
      </c>
    </row>
    <row r="36" spans="1:22">
      <c r="A36" s="123" t="s">
        <v>2862</v>
      </c>
      <c r="B36" s="123" t="s">
        <v>2846</v>
      </c>
      <c r="C36" s="124">
        <v>45807.750557777777</v>
      </c>
      <c r="D36" s="124">
        <v>45807.750557777777</v>
      </c>
      <c r="E36" s="123" t="s">
        <v>2379</v>
      </c>
      <c r="F36" s="123" t="s">
        <v>167</v>
      </c>
      <c r="G36" s="123" t="s">
        <v>1844</v>
      </c>
      <c r="H36" s="123" t="s">
        <v>1843</v>
      </c>
      <c r="I36" s="123" t="s">
        <v>2379</v>
      </c>
      <c r="J36" s="123" t="s">
        <v>1946</v>
      </c>
      <c r="K36" s="123" t="s">
        <v>2863</v>
      </c>
      <c r="L36" s="123" t="s">
        <v>2379</v>
      </c>
      <c r="M36" s="123" t="s">
        <v>2864</v>
      </c>
      <c r="N36" s="123" t="s">
        <v>2933</v>
      </c>
      <c r="O36" s="123" t="s">
        <v>2915</v>
      </c>
      <c r="P36" s="123" t="s">
        <v>2379</v>
      </c>
      <c r="Q36" s="123" t="s">
        <v>2934</v>
      </c>
      <c r="R36" s="123" t="s">
        <v>2379</v>
      </c>
      <c r="S36" s="123" t="s">
        <v>2379</v>
      </c>
      <c r="T36" s="123" t="s">
        <v>2379</v>
      </c>
      <c r="U36" s="123" t="s">
        <v>2379</v>
      </c>
      <c r="V36" s="123" t="s">
        <v>2858</v>
      </c>
    </row>
    <row r="37" spans="1:22">
      <c r="A37" s="123" t="s">
        <v>2862</v>
      </c>
      <c r="B37" s="123" t="s">
        <v>1889</v>
      </c>
      <c r="C37" s="124">
        <v>46071.484224247688</v>
      </c>
      <c r="D37" s="124">
        <v>46071.484224247688</v>
      </c>
      <c r="E37" s="123" t="s">
        <v>2312</v>
      </c>
      <c r="F37" s="123" t="s">
        <v>2310</v>
      </c>
      <c r="G37" s="123" t="s">
        <v>2311</v>
      </c>
      <c r="H37" s="123" t="s">
        <v>2309</v>
      </c>
      <c r="I37" s="123" t="s">
        <v>2379</v>
      </c>
      <c r="J37" s="123" t="s">
        <v>1908</v>
      </c>
      <c r="K37" s="123" t="s">
        <v>2883</v>
      </c>
      <c r="L37" s="123" t="s">
        <v>2873</v>
      </c>
      <c r="M37" s="123" t="s">
        <v>2884</v>
      </c>
      <c r="N37" s="123" t="s">
        <v>2884</v>
      </c>
      <c r="O37" s="123" t="s">
        <v>2854</v>
      </c>
      <c r="P37" s="123" t="s">
        <v>2379</v>
      </c>
      <c r="Q37" s="123" t="s">
        <v>2935</v>
      </c>
      <c r="R37" s="123" t="s">
        <v>2379</v>
      </c>
      <c r="S37" s="123" t="s">
        <v>2379</v>
      </c>
      <c r="T37" s="123" t="s">
        <v>2379</v>
      </c>
      <c r="U37" s="123" t="s">
        <v>2379</v>
      </c>
      <c r="V37" s="123" t="s">
        <v>2858</v>
      </c>
    </row>
    <row r="38" spans="1:22">
      <c r="A38" s="123" t="s">
        <v>2862</v>
      </c>
      <c r="B38" s="123" t="s">
        <v>2846</v>
      </c>
      <c r="C38" s="124">
        <v>45807.545163969909</v>
      </c>
      <c r="D38" s="124">
        <v>45807.545163969909</v>
      </c>
      <c r="E38" s="123" t="s">
        <v>2379</v>
      </c>
      <c r="F38" s="123" t="s">
        <v>1836</v>
      </c>
      <c r="G38" s="123" t="s">
        <v>1838</v>
      </c>
      <c r="H38" s="123" t="s">
        <v>1835</v>
      </c>
      <c r="I38" s="123" t="s">
        <v>2379</v>
      </c>
      <c r="J38" s="123" t="s">
        <v>1894</v>
      </c>
      <c r="K38" s="123" t="s">
        <v>2899</v>
      </c>
      <c r="L38" s="123" t="s">
        <v>2877</v>
      </c>
      <c r="M38" s="123" t="s">
        <v>2913</v>
      </c>
      <c r="N38" s="123" t="s">
        <v>2914</v>
      </c>
      <c r="O38" s="123" t="s">
        <v>2915</v>
      </c>
      <c r="P38" s="123" t="s">
        <v>2379</v>
      </c>
      <c r="Q38" s="123" t="s">
        <v>2916</v>
      </c>
      <c r="R38" s="123" t="s">
        <v>2379</v>
      </c>
      <c r="S38" s="123" t="s">
        <v>2379</v>
      </c>
      <c r="T38" s="123" t="s">
        <v>2379</v>
      </c>
      <c r="U38" s="123" t="s">
        <v>2379</v>
      </c>
      <c r="V38" s="123" t="s">
        <v>2379</v>
      </c>
    </row>
    <row r="39" spans="1:22">
      <c r="A39" s="123" t="s">
        <v>2862</v>
      </c>
      <c r="B39" s="123" t="s">
        <v>1889</v>
      </c>
      <c r="C39" s="124">
        <v>46043.725983680553</v>
      </c>
      <c r="D39" s="124">
        <v>46043.725983680553</v>
      </c>
      <c r="E39" s="123" t="s">
        <v>2020</v>
      </c>
      <c r="F39" s="123" t="s">
        <v>2173</v>
      </c>
      <c r="G39" s="123" t="s">
        <v>2174</v>
      </c>
      <c r="H39" s="123" t="s">
        <v>2172</v>
      </c>
      <c r="I39" s="123" t="s">
        <v>2379</v>
      </c>
      <c r="J39" s="123" t="s">
        <v>1899</v>
      </c>
      <c r="K39" s="123" t="s">
        <v>2877</v>
      </c>
      <c r="L39" s="123" t="s">
        <v>2904</v>
      </c>
      <c r="M39" s="123" t="s">
        <v>2865</v>
      </c>
      <c r="N39" s="123" t="s">
        <v>2936</v>
      </c>
      <c r="O39" s="123" t="s">
        <v>2854</v>
      </c>
      <c r="P39" s="123" t="s">
        <v>2379</v>
      </c>
      <c r="Q39" s="123" t="s">
        <v>2937</v>
      </c>
      <c r="R39" s="123" t="s">
        <v>2379</v>
      </c>
      <c r="S39" s="123" t="s">
        <v>2379</v>
      </c>
      <c r="T39" s="123" t="s">
        <v>2379</v>
      </c>
      <c r="U39" s="123" t="s">
        <v>2379</v>
      </c>
      <c r="V39" s="123" t="s">
        <v>2379</v>
      </c>
    </row>
    <row r="40" spans="1:22">
      <c r="A40" s="123" t="s">
        <v>2862</v>
      </c>
      <c r="B40" s="123" t="s">
        <v>1889</v>
      </c>
      <c r="C40" s="124">
        <v>45916.582394386576</v>
      </c>
      <c r="D40" s="124">
        <v>45916.582394386576</v>
      </c>
      <c r="E40" s="123" t="s">
        <v>1893</v>
      </c>
      <c r="F40" s="123" t="s">
        <v>2006</v>
      </c>
      <c r="G40" s="123" t="s">
        <v>2007</v>
      </c>
      <c r="H40" s="123" t="s">
        <v>2005</v>
      </c>
      <c r="I40" s="123" t="s">
        <v>2379</v>
      </c>
      <c r="J40" s="123" t="s">
        <v>1908</v>
      </c>
      <c r="K40" s="123" t="s">
        <v>2883</v>
      </c>
      <c r="L40" s="123" t="s">
        <v>2873</v>
      </c>
      <c r="M40" s="123" t="s">
        <v>2884</v>
      </c>
      <c r="N40" s="123" t="s">
        <v>2884</v>
      </c>
      <c r="O40" s="123" t="s">
        <v>2854</v>
      </c>
      <c r="P40" s="123" t="s">
        <v>2379</v>
      </c>
      <c r="Q40" s="123" t="s">
        <v>2938</v>
      </c>
      <c r="R40" s="123" t="s">
        <v>2379</v>
      </c>
      <c r="S40" s="123" t="s">
        <v>2379</v>
      </c>
      <c r="T40" s="123" t="s">
        <v>2379</v>
      </c>
      <c r="U40" s="123" t="s">
        <v>2379</v>
      </c>
      <c r="V40" s="123" t="s">
        <v>2379</v>
      </c>
    </row>
    <row r="41" spans="1:22">
      <c r="A41" s="123" t="s">
        <v>2862</v>
      </c>
      <c r="B41" s="123" t="s">
        <v>1889</v>
      </c>
      <c r="C41" s="124">
        <v>46071.484224247688</v>
      </c>
      <c r="D41" s="124">
        <v>46071.484224247688</v>
      </c>
      <c r="E41" s="123" t="s">
        <v>2312</v>
      </c>
      <c r="F41" s="123" t="s">
        <v>2310</v>
      </c>
      <c r="G41" s="123" t="s">
        <v>2311</v>
      </c>
      <c r="H41" s="123" t="s">
        <v>2309</v>
      </c>
      <c r="I41" s="123" t="s">
        <v>2379</v>
      </c>
      <c r="J41" s="123" t="s">
        <v>1908</v>
      </c>
      <c r="K41" s="123" t="s">
        <v>2883</v>
      </c>
      <c r="L41" s="123" t="s">
        <v>2873</v>
      </c>
      <c r="M41" s="123" t="s">
        <v>2884</v>
      </c>
      <c r="N41" s="123" t="s">
        <v>2884</v>
      </c>
      <c r="O41" s="123" t="s">
        <v>2854</v>
      </c>
      <c r="P41" s="123" t="s">
        <v>2379</v>
      </c>
      <c r="Q41" s="123" t="s">
        <v>2935</v>
      </c>
      <c r="R41" s="123" t="s">
        <v>2379</v>
      </c>
      <c r="S41" s="123" t="s">
        <v>2379</v>
      </c>
      <c r="T41" s="123" t="s">
        <v>2379</v>
      </c>
      <c r="U41" s="123" t="s">
        <v>2379</v>
      </c>
      <c r="V41" s="123" t="s">
        <v>2379</v>
      </c>
    </row>
    <row r="42" spans="1:22">
      <c r="A42" s="123" t="s">
        <v>2862</v>
      </c>
      <c r="B42" s="123" t="s">
        <v>1889</v>
      </c>
      <c r="C42" s="124">
        <v>46006.758926435185</v>
      </c>
      <c r="D42" s="124">
        <v>46006.758926435185</v>
      </c>
      <c r="E42" s="123" t="s">
        <v>1893</v>
      </c>
      <c r="F42" s="123" t="s">
        <v>2081</v>
      </c>
      <c r="G42" s="123" t="s">
        <v>2082</v>
      </c>
      <c r="H42" s="123" t="s">
        <v>2080</v>
      </c>
      <c r="I42" s="123" t="s">
        <v>2379</v>
      </c>
      <c r="J42" s="123" t="s">
        <v>2083</v>
      </c>
      <c r="K42" s="123" t="s">
        <v>2918</v>
      </c>
      <c r="L42" s="123" t="s">
        <v>2863</v>
      </c>
      <c r="M42" s="123" t="s">
        <v>2919</v>
      </c>
      <c r="N42" s="123" t="s">
        <v>2919</v>
      </c>
      <c r="O42" s="123" t="s">
        <v>2854</v>
      </c>
      <c r="P42" s="123" t="s">
        <v>2379</v>
      </c>
      <c r="Q42" s="123" t="s">
        <v>2920</v>
      </c>
      <c r="R42" s="123" t="s">
        <v>2379</v>
      </c>
      <c r="S42" s="123" t="s">
        <v>2379</v>
      </c>
      <c r="T42" s="123" t="s">
        <v>2379</v>
      </c>
      <c r="U42" s="123" t="s">
        <v>2379</v>
      </c>
      <c r="V42" s="123" t="s">
        <v>2379</v>
      </c>
    </row>
    <row r="43" spans="1:22">
      <c r="A43" s="123" t="s">
        <v>2862</v>
      </c>
      <c r="B43" s="123" t="s">
        <v>1900</v>
      </c>
      <c r="C43" s="124">
        <v>45894.387419212966</v>
      </c>
      <c r="D43" s="124">
        <v>45894.387419212966</v>
      </c>
      <c r="E43" s="123" t="s">
        <v>1893</v>
      </c>
      <c r="F43" s="123" t="s">
        <v>1948</v>
      </c>
      <c r="G43" s="123" t="s">
        <v>1949</v>
      </c>
      <c r="H43" s="123" t="s">
        <v>1947</v>
      </c>
      <c r="I43" s="123" t="s">
        <v>2379</v>
      </c>
      <c r="J43" s="123" t="s">
        <v>1946</v>
      </c>
      <c r="K43" s="123" t="s">
        <v>2909</v>
      </c>
      <c r="L43" s="123" t="s">
        <v>2379</v>
      </c>
      <c r="M43" s="123" t="s">
        <v>2910</v>
      </c>
      <c r="N43" s="123" t="s">
        <v>2864</v>
      </c>
      <c r="O43" s="123" t="s">
        <v>2854</v>
      </c>
      <c r="P43" s="123" t="s">
        <v>2379</v>
      </c>
      <c r="Q43" s="123" t="s">
        <v>2939</v>
      </c>
      <c r="R43" s="123" t="s">
        <v>2379</v>
      </c>
      <c r="S43" s="123" t="s">
        <v>2379</v>
      </c>
      <c r="T43" s="123" t="s">
        <v>2379</v>
      </c>
      <c r="U43" s="123" t="s">
        <v>2379</v>
      </c>
      <c r="V43" s="123" t="s">
        <v>2379</v>
      </c>
    </row>
    <row r="44" spans="1:22">
      <c r="A44" s="123" t="s">
        <v>2862</v>
      </c>
      <c r="B44" s="123" t="s">
        <v>2846</v>
      </c>
      <c r="C44" s="124">
        <v>45832.639499699071</v>
      </c>
      <c r="D44" s="124">
        <v>45832.639499699071</v>
      </c>
      <c r="E44" s="123" t="s">
        <v>1893</v>
      </c>
      <c r="F44" s="123" t="s">
        <v>1876</v>
      </c>
      <c r="G44" s="123" t="s">
        <v>1877</v>
      </c>
      <c r="H44" s="123" t="s">
        <v>1875</v>
      </c>
      <c r="I44" s="123" t="s">
        <v>2379</v>
      </c>
      <c r="J44" s="123" t="s">
        <v>1946</v>
      </c>
      <c r="K44" s="123" t="s">
        <v>2863</v>
      </c>
      <c r="L44" s="123" t="s">
        <v>2379</v>
      </c>
      <c r="M44" s="123" t="s">
        <v>2864</v>
      </c>
      <c r="N44" s="123" t="s">
        <v>2929</v>
      </c>
      <c r="O44" s="123" t="s">
        <v>2915</v>
      </c>
      <c r="P44" s="123" t="s">
        <v>2379</v>
      </c>
      <c r="Q44" s="123" t="s">
        <v>2930</v>
      </c>
      <c r="R44" s="123" t="s">
        <v>2379</v>
      </c>
      <c r="S44" s="123" t="s">
        <v>2379</v>
      </c>
      <c r="T44" s="123" t="s">
        <v>2379</v>
      </c>
      <c r="U44" s="123" t="s">
        <v>2379</v>
      </c>
      <c r="V44" s="123" t="s">
        <v>2917</v>
      </c>
    </row>
    <row r="45" spans="1:22">
      <c r="A45" s="123" t="s">
        <v>2862</v>
      </c>
      <c r="B45" s="123" t="s">
        <v>1889</v>
      </c>
      <c r="C45" s="124">
        <v>46090.589661979167</v>
      </c>
      <c r="D45" s="124">
        <v>46090.589661979167</v>
      </c>
      <c r="E45" s="123" t="s">
        <v>2319</v>
      </c>
      <c r="F45" s="123" t="s">
        <v>2317</v>
      </c>
      <c r="G45" s="123" t="s">
        <v>2318</v>
      </c>
      <c r="H45" s="123" t="s">
        <v>2316</v>
      </c>
      <c r="I45" s="123" t="s">
        <v>2379</v>
      </c>
      <c r="J45" s="123" t="s">
        <v>1908</v>
      </c>
      <c r="K45" s="123" t="s">
        <v>2883</v>
      </c>
      <c r="L45" s="123" t="s">
        <v>2873</v>
      </c>
      <c r="M45" s="123" t="s">
        <v>2884</v>
      </c>
      <c r="N45" s="123" t="s">
        <v>2884</v>
      </c>
      <c r="O45" s="123" t="s">
        <v>2854</v>
      </c>
      <c r="P45" s="123" t="s">
        <v>2379</v>
      </c>
      <c r="Q45" s="123" t="s">
        <v>2940</v>
      </c>
      <c r="R45" s="123" t="s">
        <v>2379</v>
      </c>
      <c r="S45" s="123" t="s">
        <v>2379</v>
      </c>
      <c r="T45" s="123" t="s">
        <v>2379</v>
      </c>
      <c r="U45" s="123" t="s">
        <v>2379</v>
      </c>
      <c r="V45" s="123" t="s">
        <v>2858</v>
      </c>
    </row>
    <row r="46" spans="1:22">
      <c r="A46" s="123" t="s">
        <v>2862</v>
      </c>
      <c r="B46" s="123" t="s">
        <v>2846</v>
      </c>
      <c r="C46" s="124">
        <v>45817.578326249997</v>
      </c>
      <c r="D46" s="124">
        <v>45817.578326249997</v>
      </c>
      <c r="E46" s="123" t="s">
        <v>2379</v>
      </c>
      <c r="F46" s="123" t="s">
        <v>2941</v>
      </c>
      <c r="G46" s="123" t="s">
        <v>2942</v>
      </c>
      <c r="H46" s="123" t="s">
        <v>1845</v>
      </c>
      <c r="I46" s="123" t="s">
        <v>2379</v>
      </c>
      <c r="J46" s="123" t="s">
        <v>1908</v>
      </c>
      <c r="K46" s="123" t="s">
        <v>2883</v>
      </c>
      <c r="L46" s="123" t="s">
        <v>2873</v>
      </c>
      <c r="M46" s="123" t="s">
        <v>2921</v>
      </c>
      <c r="N46" s="123" t="s">
        <v>2922</v>
      </c>
      <c r="O46" s="123" t="s">
        <v>2379</v>
      </c>
      <c r="P46" s="123" t="s">
        <v>2943</v>
      </c>
      <c r="Q46" s="123" t="s">
        <v>2944</v>
      </c>
      <c r="R46" s="123" t="s">
        <v>2379</v>
      </c>
      <c r="S46" s="123" t="s">
        <v>2379</v>
      </c>
      <c r="T46" s="123" t="s">
        <v>2379</v>
      </c>
      <c r="U46" s="123" t="s">
        <v>2379</v>
      </c>
      <c r="V46" s="123" t="s">
        <v>2859</v>
      </c>
    </row>
    <row r="47" spans="1:22">
      <c r="A47" s="123" t="s">
        <v>2862</v>
      </c>
      <c r="B47" s="123" t="s">
        <v>1889</v>
      </c>
      <c r="C47" s="124">
        <v>46039.391626875004</v>
      </c>
      <c r="D47" s="124">
        <v>46039.391626875004</v>
      </c>
      <c r="E47" s="123" t="s">
        <v>1893</v>
      </c>
      <c r="F47" s="123" t="s">
        <v>2149</v>
      </c>
      <c r="G47" s="123" t="s">
        <v>2150</v>
      </c>
      <c r="H47" s="123" t="s">
        <v>2148</v>
      </c>
      <c r="I47" s="123" t="s">
        <v>2379</v>
      </c>
      <c r="J47" s="123" t="s">
        <v>1908</v>
      </c>
      <c r="K47" s="123" t="s">
        <v>2883</v>
      </c>
      <c r="L47" s="123" t="s">
        <v>2873</v>
      </c>
      <c r="M47" s="123" t="s">
        <v>2884</v>
      </c>
      <c r="N47" s="123" t="s">
        <v>2927</v>
      </c>
      <c r="O47" s="123" t="s">
        <v>2854</v>
      </c>
      <c r="P47" s="123" t="s">
        <v>2379</v>
      </c>
      <c r="Q47" s="123" t="s">
        <v>2928</v>
      </c>
      <c r="R47" s="123" t="s">
        <v>2379</v>
      </c>
      <c r="S47" s="123" t="s">
        <v>2379</v>
      </c>
      <c r="T47" s="123" t="s">
        <v>2379</v>
      </c>
      <c r="U47" s="123" t="s">
        <v>2379</v>
      </c>
      <c r="V47" s="123" t="s">
        <v>2858</v>
      </c>
    </row>
    <row r="48" spans="1:22">
      <c r="A48" s="123" t="s">
        <v>2862</v>
      </c>
      <c r="B48" s="123" t="s">
        <v>2846</v>
      </c>
      <c r="C48" s="124">
        <v>45832.639499699071</v>
      </c>
      <c r="D48" s="124">
        <v>45832.639499699071</v>
      </c>
      <c r="E48" s="123" t="s">
        <v>1893</v>
      </c>
      <c r="F48" s="123" t="s">
        <v>1876</v>
      </c>
      <c r="G48" s="123" t="s">
        <v>1877</v>
      </c>
      <c r="H48" s="123" t="s">
        <v>1875</v>
      </c>
      <c r="I48" s="123" t="s">
        <v>2379</v>
      </c>
      <c r="J48" s="123" t="s">
        <v>1946</v>
      </c>
      <c r="K48" s="123" t="s">
        <v>2863</v>
      </c>
      <c r="L48" s="123" t="s">
        <v>2379</v>
      </c>
      <c r="M48" s="123" t="s">
        <v>2864</v>
      </c>
      <c r="N48" s="123" t="s">
        <v>2929</v>
      </c>
      <c r="O48" s="123" t="s">
        <v>2915</v>
      </c>
      <c r="P48" s="123" t="s">
        <v>2379</v>
      </c>
      <c r="Q48" s="123" t="s">
        <v>2930</v>
      </c>
      <c r="R48" s="123" t="s">
        <v>2379</v>
      </c>
      <c r="S48" s="123" t="s">
        <v>2379</v>
      </c>
      <c r="T48" s="123" t="s">
        <v>2379</v>
      </c>
      <c r="U48" s="123" t="s">
        <v>2379</v>
      </c>
      <c r="V48" s="123" t="s">
        <v>2945</v>
      </c>
    </row>
    <row r="49" spans="1:22">
      <c r="A49" s="123" t="s">
        <v>2862</v>
      </c>
      <c r="B49" s="123" t="s">
        <v>1889</v>
      </c>
      <c r="C49" s="124">
        <v>46041.891249398148</v>
      </c>
      <c r="D49" s="124">
        <v>46041.891249398148</v>
      </c>
      <c r="E49" s="123" t="s">
        <v>2908</v>
      </c>
      <c r="F49" s="123" t="s">
        <v>2160</v>
      </c>
      <c r="G49" s="123" t="s">
        <v>2161</v>
      </c>
      <c r="H49" s="123" t="s">
        <v>2159</v>
      </c>
      <c r="I49" s="123" t="s">
        <v>2379</v>
      </c>
      <c r="J49" s="123" t="s">
        <v>1946</v>
      </c>
      <c r="K49" s="123" t="s">
        <v>2909</v>
      </c>
      <c r="L49" s="123" t="s">
        <v>2379</v>
      </c>
      <c r="M49" s="123" t="s">
        <v>2910</v>
      </c>
      <c r="N49" s="123" t="s">
        <v>2884</v>
      </c>
      <c r="O49" s="123" t="s">
        <v>2854</v>
      </c>
      <c r="P49" s="123" t="s">
        <v>2379</v>
      </c>
      <c r="Q49" s="123" t="s">
        <v>2911</v>
      </c>
      <c r="R49" s="123" t="s">
        <v>2379</v>
      </c>
      <c r="S49" s="123" t="s">
        <v>2379</v>
      </c>
      <c r="T49" s="123" t="s">
        <v>2379</v>
      </c>
      <c r="U49" s="123" t="s">
        <v>2379</v>
      </c>
      <c r="V49" s="123" t="s">
        <v>2379</v>
      </c>
    </row>
    <row r="50" spans="1:22">
      <c r="A50" s="123" t="s">
        <v>2862</v>
      </c>
      <c r="B50" s="123" t="s">
        <v>1900</v>
      </c>
      <c r="C50" s="124">
        <v>46071.566184861113</v>
      </c>
      <c r="D50" s="124">
        <v>46071.566184861113</v>
      </c>
      <c r="E50" s="123" t="s">
        <v>2020</v>
      </c>
      <c r="F50" s="123" t="s">
        <v>2314</v>
      </c>
      <c r="G50" s="123" t="s">
        <v>2315</v>
      </c>
      <c r="H50" s="123" t="s">
        <v>2313</v>
      </c>
      <c r="I50" s="123" t="s">
        <v>2379</v>
      </c>
      <c r="J50" s="123" t="s">
        <v>1899</v>
      </c>
      <c r="K50" s="123" t="s">
        <v>2877</v>
      </c>
      <c r="L50" s="123" t="s">
        <v>2904</v>
      </c>
      <c r="M50" s="123" t="s">
        <v>2905</v>
      </c>
      <c r="N50" s="123" t="s">
        <v>2906</v>
      </c>
      <c r="O50" s="123" t="s">
        <v>2854</v>
      </c>
      <c r="P50" s="123" t="s">
        <v>2379</v>
      </c>
      <c r="Q50" s="123" t="s">
        <v>2907</v>
      </c>
      <c r="R50" s="123" t="s">
        <v>2379</v>
      </c>
      <c r="S50" s="123" t="s">
        <v>2379</v>
      </c>
      <c r="T50" s="123" t="s">
        <v>2379</v>
      </c>
      <c r="U50" s="123" t="s">
        <v>2379</v>
      </c>
      <c r="V50" s="123" t="s">
        <v>2858</v>
      </c>
    </row>
    <row r="51" spans="1:22">
      <c r="A51" s="123" t="s">
        <v>2862</v>
      </c>
      <c r="B51" s="123" t="s">
        <v>2846</v>
      </c>
      <c r="C51" s="124">
        <v>45832.625290972224</v>
      </c>
      <c r="D51" s="124">
        <v>45832.625290972224</v>
      </c>
      <c r="E51" s="123" t="s">
        <v>2379</v>
      </c>
      <c r="F51" s="123" t="s">
        <v>1858</v>
      </c>
      <c r="G51" s="123" t="s">
        <v>1859</v>
      </c>
      <c r="H51" s="123" t="s">
        <v>1857</v>
      </c>
      <c r="I51" s="123" t="s">
        <v>2379</v>
      </c>
      <c r="J51" s="123" t="s">
        <v>1894</v>
      </c>
      <c r="K51" s="123" t="s">
        <v>2899</v>
      </c>
      <c r="L51" s="123" t="s">
        <v>2877</v>
      </c>
      <c r="M51" s="123" t="s">
        <v>2946</v>
      </c>
      <c r="N51" s="123" t="s">
        <v>2947</v>
      </c>
      <c r="O51" s="123" t="s">
        <v>2915</v>
      </c>
      <c r="P51" s="123" t="s">
        <v>2379</v>
      </c>
      <c r="Q51" s="123" t="s">
        <v>2948</v>
      </c>
      <c r="R51" s="123" t="s">
        <v>2379</v>
      </c>
      <c r="S51" s="123" t="s">
        <v>2379</v>
      </c>
      <c r="T51" s="123" t="s">
        <v>2379</v>
      </c>
      <c r="U51" s="123" t="s">
        <v>2379</v>
      </c>
      <c r="V51" s="123" t="s">
        <v>2917</v>
      </c>
    </row>
    <row r="52" spans="1:22">
      <c r="A52" s="123" t="s">
        <v>2862</v>
      </c>
      <c r="B52" s="123" t="s">
        <v>1900</v>
      </c>
      <c r="C52" s="124">
        <v>46097.477207812502</v>
      </c>
      <c r="D52" s="124">
        <v>46097.477207812502</v>
      </c>
      <c r="E52" s="123" t="s">
        <v>1893</v>
      </c>
      <c r="F52" s="123" t="s">
        <v>2333</v>
      </c>
      <c r="G52" s="123" t="s">
        <v>2334</v>
      </c>
      <c r="H52" s="123" t="s">
        <v>2332</v>
      </c>
      <c r="I52" s="123" t="s">
        <v>2379</v>
      </c>
      <c r="J52" s="123" t="s">
        <v>2168</v>
      </c>
      <c r="K52" s="123" t="s">
        <v>2886</v>
      </c>
      <c r="L52" s="123" t="s">
        <v>2887</v>
      </c>
      <c r="M52" s="123" t="s">
        <v>2893</v>
      </c>
      <c r="N52" s="123" t="s">
        <v>2894</v>
      </c>
      <c r="O52" s="123" t="s">
        <v>2854</v>
      </c>
      <c r="P52" s="123" t="s">
        <v>2895</v>
      </c>
      <c r="Q52" s="123" t="s">
        <v>2896</v>
      </c>
      <c r="R52" s="123" t="s">
        <v>2379</v>
      </c>
      <c r="S52" s="123" t="s">
        <v>2379</v>
      </c>
      <c r="T52" s="123" t="s">
        <v>2379</v>
      </c>
      <c r="U52" s="123" t="s">
        <v>2379</v>
      </c>
      <c r="V52" s="123" t="s">
        <v>2379</v>
      </c>
    </row>
    <row r="53" spans="1:22">
      <c r="A53" s="123" t="s">
        <v>2862</v>
      </c>
      <c r="B53" s="123" t="s">
        <v>1889</v>
      </c>
      <c r="C53" s="124">
        <v>45852.640907997687</v>
      </c>
      <c r="D53" s="124">
        <v>45852.640907997687</v>
      </c>
      <c r="E53" s="123" t="s">
        <v>1893</v>
      </c>
      <c r="F53" s="123" t="s">
        <v>2881</v>
      </c>
      <c r="G53" s="123" t="s">
        <v>2882</v>
      </c>
      <c r="H53" s="123" t="s">
        <v>1905</v>
      </c>
      <c r="I53" s="123" t="s">
        <v>2379</v>
      </c>
      <c r="J53" s="123" t="s">
        <v>1908</v>
      </c>
      <c r="K53" s="123" t="s">
        <v>2883</v>
      </c>
      <c r="L53" s="123" t="s">
        <v>2873</v>
      </c>
      <c r="M53" s="123" t="s">
        <v>2884</v>
      </c>
      <c r="N53" s="123" t="s">
        <v>2884</v>
      </c>
      <c r="O53" s="123" t="s">
        <v>2854</v>
      </c>
      <c r="P53" s="123" t="s">
        <v>2379</v>
      </c>
      <c r="Q53" s="123" t="s">
        <v>2885</v>
      </c>
      <c r="R53" s="123" t="s">
        <v>2379</v>
      </c>
      <c r="S53" s="123" t="s">
        <v>2379</v>
      </c>
      <c r="T53" s="123" t="s">
        <v>2379</v>
      </c>
      <c r="U53" s="123" t="s">
        <v>2379</v>
      </c>
      <c r="V53" s="123" t="s">
        <v>2379</v>
      </c>
    </row>
    <row r="54" spans="1:22">
      <c r="A54" s="123" t="s">
        <v>2862</v>
      </c>
      <c r="B54" s="123" t="s">
        <v>1889</v>
      </c>
      <c r="C54" s="124">
        <v>45841.481554409722</v>
      </c>
      <c r="D54" s="124">
        <v>45841.481554409722</v>
      </c>
      <c r="E54" s="123" t="s">
        <v>1893</v>
      </c>
      <c r="F54" s="123" t="s">
        <v>1891</v>
      </c>
      <c r="G54" s="123" t="s">
        <v>1892</v>
      </c>
      <c r="H54" s="123" t="s">
        <v>1890</v>
      </c>
      <c r="I54" s="123" t="s">
        <v>2379</v>
      </c>
      <c r="J54" s="123" t="s">
        <v>1894</v>
      </c>
      <c r="K54" s="123" t="s">
        <v>2899</v>
      </c>
      <c r="L54" s="123" t="s">
        <v>2877</v>
      </c>
      <c r="M54" s="123" t="s">
        <v>2900</v>
      </c>
      <c r="N54" s="123" t="s">
        <v>2900</v>
      </c>
      <c r="O54" s="123" t="s">
        <v>2854</v>
      </c>
      <c r="P54" s="123" t="s">
        <v>2379</v>
      </c>
      <c r="Q54" s="123" t="s">
        <v>2901</v>
      </c>
      <c r="R54" s="123" t="s">
        <v>2379</v>
      </c>
      <c r="S54" s="123" t="s">
        <v>2379</v>
      </c>
      <c r="T54" s="123" t="s">
        <v>2379</v>
      </c>
      <c r="U54" s="123" t="s">
        <v>2379</v>
      </c>
      <c r="V54" s="123" t="s">
        <v>2858</v>
      </c>
    </row>
    <row r="55" spans="1:22">
      <c r="A55" s="123" t="s">
        <v>2862</v>
      </c>
      <c r="B55" s="123" t="s">
        <v>1900</v>
      </c>
      <c r="C55" s="124">
        <v>46097.477207812502</v>
      </c>
      <c r="D55" s="124">
        <v>46097.477207812502</v>
      </c>
      <c r="E55" s="123" t="s">
        <v>1893</v>
      </c>
      <c r="F55" s="123" t="s">
        <v>2333</v>
      </c>
      <c r="G55" s="123" t="s">
        <v>2334</v>
      </c>
      <c r="H55" s="123" t="s">
        <v>2332</v>
      </c>
      <c r="I55" s="123" t="s">
        <v>2379</v>
      </c>
      <c r="J55" s="123" t="s">
        <v>2168</v>
      </c>
      <c r="K55" s="123" t="s">
        <v>2886</v>
      </c>
      <c r="L55" s="123" t="s">
        <v>2887</v>
      </c>
      <c r="M55" s="123" t="s">
        <v>2893</v>
      </c>
      <c r="N55" s="123" t="s">
        <v>2894</v>
      </c>
      <c r="O55" s="123" t="s">
        <v>2854</v>
      </c>
      <c r="P55" s="123" t="s">
        <v>2895</v>
      </c>
      <c r="Q55" s="123" t="s">
        <v>2896</v>
      </c>
      <c r="R55" s="123" t="s">
        <v>2379</v>
      </c>
      <c r="S55" s="123" t="s">
        <v>2379</v>
      </c>
      <c r="T55" s="123" t="s">
        <v>2379</v>
      </c>
      <c r="U55" s="123" t="s">
        <v>2379</v>
      </c>
      <c r="V55" s="123" t="s">
        <v>2892</v>
      </c>
    </row>
    <row r="56" spans="1:22">
      <c r="A56" s="123" t="s">
        <v>2862</v>
      </c>
      <c r="B56" s="123" t="s">
        <v>2846</v>
      </c>
      <c r="C56" s="124">
        <v>45817.578326249997</v>
      </c>
      <c r="D56" s="124">
        <v>45817.578326249997</v>
      </c>
      <c r="E56" s="123" t="s">
        <v>2379</v>
      </c>
      <c r="F56" s="123" t="s">
        <v>2941</v>
      </c>
      <c r="G56" s="123" t="s">
        <v>2942</v>
      </c>
      <c r="H56" s="123" t="s">
        <v>1845</v>
      </c>
      <c r="I56" s="123" t="s">
        <v>2379</v>
      </c>
      <c r="J56" s="123" t="s">
        <v>1908</v>
      </c>
      <c r="K56" s="123" t="s">
        <v>2883</v>
      </c>
      <c r="L56" s="123" t="s">
        <v>2873</v>
      </c>
      <c r="M56" s="123" t="s">
        <v>2921</v>
      </c>
      <c r="N56" s="123" t="s">
        <v>2922</v>
      </c>
      <c r="O56" s="123" t="s">
        <v>2379</v>
      </c>
      <c r="P56" s="123" t="s">
        <v>2943</v>
      </c>
      <c r="Q56" s="123" t="s">
        <v>2944</v>
      </c>
      <c r="R56" s="123" t="s">
        <v>2379</v>
      </c>
      <c r="S56" s="123" t="s">
        <v>2379</v>
      </c>
      <c r="T56" s="123" t="s">
        <v>2379</v>
      </c>
      <c r="U56" s="123" t="s">
        <v>2379</v>
      </c>
      <c r="V56" s="123" t="s">
        <v>2858</v>
      </c>
    </row>
    <row r="57" spans="1:22">
      <c r="A57" s="123" t="s">
        <v>2862</v>
      </c>
      <c r="B57" s="123" t="s">
        <v>2846</v>
      </c>
      <c r="C57" s="124">
        <v>45807.545163969909</v>
      </c>
      <c r="D57" s="124">
        <v>45807.545163969909</v>
      </c>
      <c r="E57" s="123" t="s">
        <v>2379</v>
      </c>
      <c r="F57" s="123" t="s">
        <v>1836</v>
      </c>
      <c r="G57" s="123" t="s">
        <v>1838</v>
      </c>
      <c r="H57" s="123" t="s">
        <v>1835</v>
      </c>
      <c r="I57" s="123" t="s">
        <v>2379</v>
      </c>
      <c r="J57" s="123" t="s">
        <v>1894</v>
      </c>
      <c r="K57" s="123" t="s">
        <v>2899</v>
      </c>
      <c r="L57" s="123" t="s">
        <v>2877</v>
      </c>
      <c r="M57" s="123" t="s">
        <v>2913</v>
      </c>
      <c r="N57" s="123" t="s">
        <v>2914</v>
      </c>
      <c r="O57" s="123" t="s">
        <v>2915</v>
      </c>
      <c r="P57" s="123" t="s">
        <v>2379</v>
      </c>
      <c r="Q57" s="123" t="s">
        <v>2916</v>
      </c>
      <c r="R57" s="123" t="s">
        <v>2379</v>
      </c>
      <c r="S57" s="123" t="s">
        <v>2379</v>
      </c>
      <c r="T57" s="123" t="s">
        <v>2379</v>
      </c>
      <c r="U57" s="123" t="s">
        <v>2379</v>
      </c>
      <c r="V57" s="123" t="s">
        <v>2945</v>
      </c>
    </row>
    <row r="58" spans="1:22">
      <c r="A58" s="123" t="s">
        <v>2862</v>
      </c>
      <c r="B58" s="123" t="s">
        <v>1889</v>
      </c>
      <c r="C58" s="124">
        <v>45924.739321909721</v>
      </c>
      <c r="D58" s="124">
        <v>45924.739321909721</v>
      </c>
      <c r="E58" s="123" t="s">
        <v>1893</v>
      </c>
      <c r="F58" s="123" t="s">
        <v>2012</v>
      </c>
      <c r="G58" s="123" t="s">
        <v>2013</v>
      </c>
      <c r="H58" s="123" t="s">
        <v>2011</v>
      </c>
      <c r="I58" s="123" t="s">
        <v>2379</v>
      </c>
      <c r="J58" s="123" t="s">
        <v>1908</v>
      </c>
      <c r="K58" s="123" t="s">
        <v>2872</v>
      </c>
      <c r="L58" s="123" t="s">
        <v>2873</v>
      </c>
      <c r="M58" s="123" t="s">
        <v>2874</v>
      </c>
      <c r="N58" s="123" t="s">
        <v>2875</v>
      </c>
      <c r="O58" s="123" t="s">
        <v>2854</v>
      </c>
      <c r="P58" s="123" t="s">
        <v>2379</v>
      </c>
      <c r="Q58" s="123" t="s">
        <v>2876</v>
      </c>
      <c r="R58" s="123" t="s">
        <v>2379</v>
      </c>
      <c r="S58" s="123" t="s">
        <v>2379</v>
      </c>
      <c r="T58" s="123" t="s">
        <v>2379</v>
      </c>
      <c r="U58" s="123" t="s">
        <v>2379</v>
      </c>
      <c r="V58" s="123" t="s">
        <v>2858</v>
      </c>
    </row>
    <row r="59" spans="1:22">
      <c r="A59" s="123" t="s">
        <v>2862</v>
      </c>
      <c r="B59" s="123" t="s">
        <v>1889</v>
      </c>
      <c r="C59" s="124">
        <v>46090.589661979167</v>
      </c>
      <c r="D59" s="124">
        <v>46090.589661979167</v>
      </c>
      <c r="E59" s="123" t="s">
        <v>2319</v>
      </c>
      <c r="F59" s="123" t="s">
        <v>2317</v>
      </c>
      <c r="G59" s="123" t="s">
        <v>2318</v>
      </c>
      <c r="H59" s="123" t="s">
        <v>2316</v>
      </c>
      <c r="I59" s="123" t="s">
        <v>2379</v>
      </c>
      <c r="J59" s="123" t="s">
        <v>1908</v>
      </c>
      <c r="K59" s="123" t="s">
        <v>2883</v>
      </c>
      <c r="L59" s="123" t="s">
        <v>2873</v>
      </c>
      <c r="M59" s="123" t="s">
        <v>2884</v>
      </c>
      <c r="N59" s="123" t="s">
        <v>2884</v>
      </c>
      <c r="O59" s="123" t="s">
        <v>2854</v>
      </c>
      <c r="P59" s="123" t="s">
        <v>2379</v>
      </c>
      <c r="Q59" s="123" t="s">
        <v>2940</v>
      </c>
      <c r="R59" s="123" t="s">
        <v>2379</v>
      </c>
      <c r="S59" s="123" t="s">
        <v>2379</v>
      </c>
      <c r="T59" s="123" t="s">
        <v>2379</v>
      </c>
      <c r="U59" s="123" t="s">
        <v>2379</v>
      </c>
      <c r="V59" s="123" t="s">
        <v>2379</v>
      </c>
    </row>
    <row r="60" spans="1:22">
      <c r="A60" s="123" t="s">
        <v>2862</v>
      </c>
      <c r="B60" s="123" t="s">
        <v>2846</v>
      </c>
      <c r="C60" s="124">
        <v>45807.545163969909</v>
      </c>
      <c r="D60" s="124">
        <v>45807.545163969909</v>
      </c>
      <c r="E60" s="123" t="s">
        <v>2379</v>
      </c>
      <c r="F60" s="123" t="s">
        <v>1836</v>
      </c>
      <c r="G60" s="123" t="s">
        <v>1838</v>
      </c>
      <c r="H60" s="123" t="s">
        <v>1835</v>
      </c>
      <c r="I60" s="123" t="s">
        <v>2379</v>
      </c>
      <c r="J60" s="123" t="s">
        <v>1894</v>
      </c>
      <c r="K60" s="123" t="s">
        <v>2899</v>
      </c>
      <c r="L60" s="123" t="s">
        <v>2877</v>
      </c>
      <c r="M60" s="123" t="s">
        <v>2913</v>
      </c>
      <c r="N60" s="123" t="s">
        <v>2914</v>
      </c>
      <c r="O60" s="123" t="s">
        <v>2915</v>
      </c>
      <c r="P60" s="123" t="s">
        <v>2379</v>
      </c>
      <c r="Q60" s="123" t="s">
        <v>2916</v>
      </c>
      <c r="R60" s="123" t="s">
        <v>2379</v>
      </c>
      <c r="S60" s="123" t="s">
        <v>2379</v>
      </c>
      <c r="T60" s="123" t="s">
        <v>2379</v>
      </c>
      <c r="U60" s="123" t="s">
        <v>2379</v>
      </c>
      <c r="V60" s="123" t="s">
        <v>2858</v>
      </c>
    </row>
    <row r="61" spans="1:22">
      <c r="A61" s="123" t="s">
        <v>2862</v>
      </c>
      <c r="B61" s="123" t="s">
        <v>1889</v>
      </c>
      <c r="C61" s="124">
        <v>45852.640907997687</v>
      </c>
      <c r="D61" s="124">
        <v>45852.640907997687</v>
      </c>
      <c r="E61" s="123" t="s">
        <v>1893</v>
      </c>
      <c r="F61" s="123" t="s">
        <v>2881</v>
      </c>
      <c r="G61" s="123" t="s">
        <v>2882</v>
      </c>
      <c r="H61" s="123" t="s">
        <v>1905</v>
      </c>
      <c r="I61" s="123" t="s">
        <v>2379</v>
      </c>
      <c r="J61" s="123" t="s">
        <v>1908</v>
      </c>
      <c r="K61" s="123" t="s">
        <v>2883</v>
      </c>
      <c r="L61" s="123" t="s">
        <v>2873</v>
      </c>
      <c r="M61" s="123" t="s">
        <v>2884</v>
      </c>
      <c r="N61" s="123" t="s">
        <v>2884</v>
      </c>
      <c r="O61" s="123" t="s">
        <v>2854</v>
      </c>
      <c r="P61" s="123" t="s">
        <v>2379</v>
      </c>
      <c r="Q61" s="123" t="s">
        <v>2885</v>
      </c>
      <c r="R61" s="123" t="s">
        <v>2379</v>
      </c>
      <c r="S61" s="123" t="s">
        <v>2379</v>
      </c>
      <c r="T61" s="123" t="s">
        <v>2379</v>
      </c>
      <c r="U61" s="123" t="s">
        <v>2379</v>
      </c>
      <c r="V61" s="123" t="s">
        <v>2892</v>
      </c>
    </row>
    <row r="62" spans="1:22">
      <c r="A62" s="123" t="s">
        <v>2862</v>
      </c>
      <c r="B62" s="123" t="s">
        <v>1889</v>
      </c>
      <c r="C62" s="124">
        <v>45899.713615995373</v>
      </c>
      <c r="D62" s="124">
        <v>45899.713615995373</v>
      </c>
      <c r="E62" s="123" t="s">
        <v>1893</v>
      </c>
      <c r="F62" s="123" t="s">
        <v>1996</v>
      </c>
      <c r="G62" s="123" t="s">
        <v>1997</v>
      </c>
      <c r="H62" s="123" t="s">
        <v>1995</v>
      </c>
      <c r="I62" s="123" t="s">
        <v>2379</v>
      </c>
      <c r="J62" s="123" t="s">
        <v>1908</v>
      </c>
      <c r="K62" s="123" t="s">
        <v>2883</v>
      </c>
      <c r="L62" s="123" t="s">
        <v>2873</v>
      </c>
      <c r="M62" s="123" t="s">
        <v>2884</v>
      </c>
      <c r="N62" s="123" t="s">
        <v>2884</v>
      </c>
      <c r="O62" s="123" t="s">
        <v>2854</v>
      </c>
      <c r="P62" s="123" t="s">
        <v>2379</v>
      </c>
      <c r="Q62" s="123" t="s">
        <v>2902</v>
      </c>
      <c r="R62" s="123" t="s">
        <v>2379</v>
      </c>
      <c r="S62" s="123" t="s">
        <v>2379</v>
      </c>
      <c r="T62" s="123" t="s">
        <v>2379</v>
      </c>
      <c r="U62" s="123" t="s">
        <v>2379</v>
      </c>
      <c r="V62" s="123" t="s">
        <v>2379</v>
      </c>
    </row>
    <row r="63" spans="1:22">
      <c r="A63" s="123" t="s">
        <v>2862</v>
      </c>
      <c r="B63" s="123" t="s">
        <v>2846</v>
      </c>
      <c r="C63" s="124">
        <v>45817.578326249997</v>
      </c>
      <c r="D63" s="124">
        <v>45817.578326249997</v>
      </c>
      <c r="E63" s="123" t="s">
        <v>2379</v>
      </c>
      <c r="F63" s="123" t="s">
        <v>2941</v>
      </c>
      <c r="G63" s="123" t="s">
        <v>2942</v>
      </c>
      <c r="H63" s="123" t="s">
        <v>1845</v>
      </c>
      <c r="I63" s="123" t="s">
        <v>2379</v>
      </c>
      <c r="J63" s="123" t="s">
        <v>1908</v>
      </c>
      <c r="K63" s="123" t="s">
        <v>2883</v>
      </c>
      <c r="L63" s="123" t="s">
        <v>2873</v>
      </c>
      <c r="M63" s="123" t="s">
        <v>2921</v>
      </c>
      <c r="N63" s="123" t="s">
        <v>2922</v>
      </c>
      <c r="O63" s="123" t="s">
        <v>2379</v>
      </c>
      <c r="P63" s="123" t="s">
        <v>2943</v>
      </c>
      <c r="Q63" s="123" t="s">
        <v>2944</v>
      </c>
      <c r="R63" s="123" t="s">
        <v>2379</v>
      </c>
      <c r="S63" s="123" t="s">
        <v>2379</v>
      </c>
      <c r="T63" s="123" t="s">
        <v>2379</v>
      </c>
      <c r="U63" s="123" t="s">
        <v>2379</v>
      </c>
      <c r="V63" s="123" t="s">
        <v>2379</v>
      </c>
    </row>
    <row r="64" spans="1:22">
      <c r="A64" s="123" t="s">
        <v>2862</v>
      </c>
      <c r="B64" s="123" t="s">
        <v>2846</v>
      </c>
      <c r="C64" s="124">
        <v>45807.750557777777</v>
      </c>
      <c r="D64" s="124">
        <v>45807.750557777777</v>
      </c>
      <c r="E64" s="123" t="s">
        <v>2379</v>
      </c>
      <c r="F64" s="123" t="s">
        <v>167</v>
      </c>
      <c r="G64" s="123" t="s">
        <v>1844</v>
      </c>
      <c r="H64" s="123" t="s">
        <v>1843</v>
      </c>
      <c r="I64" s="123" t="s">
        <v>2379</v>
      </c>
      <c r="J64" s="123" t="s">
        <v>1946</v>
      </c>
      <c r="K64" s="123" t="s">
        <v>2863</v>
      </c>
      <c r="L64" s="123" t="s">
        <v>2379</v>
      </c>
      <c r="M64" s="123" t="s">
        <v>2864</v>
      </c>
      <c r="N64" s="123" t="s">
        <v>2933</v>
      </c>
      <c r="O64" s="123" t="s">
        <v>2915</v>
      </c>
      <c r="P64" s="123" t="s">
        <v>2379</v>
      </c>
      <c r="Q64" s="123" t="s">
        <v>2934</v>
      </c>
      <c r="R64" s="123" t="s">
        <v>2379</v>
      </c>
      <c r="S64" s="123" t="s">
        <v>2379</v>
      </c>
      <c r="T64" s="123" t="s">
        <v>2379</v>
      </c>
      <c r="U64" s="123" t="s">
        <v>2379</v>
      </c>
      <c r="V64" s="123" t="s">
        <v>2917</v>
      </c>
    </row>
    <row r="65" spans="1:22">
      <c r="A65" s="123" t="s">
        <v>2862</v>
      </c>
      <c r="B65" s="123" t="s">
        <v>1889</v>
      </c>
      <c r="C65" s="124">
        <v>45902.394943113424</v>
      </c>
      <c r="D65" s="124">
        <v>45902.394943113424</v>
      </c>
      <c r="E65" s="123" t="s">
        <v>1893</v>
      </c>
      <c r="F65" s="123" t="s">
        <v>2000</v>
      </c>
      <c r="G65" s="123" t="s">
        <v>2001</v>
      </c>
      <c r="H65" s="123" t="s">
        <v>1999</v>
      </c>
      <c r="I65" s="123" t="s">
        <v>2379</v>
      </c>
      <c r="J65" s="123" t="s">
        <v>1946</v>
      </c>
      <c r="K65" s="123" t="s">
        <v>2924</v>
      </c>
      <c r="L65" s="123" t="s">
        <v>2379</v>
      </c>
      <c r="M65" s="123" t="s">
        <v>2925</v>
      </c>
      <c r="N65" s="123" t="s">
        <v>2884</v>
      </c>
      <c r="O65" s="123" t="s">
        <v>2854</v>
      </c>
      <c r="P65" s="123" t="s">
        <v>2379</v>
      </c>
      <c r="Q65" s="123" t="s">
        <v>2926</v>
      </c>
      <c r="R65" s="123" t="s">
        <v>2379</v>
      </c>
      <c r="S65" s="123" t="s">
        <v>2379</v>
      </c>
      <c r="T65" s="123" t="s">
        <v>2379</v>
      </c>
      <c r="U65" s="123" t="s">
        <v>2379</v>
      </c>
      <c r="V65" s="123" t="s">
        <v>2379</v>
      </c>
    </row>
    <row r="66" spans="1:22">
      <c r="A66" s="123" t="s">
        <v>2862</v>
      </c>
      <c r="B66" s="123" t="s">
        <v>1889</v>
      </c>
      <c r="C66" s="124">
        <v>46043.725983680553</v>
      </c>
      <c r="D66" s="124">
        <v>46043.725983680553</v>
      </c>
      <c r="E66" s="123" t="s">
        <v>2020</v>
      </c>
      <c r="F66" s="123" t="s">
        <v>2173</v>
      </c>
      <c r="G66" s="123" t="s">
        <v>2174</v>
      </c>
      <c r="H66" s="123" t="s">
        <v>2172</v>
      </c>
      <c r="I66" s="123" t="s">
        <v>2379</v>
      </c>
      <c r="J66" s="123" t="s">
        <v>1899</v>
      </c>
      <c r="K66" s="123" t="s">
        <v>2877</v>
      </c>
      <c r="L66" s="123" t="s">
        <v>2904</v>
      </c>
      <c r="M66" s="123" t="s">
        <v>2865</v>
      </c>
      <c r="N66" s="123" t="s">
        <v>2936</v>
      </c>
      <c r="O66" s="123" t="s">
        <v>2854</v>
      </c>
      <c r="P66" s="123" t="s">
        <v>2379</v>
      </c>
      <c r="Q66" s="123" t="s">
        <v>2937</v>
      </c>
      <c r="R66" s="123" t="s">
        <v>2379</v>
      </c>
      <c r="S66" s="123" t="s">
        <v>2379</v>
      </c>
      <c r="T66" s="123" t="s">
        <v>2379</v>
      </c>
      <c r="U66" s="123" t="s">
        <v>2379</v>
      </c>
      <c r="V66" s="123" t="s">
        <v>2858</v>
      </c>
    </row>
    <row r="67" spans="1:22">
      <c r="A67" s="123" t="s">
        <v>2862</v>
      </c>
      <c r="B67" s="123" t="s">
        <v>2846</v>
      </c>
      <c r="C67" s="124">
        <v>45832.639499699071</v>
      </c>
      <c r="D67" s="124">
        <v>45832.639499699071</v>
      </c>
      <c r="E67" s="123" t="s">
        <v>1893</v>
      </c>
      <c r="F67" s="123" t="s">
        <v>1876</v>
      </c>
      <c r="G67" s="123" t="s">
        <v>1877</v>
      </c>
      <c r="H67" s="123" t="s">
        <v>1875</v>
      </c>
      <c r="I67" s="123" t="s">
        <v>2379</v>
      </c>
      <c r="J67" s="123" t="s">
        <v>1946</v>
      </c>
      <c r="K67" s="123" t="s">
        <v>2863</v>
      </c>
      <c r="L67" s="123" t="s">
        <v>2379</v>
      </c>
      <c r="M67" s="123" t="s">
        <v>2864</v>
      </c>
      <c r="N67" s="123" t="s">
        <v>2929</v>
      </c>
      <c r="O67" s="123" t="s">
        <v>2915</v>
      </c>
      <c r="P67" s="123" t="s">
        <v>2379</v>
      </c>
      <c r="Q67" s="123" t="s">
        <v>2930</v>
      </c>
      <c r="R67" s="123" t="s">
        <v>2379</v>
      </c>
      <c r="S67" s="123" t="s">
        <v>2379</v>
      </c>
      <c r="T67" s="123" t="s">
        <v>2379</v>
      </c>
      <c r="U67" s="123" t="s">
        <v>2379</v>
      </c>
      <c r="V67" s="123" t="s">
        <v>2858</v>
      </c>
    </row>
    <row r="68" spans="1:22">
      <c r="A68" s="123" t="s">
        <v>2862</v>
      </c>
      <c r="B68" s="123" t="s">
        <v>1900</v>
      </c>
      <c r="C68" s="124">
        <v>45894.387419212966</v>
      </c>
      <c r="D68" s="124">
        <v>45894.387419212966</v>
      </c>
      <c r="E68" s="123" t="s">
        <v>1893</v>
      </c>
      <c r="F68" s="123" t="s">
        <v>1948</v>
      </c>
      <c r="G68" s="123" t="s">
        <v>1949</v>
      </c>
      <c r="H68" s="123" t="s">
        <v>1947</v>
      </c>
      <c r="I68" s="123" t="s">
        <v>2379</v>
      </c>
      <c r="J68" s="123" t="s">
        <v>1946</v>
      </c>
      <c r="K68" s="123" t="s">
        <v>2909</v>
      </c>
      <c r="L68" s="123" t="s">
        <v>2379</v>
      </c>
      <c r="M68" s="123" t="s">
        <v>2910</v>
      </c>
      <c r="N68" s="123" t="s">
        <v>2864</v>
      </c>
      <c r="O68" s="123" t="s">
        <v>2854</v>
      </c>
      <c r="P68" s="123" t="s">
        <v>2379</v>
      </c>
      <c r="Q68" s="123" t="s">
        <v>2939</v>
      </c>
      <c r="R68" s="123" t="s">
        <v>2379</v>
      </c>
      <c r="S68" s="123" t="s">
        <v>2379</v>
      </c>
      <c r="T68" s="123" t="s">
        <v>2379</v>
      </c>
      <c r="U68" s="123" t="s">
        <v>2379</v>
      </c>
      <c r="V68" s="123" t="s">
        <v>2858</v>
      </c>
    </row>
    <row r="69" spans="1:22">
      <c r="A69" s="123" t="s">
        <v>2862</v>
      </c>
      <c r="B69" s="123" t="s">
        <v>2846</v>
      </c>
      <c r="C69" s="124">
        <v>45827.408104826391</v>
      </c>
      <c r="D69" s="124">
        <v>45827.408104826391</v>
      </c>
      <c r="E69" s="123" t="s">
        <v>2379</v>
      </c>
      <c r="F69" s="123" t="s">
        <v>1854</v>
      </c>
      <c r="G69" s="123" t="s">
        <v>1856</v>
      </c>
      <c r="H69" s="123" t="s">
        <v>1853</v>
      </c>
      <c r="I69" s="123" t="s">
        <v>2379</v>
      </c>
      <c r="J69" s="123" t="s">
        <v>1908</v>
      </c>
      <c r="K69" s="123" t="s">
        <v>2883</v>
      </c>
      <c r="L69" s="123" t="s">
        <v>2873</v>
      </c>
      <c r="M69" s="123" t="s">
        <v>2921</v>
      </c>
      <c r="N69" s="123" t="s">
        <v>2922</v>
      </c>
      <c r="O69" s="123" t="s">
        <v>2915</v>
      </c>
      <c r="P69" s="123" t="s">
        <v>2379</v>
      </c>
      <c r="Q69" s="123" t="s">
        <v>2923</v>
      </c>
      <c r="R69" s="123" t="s">
        <v>2379</v>
      </c>
      <c r="S69" s="123" t="s">
        <v>2379</v>
      </c>
      <c r="T69" s="123" t="s">
        <v>2379</v>
      </c>
      <c r="U69" s="123" t="s">
        <v>2379</v>
      </c>
      <c r="V69" s="123" t="s">
        <v>2945</v>
      </c>
    </row>
    <row r="70" spans="1:22">
      <c r="A70" s="123" t="s">
        <v>2862</v>
      </c>
      <c r="B70" s="123" t="s">
        <v>2846</v>
      </c>
      <c r="C70" s="124">
        <v>45827.408104826391</v>
      </c>
      <c r="D70" s="124">
        <v>45827.408104826391</v>
      </c>
      <c r="E70" s="123" t="s">
        <v>2379</v>
      </c>
      <c r="F70" s="123" t="s">
        <v>1854</v>
      </c>
      <c r="G70" s="123" t="s">
        <v>1856</v>
      </c>
      <c r="H70" s="123" t="s">
        <v>1853</v>
      </c>
      <c r="I70" s="123" t="s">
        <v>2379</v>
      </c>
      <c r="J70" s="123" t="s">
        <v>1908</v>
      </c>
      <c r="K70" s="123" t="s">
        <v>2883</v>
      </c>
      <c r="L70" s="123" t="s">
        <v>2873</v>
      </c>
      <c r="M70" s="123" t="s">
        <v>2921</v>
      </c>
      <c r="N70" s="123" t="s">
        <v>2922</v>
      </c>
      <c r="O70" s="123" t="s">
        <v>2915</v>
      </c>
      <c r="P70" s="123" t="s">
        <v>2379</v>
      </c>
      <c r="Q70" s="123" t="s">
        <v>2923</v>
      </c>
      <c r="R70" s="123" t="s">
        <v>2379</v>
      </c>
      <c r="S70" s="123" t="s">
        <v>2379</v>
      </c>
      <c r="T70" s="123" t="s">
        <v>2379</v>
      </c>
      <c r="U70" s="123" t="s">
        <v>2379</v>
      </c>
      <c r="V70" s="123" t="s">
        <v>2858</v>
      </c>
    </row>
    <row r="71" spans="1:22">
      <c r="A71" s="123" t="s">
        <v>2862</v>
      </c>
      <c r="B71" s="123" t="s">
        <v>2846</v>
      </c>
      <c r="C71" s="124">
        <v>45832.625290972224</v>
      </c>
      <c r="D71" s="124">
        <v>45832.625290972224</v>
      </c>
      <c r="E71" s="123" t="s">
        <v>2379</v>
      </c>
      <c r="F71" s="123" t="s">
        <v>1858</v>
      </c>
      <c r="G71" s="123" t="s">
        <v>1859</v>
      </c>
      <c r="H71" s="123" t="s">
        <v>1857</v>
      </c>
      <c r="I71" s="123" t="s">
        <v>2379</v>
      </c>
      <c r="J71" s="123" t="s">
        <v>1894</v>
      </c>
      <c r="K71" s="123" t="s">
        <v>2899</v>
      </c>
      <c r="L71" s="123" t="s">
        <v>2877</v>
      </c>
      <c r="M71" s="123" t="s">
        <v>2946</v>
      </c>
      <c r="N71" s="123" t="s">
        <v>2947</v>
      </c>
      <c r="O71" s="123" t="s">
        <v>2915</v>
      </c>
      <c r="P71" s="123" t="s">
        <v>2379</v>
      </c>
      <c r="Q71" s="123" t="s">
        <v>2948</v>
      </c>
      <c r="R71" s="123" t="s">
        <v>2379</v>
      </c>
      <c r="S71" s="123" t="s">
        <v>2379</v>
      </c>
      <c r="T71" s="123" t="s">
        <v>2379</v>
      </c>
      <c r="U71" s="123" t="s">
        <v>2379</v>
      </c>
      <c r="V71" s="123" t="s">
        <v>2858</v>
      </c>
    </row>
    <row r="72" spans="1:22">
      <c r="A72" s="123" t="s">
        <v>2862</v>
      </c>
      <c r="B72" s="123" t="s">
        <v>1900</v>
      </c>
      <c r="C72" s="124">
        <v>46097.477207812502</v>
      </c>
      <c r="D72" s="124">
        <v>46097.477207812502</v>
      </c>
      <c r="E72" s="123" t="s">
        <v>1893</v>
      </c>
      <c r="F72" s="123" t="s">
        <v>2333</v>
      </c>
      <c r="G72" s="123" t="s">
        <v>2334</v>
      </c>
      <c r="H72" s="123" t="s">
        <v>2332</v>
      </c>
      <c r="I72" s="123" t="s">
        <v>2379</v>
      </c>
      <c r="J72" s="123" t="s">
        <v>2168</v>
      </c>
      <c r="K72" s="123" t="s">
        <v>2886</v>
      </c>
      <c r="L72" s="123" t="s">
        <v>2887</v>
      </c>
      <c r="M72" s="123" t="s">
        <v>2893</v>
      </c>
      <c r="N72" s="123" t="s">
        <v>2894</v>
      </c>
      <c r="O72" s="123" t="s">
        <v>2854</v>
      </c>
      <c r="P72" s="123" t="s">
        <v>2895</v>
      </c>
      <c r="Q72" s="123" t="s">
        <v>2896</v>
      </c>
      <c r="R72" s="123" t="s">
        <v>2379</v>
      </c>
      <c r="S72" s="123" t="s">
        <v>2379</v>
      </c>
      <c r="T72" s="123" t="s">
        <v>2379</v>
      </c>
      <c r="U72" s="123" t="s">
        <v>2379</v>
      </c>
      <c r="V72" s="123" t="s">
        <v>2861</v>
      </c>
    </row>
    <row r="73" spans="1:22">
      <c r="A73" s="123" t="s">
        <v>2862</v>
      </c>
      <c r="B73" s="123" t="s">
        <v>1889</v>
      </c>
      <c r="C73" s="124">
        <v>45862.578807210652</v>
      </c>
      <c r="D73" s="124">
        <v>45862.578807210652</v>
      </c>
      <c r="E73" s="123" t="s">
        <v>1935</v>
      </c>
      <c r="F73" s="123" t="s">
        <v>1933</v>
      </c>
      <c r="G73" s="123" t="s">
        <v>1934</v>
      </c>
      <c r="H73" s="123" t="s">
        <v>1932</v>
      </c>
      <c r="I73" s="123" t="s">
        <v>2379</v>
      </c>
      <c r="J73" s="123" t="s">
        <v>1908</v>
      </c>
      <c r="K73" s="123" t="s">
        <v>2883</v>
      </c>
      <c r="L73" s="123" t="s">
        <v>2873</v>
      </c>
      <c r="M73" s="123" t="s">
        <v>2884</v>
      </c>
      <c r="N73" s="123" t="s">
        <v>2884</v>
      </c>
      <c r="O73" s="123" t="s">
        <v>2854</v>
      </c>
      <c r="P73" s="123" t="s">
        <v>2379</v>
      </c>
      <c r="Q73" s="123" t="s">
        <v>2912</v>
      </c>
      <c r="R73" s="123" t="s">
        <v>2379</v>
      </c>
      <c r="S73" s="123" t="s">
        <v>2379</v>
      </c>
      <c r="T73" s="123" t="s">
        <v>2379</v>
      </c>
      <c r="U73" s="123" t="s">
        <v>2379</v>
      </c>
      <c r="V73" s="123" t="s">
        <v>2858</v>
      </c>
    </row>
    <row r="74" spans="1:22">
      <c r="A74" s="123" t="s">
        <v>2862</v>
      </c>
      <c r="B74" s="123" t="s">
        <v>2846</v>
      </c>
      <c r="C74" s="124">
        <v>45832.625290972224</v>
      </c>
      <c r="D74" s="124">
        <v>45832.625290972224</v>
      </c>
      <c r="E74" s="123" t="s">
        <v>2379</v>
      </c>
      <c r="F74" s="123" t="s">
        <v>1858</v>
      </c>
      <c r="G74" s="123" t="s">
        <v>1859</v>
      </c>
      <c r="H74" s="123" t="s">
        <v>1857</v>
      </c>
      <c r="I74" s="123" t="s">
        <v>2379</v>
      </c>
      <c r="J74" s="123" t="s">
        <v>1894</v>
      </c>
      <c r="K74" s="123" t="s">
        <v>2899</v>
      </c>
      <c r="L74" s="123" t="s">
        <v>2877</v>
      </c>
      <c r="M74" s="123" t="s">
        <v>2946</v>
      </c>
      <c r="N74" s="123" t="s">
        <v>2947</v>
      </c>
      <c r="O74" s="123" t="s">
        <v>2915</v>
      </c>
      <c r="P74" s="123" t="s">
        <v>2379</v>
      </c>
      <c r="Q74" s="123" t="s">
        <v>2948</v>
      </c>
      <c r="R74" s="123" t="s">
        <v>2379</v>
      </c>
      <c r="S74" s="123" t="s">
        <v>2379</v>
      </c>
      <c r="T74" s="123" t="s">
        <v>2379</v>
      </c>
      <c r="U74" s="123" t="s">
        <v>2379</v>
      </c>
      <c r="V74" s="123" t="s">
        <v>2379</v>
      </c>
    </row>
    <row r="75" spans="1:22">
      <c r="A75" s="123" t="s">
        <v>2862</v>
      </c>
      <c r="B75" s="123" t="s">
        <v>2846</v>
      </c>
      <c r="C75" s="124">
        <v>45827.408104826391</v>
      </c>
      <c r="D75" s="124">
        <v>45827.408104826391</v>
      </c>
      <c r="E75" s="123" t="s">
        <v>2379</v>
      </c>
      <c r="F75" s="123" t="s">
        <v>1854</v>
      </c>
      <c r="G75" s="123" t="s">
        <v>1856</v>
      </c>
      <c r="H75" s="123" t="s">
        <v>1853</v>
      </c>
      <c r="I75" s="123" t="s">
        <v>2379</v>
      </c>
      <c r="J75" s="123" t="s">
        <v>1908</v>
      </c>
      <c r="K75" s="123" t="s">
        <v>2883</v>
      </c>
      <c r="L75" s="123" t="s">
        <v>2873</v>
      </c>
      <c r="M75" s="123" t="s">
        <v>2921</v>
      </c>
      <c r="N75" s="123" t="s">
        <v>2922</v>
      </c>
      <c r="O75" s="123" t="s">
        <v>2915</v>
      </c>
      <c r="P75" s="123" t="s">
        <v>2379</v>
      </c>
      <c r="Q75" s="123" t="s">
        <v>2923</v>
      </c>
      <c r="R75" s="123" t="s">
        <v>2379</v>
      </c>
      <c r="S75" s="123" t="s">
        <v>2379</v>
      </c>
      <c r="T75" s="123" t="s">
        <v>2379</v>
      </c>
      <c r="U75" s="123" t="s">
        <v>2379</v>
      </c>
      <c r="V75" s="123" t="s">
        <v>2917</v>
      </c>
    </row>
    <row r="76" spans="1:22">
      <c r="A76" s="123" t="s">
        <v>2862</v>
      </c>
      <c r="B76" s="123" t="s">
        <v>2846</v>
      </c>
      <c r="C76" s="124">
        <v>45807.750557777777</v>
      </c>
      <c r="D76" s="124">
        <v>45807.750557777777</v>
      </c>
      <c r="E76" s="123" t="s">
        <v>2379</v>
      </c>
      <c r="F76" s="123" t="s">
        <v>167</v>
      </c>
      <c r="G76" s="123" t="s">
        <v>1844</v>
      </c>
      <c r="H76" s="123" t="s">
        <v>1843</v>
      </c>
      <c r="I76" s="123" t="s">
        <v>2379</v>
      </c>
      <c r="J76" s="123" t="s">
        <v>1946</v>
      </c>
      <c r="K76" s="123" t="s">
        <v>2863</v>
      </c>
      <c r="L76" s="123" t="s">
        <v>2379</v>
      </c>
      <c r="M76" s="123" t="s">
        <v>2864</v>
      </c>
      <c r="N76" s="123" t="s">
        <v>2933</v>
      </c>
      <c r="O76" s="123" t="s">
        <v>2915</v>
      </c>
      <c r="P76" s="123" t="s">
        <v>2379</v>
      </c>
      <c r="Q76" s="123" t="s">
        <v>2934</v>
      </c>
      <c r="R76" s="123" t="s">
        <v>2379</v>
      </c>
      <c r="S76" s="123" t="s">
        <v>2379</v>
      </c>
      <c r="T76" s="123" t="s">
        <v>2379</v>
      </c>
      <c r="U76" s="123" t="s">
        <v>2379</v>
      </c>
      <c r="V76" s="123" t="s">
        <v>2945</v>
      </c>
    </row>
    <row r="77" spans="1:22">
      <c r="A77" s="123" t="s">
        <v>2862</v>
      </c>
      <c r="B77" s="123" t="s">
        <v>2846</v>
      </c>
      <c r="C77" s="124">
        <v>45807.750557777777</v>
      </c>
      <c r="D77" s="124">
        <v>45807.750557777777</v>
      </c>
      <c r="E77" s="123" t="s">
        <v>2379</v>
      </c>
      <c r="F77" s="123" t="s">
        <v>167</v>
      </c>
      <c r="G77" s="123" t="s">
        <v>1844</v>
      </c>
      <c r="H77" s="123" t="s">
        <v>1843</v>
      </c>
      <c r="I77" s="123" t="s">
        <v>2379</v>
      </c>
      <c r="J77" s="123" t="s">
        <v>1946</v>
      </c>
      <c r="K77" s="123" t="s">
        <v>2863</v>
      </c>
      <c r="L77" s="123" t="s">
        <v>2379</v>
      </c>
      <c r="M77" s="123" t="s">
        <v>2864</v>
      </c>
      <c r="N77" s="123" t="s">
        <v>2933</v>
      </c>
      <c r="O77" s="123" t="s">
        <v>2915</v>
      </c>
      <c r="P77" s="123" t="s">
        <v>2379</v>
      </c>
      <c r="Q77" s="123" t="s">
        <v>2934</v>
      </c>
      <c r="R77" s="123" t="s">
        <v>2379</v>
      </c>
      <c r="S77" s="123" t="s">
        <v>2379</v>
      </c>
      <c r="T77" s="123" t="s">
        <v>2379</v>
      </c>
      <c r="U77" s="123" t="s">
        <v>2379</v>
      </c>
      <c r="V77" s="123" t="s">
        <v>2379</v>
      </c>
    </row>
    <row r="78" spans="1:22">
      <c r="A78" s="123" t="s">
        <v>2862</v>
      </c>
      <c r="B78" s="123" t="s">
        <v>1900</v>
      </c>
      <c r="C78" s="124">
        <v>46042.675079421293</v>
      </c>
      <c r="D78" s="124">
        <v>46042.675079421293</v>
      </c>
      <c r="E78" s="123" t="s">
        <v>1893</v>
      </c>
      <c r="F78" s="123" t="s">
        <v>2166</v>
      </c>
      <c r="G78" s="123" t="s">
        <v>2167</v>
      </c>
      <c r="H78" s="123" t="s">
        <v>2165</v>
      </c>
      <c r="I78" s="123" t="s">
        <v>2379</v>
      </c>
      <c r="J78" s="123" t="s">
        <v>2168</v>
      </c>
      <c r="K78" s="123" t="s">
        <v>2886</v>
      </c>
      <c r="L78" s="123" t="s">
        <v>2887</v>
      </c>
      <c r="M78" s="123" t="s">
        <v>2888</v>
      </c>
      <c r="N78" s="123" t="s">
        <v>2889</v>
      </c>
      <c r="O78" s="123" t="s">
        <v>2854</v>
      </c>
      <c r="P78" s="123" t="s">
        <v>2890</v>
      </c>
      <c r="Q78" s="123" t="s">
        <v>2891</v>
      </c>
      <c r="R78" s="123" t="s">
        <v>2379</v>
      </c>
      <c r="S78" s="123" t="s">
        <v>2379</v>
      </c>
      <c r="T78" s="123" t="s">
        <v>2379</v>
      </c>
      <c r="U78" s="123" t="s">
        <v>2379</v>
      </c>
      <c r="V78" s="123" t="s">
        <v>2379</v>
      </c>
    </row>
    <row r="79" spans="1:22">
      <c r="A79" s="123" t="s">
        <v>2862</v>
      </c>
      <c r="B79" s="123" t="s">
        <v>1900</v>
      </c>
      <c r="C79" s="124">
        <v>45947.94979583333</v>
      </c>
      <c r="D79" s="124">
        <v>45947.94979583333</v>
      </c>
      <c r="E79" s="123" t="s">
        <v>2020</v>
      </c>
      <c r="F79" s="123" t="s">
        <v>2018</v>
      </c>
      <c r="G79" s="123" t="s">
        <v>2019</v>
      </c>
      <c r="H79" s="123" t="s">
        <v>2017</v>
      </c>
      <c r="I79" s="123" t="s">
        <v>2379</v>
      </c>
      <c r="J79" s="123" t="s">
        <v>1946</v>
      </c>
      <c r="K79" s="123" t="s">
        <v>2863</v>
      </c>
      <c r="L79" s="123" t="s">
        <v>2379</v>
      </c>
      <c r="M79" s="123" t="s">
        <v>2864</v>
      </c>
      <c r="N79" s="123" t="s">
        <v>2864</v>
      </c>
      <c r="O79" s="123" t="s">
        <v>2854</v>
      </c>
      <c r="P79" s="123" t="s">
        <v>2379</v>
      </c>
      <c r="Q79" s="123" t="s">
        <v>2932</v>
      </c>
      <c r="R79" s="123" t="s">
        <v>2379</v>
      </c>
      <c r="S79" s="123" t="s">
        <v>2379</v>
      </c>
      <c r="T79" s="123" t="s">
        <v>2379</v>
      </c>
      <c r="U79" s="123" t="s">
        <v>2379</v>
      </c>
      <c r="V79" s="123" t="s">
        <v>2379</v>
      </c>
    </row>
    <row r="80" spans="1:22">
      <c r="A80" s="123" t="s">
        <v>2862</v>
      </c>
      <c r="B80" s="123" t="s">
        <v>1889</v>
      </c>
      <c r="C80" s="124">
        <v>45937.426243969909</v>
      </c>
      <c r="D80" s="124">
        <v>45937.426243969909</v>
      </c>
      <c r="E80" s="123" t="s">
        <v>1893</v>
      </c>
      <c r="F80" s="123" t="s">
        <v>2015</v>
      </c>
      <c r="G80" s="123" t="s">
        <v>2016</v>
      </c>
      <c r="H80" s="123" t="s">
        <v>2014</v>
      </c>
      <c r="I80" s="123" t="s">
        <v>2379</v>
      </c>
      <c r="J80" s="123" t="s">
        <v>1908</v>
      </c>
      <c r="K80" s="123" t="s">
        <v>2883</v>
      </c>
      <c r="L80" s="123" t="s">
        <v>2873</v>
      </c>
      <c r="M80" s="123" t="s">
        <v>2884</v>
      </c>
      <c r="N80" s="123" t="s">
        <v>2884</v>
      </c>
      <c r="O80" s="123" t="s">
        <v>2854</v>
      </c>
      <c r="P80" s="123" t="s">
        <v>2379</v>
      </c>
      <c r="Q80" s="123" t="s">
        <v>2903</v>
      </c>
      <c r="R80" s="123" t="s">
        <v>2379</v>
      </c>
      <c r="S80" s="123" t="s">
        <v>2379</v>
      </c>
      <c r="T80" s="123" t="s">
        <v>2379</v>
      </c>
      <c r="U80" s="123" t="s">
        <v>2379</v>
      </c>
      <c r="V80" s="123" t="s">
        <v>2379</v>
      </c>
    </row>
    <row r="81" spans="1:22">
      <c r="A81" s="123" t="s">
        <v>2862</v>
      </c>
      <c r="B81" s="123" t="s">
        <v>1889</v>
      </c>
      <c r="C81" s="124">
        <v>46050.710398854164</v>
      </c>
      <c r="D81" s="124">
        <v>46050.710398854164</v>
      </c>
      <c r="E81" s="123" t="s">
        <v>1893</v>
      </c>
      <c r="F81" s="123" t="s">
        <v>2215</v>
      </c>
      <c r="G81" s="123" t="s">
        <v>2216</v>
      </c>
      <c r="H81" s="123" t="s">
        <v>2214</v>
      </c>
      <c r="I81" s="123" t="s">
        <v>2379</v>
      </c>
      <c r="J81" s="123" t="s">
        <v>1908</v>
      </c>
      <c r="K81" s="123" t="s">
        <v>2872</v>
      </c>
      <c r="L81" s="123" t="s">
        <v>2873</v>
      </c>
      <c r="M81" s="123" t="s">
        <v>2874</v>
      </c>
      <c r="N81" s="123" t="s">
        <v>2884</v>
      </c>
      <c r="O81" s="123" t="s">
        <v>2854</v>
      </c>
      <c r="P81" s="123" t="s">
        <v>2379</v>
      </c>
      <c r="Q81" s="123" t="s">
        <v>2949</v>
      </c>
      <c r="R81" s="123" t="s">
        <v>2379</v>
      </c>
      <c r="S81" s="123" t="s">
        <v>2379</v>
      </c>
      <c r="T81" s="123" t="s">
        <v>2379</v>
      </c>
      <c r="U81" s="123" t="s">
        <v>2379</v>
      </c>
      <c r="V81" s="123" t="s">
        <v>2858</v>
      </c>
    </row>
    <row r="82" spans="1:22">
      <c r="A82" s="123" t="s">
        <v>2862</v>
      </c>
      <c r="B82" s="123" t="s">
        <v>1889</v>
      </c>
      <c r="C82" s="124">
        <v>45916.582394386576</v>
      </c>
      <c r="D82" s="124">
        <v>45916.582394386576</v>
      </c>
      <c r="E82" s="123" t="s">
        <v>1893</v>
      </c>
      <c r="F82" s="123" t="s">
        <v>2006</v>
      </c>
      <c r="G82" s="123" t="s">
        <v>2007</v>
      </c>
      <c r="H82" s="123" t="s">
        <v>2005</v>
      </c>
      <c r="I82" s="123" t="s">
        <v>2379</v>
      </c>
      <c r="J82" s="123" t="s">
        <v>1908</v>
      </c>
      <c r="K82" s="123" t="s">
        <v>2883</v>
      </c>
      <c r="L82" s="123" t="s">
        <v>2873</v>
      </c>
      <c r="M82" s="123" t="s">
        <v>2884</v>
      </c>
      <c r="N82" s="123" t="s">
        <v>2884</v>
      </c>
      <c r="O82" s="123" t="s">
        <v>2854</v>
      </c>
      <c r="P82" s="123" t="s">
        <v>2379</v>
      </c>
      <c r="Q82" s="123" t="s">
        <v>2938</v>
      </c>
      <c r="R82" s="123" t="s">
        <v>2379</v>
      </c>
      <c r="S82" s="123" t="s">
        <v>2379</v>
      </c>
      <c r="T82" s="123" t="s">
        <v>2379</v>
      </c>
      <c r="U82" s="123" t="s">
        <v>2379</v>
      </c>
      <c r="V82" s="123" t="s">
        <v>2858</v>
      </c>
    </row>
    <row r="83" spans="1:22">
      <c r="A83" s="123" t="s">
        <v>2862</v>
      </c>
      <c r="B83" s="123" t="s">
        <v>1889</v>
      </c>
      <c r="C83" s="124">
        <v>46050.710398854164</v>
      </c>
      <c r="D83" s="124">
        <v>46050.710398854164</v>
      </c>
      <c r="E83" s="123" t="s">
        <v>1893</v>
      </c>
      <c r="F83" s="123" t="s">
        <v>2215</v>
      </c>
      <c r="G83" s="123" t="s">
        <v>2216</v>
      </c>
      <c r="H83" s="123" t="s">
        <v>2214</v>
      </c>
      <c r="I83" s="123" t="s">
        <v>2379</v>
      </c>
      <c r="J83" s="123" t="s">
        <v>1908</v>
      </c>
      <c r="K83" s="123" t="s">
        <v>2872</v>
      </c>
      <c r="L83" s="123" t="s">
        <v>2873</v>
      </c>
      <c r="M83" s="123" t="s">
        <v>2874</v>
      </c>
      <c r="N83" s="123" t="s">
        <v>2884</v>
      </c>
      <c r="O83" s="123" t="s">
        <v>2854</v>
      </c>
      <c r="P83" s="123" t="s">
        <v>2379</v>
      </c>
      <c r="Q83" s="123" t="s">
        <v>2949</v>
      </c>
      <c r="R83" s="123" t="s">
        <v>2379</v>
      </c>
      <c r="S83" s="123" t="s">
        <v>2379</v>
      </c>
      <c r="T83" s="123" t="s">
        <v>2379</v>
      </c>
      <c r="U83" s="123" t="s">
        <v>2379</v>
      </c>
      <c r="V83" s="123" t="s">
        <v>2379</v>
      </c>
    </row>
    <row r="84" spans="1:22">
      <c r="A84" s="123" t="s">
        <v>2862</v>
      </c>
      <c r="B84" s="123" t="s">
        <v>1900</v>
      </c>
      <c r="C84" s="124">
        <v>45852.627641678242</v>
      </c>
      <c r="D84" s="124">
        <v>45852.627641678242</v>
      </c>
      <c r="E84" s="123" t="s">
        <v>1893</v>
      </c>
      <c r="F84" s="123" t="s">
        <v>1902</v>
      </c>
      <c r="G84" s="123" t="s">
        <v>1903</v>
      </c>
      <c r="H84" s="123" t="s">
        <v>1901</v>
      </c>
      <c r="I84" s="123" t="s">
        <v>2379</v>
      </c>
      <c r="J84" s="123" t="s">
        <v>1894</v>
      </c>
      <c r="K84" s="123" t="s">
        <v>2867</v>
      </c>
      <c r="L84" s="123" t="s">
        <v>2868</v>
      </c>
      <c r="M84" s="123" t="s">
        <v>2869</v>
      </c>
      <c r="N84" s="123" t="s">
        <v>2870</v>
      </c>
      <c r="O84" s="123" t="s">
        <v>2854</v>
      </c>
      <c r="P84" s="123" t="s">
        <v>2379</v>
      </c>
      <c r="Q84" s="123" t="s">
        <v>2871</v>
      </c>
      <c r="R84" s="123" t="s">
        <v>2379</v>
      </c>
      <c r="S84" s="123" t="s">
        <v>2379</v>
      </c>
      <c r="T84" s="123" t="s">
        <v>2379</v>
      </c>
      <c r="U84" s="123" t="s">
        <v>2379</v>
      </c>
      <c r="V84" s="123" t="s">
        <v>2379</v>
      </c>
    </row>
    <row r="85" spans="1:22">
      <c r="A85" s="123" t="s">
        <v>2862</v>
      </c>
      <c r="B85" s="123" t="s">
        <v>2846</v>
      </c>
      <c r="C85" s="124">
        <v>45817.578326249997</v>
      </c>
      <c r="D85" s="124">
        <v>45817.578326249997</v>
      </c>
      <c r="E85" s="123" t="s">
        <v>2379</v>
      </c>
      <c r="F85" s="123" t="s">
        <v>2941</v>
      </c>
      <c r="G85" s="123" t="s">
        <v>2942</v>
      </c>
      <c r="H85" s="123" t="s">
        <v>1845</v>
      </c>
      <c r="I85" s="123" t="s">
        <v>2379</v>
      </c>
      <c r="J85" s="123" t="s">
        <v>1908</v>
      </c>
      <c r="K85" s="123" t="s">
        <v>2883</v>
      </c>
      <c r="L85" s="123" t="s">
        <v>2873</v>
      </c>
      <c r="M85" s="123" t="s">
        <v>2921</v>
      </c>
      <c r="N85" s="123" t="s">
        <v>2922</v>
      </c>
      <c r="O85" s="123" t="s">
        <v>2379</v>
      </c>
      <c r="P85" s="123" t="s">
        <v>2943</v>
      </c>
      <c r="Q85" s="123" t="s">
        <v>2944</v>
      </c>
      <c r="R85" s="123" t="s">
        <v>2379</v>
      </c>
      <c r="S85" s="123" t="s">
        <v>2379</v>
      </c>
      <c r="T85" s="123" t="s">
        <v>2379</v>
      </c>
      <c r="U85" s="123" t="s">
        <v>2379</v>
      </c>
      <c r="V85" s="123" t="s">
        <v>2945</v>
      </c>
    </row>
    <row r="86" spans="1:22">
      <c r="A86" s="123" t="s">
        <v>2862</v>
      </c>
      <c r="B86" s="123" t="s">
        <v>1889</v>
      </c>
      <c r="C86" s="124">
        <v>46042.379280081019</v>
      </c>
      <c r="D86" s="124">
        <v>46042.379280081019</v>
      </c>
      <c r="E86" s="123" t="s">
        <v>1893</v>
      </c>
      <c r="F86" s="123" t="s">
        <v>2163</v>
      </c>
      <c r="G86" s="123" t="s">
        <v>2164</v>
      </c>
      <c r="H86" s="123" t="s">
        <v>2162</v>
      </c>
      <c r="I86" s="123" t="s">
        <v>2379</v>
      </c>
      <c r="J86" s="123" t="s">
        <v>1908</v>
      </c>
      <c r="K86" s="123" t="s">
        <v>2883</v>
      </c>
      <c r="L86" s="123" t="s">
        <v>2873</v>
      </c>
      <c r="M86" s="123" t="s">
        <v>2884</v>
      </c>
      <c r="N86" s="123" t="s">
        <v>2884</v>
      </c>
      <c r="O86" s="123" t="s">
        <v>2854</v>
      </c>
      <c r="P86" s="123" t="s">
        <v>2379</v>
      </c>
      <c r="Q86" s="123" t="s">
        <v>2931</v>
      </c>
      <c r="R86" s="123" t="s">
        <v>2379</v>
      </c>
      <c r="S86" s="123" t="s">
        <v>2379</v>
      </c>
      <c r="T86" s="123" t="s">
        <v>2379</v>
      </c>
      <c r="U86" s="123" t="s">
        <v>2379</v>
      </c>
      <c r="V86" s="123" t="s">
        <v>2379</v>
      </c>
    </row>
    <row r="87" spans="1:22">
      <c r="A87" s="123" t="s">
        <v>2862</v>
      </c>
      <c r="B87" s="123" t="s">
        <v>2846</v>
      </c>
      <c r="C87" s="124">
        <v>45832.625290972224</v>
      </c>
      <c r="D87" s="124">
        <v>45832.625290972224</v>
      </c>
      <c r="E87" s="123" t="s">
        <v>2379</v>
      </c>
      <c r="F87" s="123" t="s">
        <v>1858</v>
      </c>
      <c r="G87" s="123" t="s">
        <v>1859</v>
      </c>
      <c r="H87" s="123" t="s">
        <v>1857</v>
      </c>
      <c r="I87" s="123" t="s">
        <v>2379</v>
      </c>
      <c r="J87" s="123" t="s">
        <v>1894</v>
      </c>
      <c r="K87" s="123" t="s">
        <v>2899</v>
      </c>
      <c r="L87" s="123" t="s">
        <v>2877</v>
      </c>
      <c r="M87" s="123" t="s">
        <v>2946</v>
      </c>
      <c r="N87" s="123" t="s">
        <v>2947</v>
      </c>
      <c r="O87" s="123" t="s">
        <v>2915</v>
      </c>
      <c r="P87" s="123" t="s">
        <v>2379</v>
      </c>
      <c r="Q87" s="123" t="s">
        <v>2948</v>
      </c>
      <c r="R87" s="123" t="s">
        <v>2379</v>
      </c>
      <c r="S87" s="123" t="s">
        <v>2379</v>
      </c>
      <c r="T87" s="123" t="s">
        <v>2379</v>
      </c>
      <c r="U87" s="123" t="s">
        <v>2379</v>
      </c>
      <c r="V87" s="123" t="s">
        <v>2945</v>
      </c>
    </row>
    <row r="88" spans="1:22">
      <c r="A88" s="123" t="s">
        <v>2862</v>
      </c>
      <c r="B88" s="123" t="s">
        <v>2846</v>
      </c>
      <c r="C88" s="124">
        <v>45817.578326249997</v>
      </c>
      <c r="D88" s="124">
        <v>45817.578326249997</v>
      </c>
      <c r="E88" s="123" t="s">
        <v>2379</v>
      </c>
      <c r="F88" s="123" t="s">
        <v>2941</v>
      </c>
      <c r="G88" s="123" t="s">
        <v>2942</v>
      </c>
      <c r="H88" s="123" t="s">
        <v>1845</v>
      </c>
      <c r="I88" s="123" t="s">
        <v>2379</v>
      </c>
      <c r="J88" s="123" t="s">
        <v>1908</v>
      </c>
      <c r="K88" s="123" t="s">
        <v>2883</v>
      </c>
      <c r="L88" s="123" t="s">
        <v>2873</v>
      </c>
      <c r="M88" s="123" t="s">
        <v>2921</v>
      </c>
      <c r="N88" s="123" t="s">
        <v>2922</v>
      </c>
      <c r="O88" s="123" t="s">
        <v>2379</v>
      </c>
      <c r="P88" s="123" t="s">
        <v>2943</v>
      </c>
      <c r="Q88" s="123" t="s">
        <v>2944</v>
      </c>
      <c r="R88" s="123" t="s">
        <v>2379</v>
      </c>
      <c r="S88" s="123" t="s">
        <v>2379</v>
      </c>
      <c r="T88" s="123" t="s">
        <v>2379</v>
      </c>
      <c r="U88" s="123" t="s">
        <v>2379</v>
      </c>
      <c r="V88" s="123" t="s">
        <v>2917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8DAB4-C9CB-4E2D-92F8-215F1D9B02EB}">
  <dimension ref="A2:O53"/>
  <sheetViews>
    <sheetView workbookViewId="0">
      <selection activeCell="L25" sqref="L25"/>
    </sheetView>
  </sheetViews>
  <sheetFormatPr defaultRowHeight="18"/>
  <cols>
    <col min="1" max="1" width="16.25" bestFit="1" customWidth="1"/>
    <col min="2" max="2" width="12.25" bestFit="1" customWidth="1"/>
    <col min="3" max="3" width="10.125" bestFit="1" customWidth="1"/>
    <col min="4" max="4" width="12.5" bestFit="1" customWidth="1"/>
    <col min="5" max="5" width="10.75" bestFit="1" customWidth="1"/>
    <col min="6" max="6" width="13.875" bestFit="1" customWidth="1"/>
    <col min="8" max="8" width="14.375" customWidth="1"/>
  </cols>
  <sheetData>
    <row r="2" spans="1:15">
      <c r="H2" t="s">
        <v>2950</v>
      </c>
      <c r="I2" t="s">
        <v>2951</v>
      </c>
      <c r="J2" t="s">
        <v>2952</v>
      </c>
    </row>
    <row r="3" spans="1:15">
      <c r="A3" s="1" t="s">
        <v>2953</v>
      </c>
      <c r="B3" t="s">
        <v>2954</v>
      </c>
      <c r="C3" t="s">
        <v>2955</v>
      </c>
      <c r="D3" t="s">
        <v>2956</v>
      </c>
      <c r="E3" t="s">
        <v>2957</v>
      </c>
      <c r="F3" t="s">
        <v>2958</v>
      </c>
      <c r="G3" s="5" t="s">
        <v>2959</v>
      </c>
      <c r="H3" s="5" t="s">
        <v>2960</v>
      </c>
      <c r="I3" s="4" t="s">
        <v>2951</v>
      </c>
      <c r="J3" s="10" t="s">
        <v>2961</v>
      </c>
      <c r="K3" s="10" t="s">
        <v>2962</v>
      </c>
      <c r="L3" s="10" t="s">
        <v>2963</v>
      </c>
      <c r="M3" s="10" t="s">
        <v>2964</v>
      </c>
      <c r="N3" s="10" t="s">
        <v>2965</v>
      </c>
      <c r="O3" s="10" t="s">
        <v>2966</v>
      </c>
    </row>
    <row r="4" spans="1:15">
      <c r="A4" s="2" t="s">
        <v>1337</v>
      </c>
      <c r="B4">
        <v>15</v>
      </c>
      <c r="C4">
        <v>4</v>
      </c>
      <c r="D4">
        <v>4</v>
      </c>
      <c r="E4">
        <v>0</v>
      </c>
      <c r="F4">
        <v>8</v>
      </c>
      <c r="G4" s="5">
        <f t="shared" ref="G4:G6" si="0">SUM(B4:F4)</f>
        <v>31</v>
      </c>
      <c r="H4" s="5">
        <v>14</v>
      </c>
      <c r="I4" s="8">
        <v>0</v>
      </c>
      <c r="J4" s="10" t="e" cm="1">
        <f t="array" ref="J4">SUMPRODUCT((流入チャネル別顧客一覧_ユニーク!$B:$B="お問い合わせ完了")*((流入チャネル別顧客一覧_ユニーク!#REF!="商談済み")+(流入チャネル別顧客一覧_ユニーク!#REF!="見積提出済み")+(流入チャネル別顧客一覧_ユニーク!#REF!="受注済み")))</f>
        <v>#REF!</v>
      </c>
      <c r="K4" s="11" t="e">
        <f>J4/H4</f>
        <v>#REF!</v>
      </c>
      <c r="L4" s="10" t="e" cm="1">
        <f t="array" ref="L4">SUMPRODUCT((流入チャネル別顧客一覧_ユニーク!$B:$B="お問い合わせ完了")*(流入チャネル別顧客一覧_ユニーク!#REF!="見積提出済み"))</f>
        <v>#REF!</v>
      </c>
      <c r="M4" s="11" t="e">
        <f>L4/H4</f>
        <v>#REF!</v>
      </c>
      <c r="N4" s="10" t="e" cm="1">
        <f t="array" ref="N4">SUMPRODUCT((流入チャネル別顧客一覧_ユニーク!$B:$B="お問い合わせ完了")*(流入チャネル別顧客一覧_ユニーク!#REF!="受注済み"))</f>
        <v>#REF!</v>
      </c>
      <c r="O4" s="11" t="e">
        <f>N4/H4</f>
        <v>#REF!</v>
      </c>
    </row>
    <row r="5" spans="1:15">
      <c r="A5" s="2" t="s">
        <v>1420</v>
      </c>
      <c r="B5">
        <v>3</v>
      </c>
      <c r="C5">
        <v>2</v>
      </c>
      <c r="D5">
        <v>0</v>
      </c>
      <c r="E5">
        <v>23</v>
      </c>
      <c r="F5">
        <v>1</v>
      </c>
      <c r="G5" s="5">
        <f t="shared" si="0"/>
        <v>29</v>
      </c>
      <c r="H5" s="5">
        <v>22</v>
      </c>
      <c r="I5" s="8">
        <v>0</v>
      </c>
      <c r="J5" s="10" t="e" cm="1">
        <f t="array" ref="J5">SUMPRODUCT((流入チャネル別顧客一覧_ユニーク!$B:$B="お役立ち資料DL")*((流入チャネル別顧客一覧_ユニーク!#REF!="商談済み")+(流入チャネル別顧客一覧_ユニーク!#REF!="見積提出済み")+(流入チャネル別顧客一覧_ユニーク!#REF!="受注済み")))</f>
        <v>#REF!</v>
      </c>
      <c r="K5" s="11" t="e">
        <f t="shared" ref="K5:K6" si="1">J5/H5</f>
        <v>#REF!</v>
      </c>
      <c r="L5" s="10" t="e" cm="1">
        <f t="array" ref="L5">SUMPRODUCT((流入チャネル別顧客一覧_ユニーク!$B:$B="お役立ち資料DL")*(流入チャネル別顧客一覧_ユニーク!#REF!="見積提出済み"))</f>
        <v>#REF!</v>
      </c>
      <c r="M5" s="11" t="e">
        <f t="shared" ref="M5:M7" si="2">L5/H5</f>
        <v>#REF!</v>
      </c>
      <c r="N5" s="10" t="e" cm="1">
        <f t="array" ref="N5">SUMPRODUCT((流入チャネル別顧客一覧_ユニーク!$B:$B="お役立ち資料DL")*(流入チャネル別顧客一覧_ユニーク!#REF!="受注済み"))</f>
        <v>#REF!</v>
      </c>
      <c r="O5" s="11" t="e">
        <f t="shared" ref="O5:O7" si="3">N5/H5</f>
        <v>#REF!</v>
      </c>
    </row>
    <row r="6" spans="1:15" ht="18.600000000000001" thickBot="1">
      <c r="A6" s="2" t="s">
        <v>1516</v>
      </c>
      <c r="B6">
        <v>0</v>
      </c>
      <c r="C6">
        <v>3</v>
      </c>
      <c r="D6">
        <v>2</v>
      </c>
      <c r="E6">
        <v>5</v>
      </c>
      <c r="F6">
        <v>4</v>
      </c>
      <c r="G6" s="5">
        <f t="shared" si="0"/>
        <v>14</v>
      </c>
      <c r="H6" s="5">
        <v>11</v>
      </c>
      <c r="I6" s="8">
        <v>2</v>
      </c>
      <c r="J6" s="10" t="e" cm="1">
        <f t="array" ref="J6">SUMPRODUCT((流入チャネル別顧客一覧_ユニーク!$B:$B="サービス資料DL")*((流入チャネル別顧客一覧_ユニーク!#REF!="商談済み")+(流入チャネル別顧客一覧_ユニーク!#REF!="見積提出済み")+(流入チャネル別顧客一覧_ユニーク!#REF!="受注済み")))</f>
        <v>#REF!</v>
      </c>
      <c r="K6" s="11" t="e">
        <f t="shared" si="1"/>
        <v>#REF!</v>
      </c>
      <c r="L6" s="10" t="e" cm="1">
        <f t="array" ref="L6">SUMPRODUCT((流入チャネル別顧客一覧_ユニーク!$B:$B="サービス資料DL")*(流入チャネル別顧客一覧_ユニーク!#REF!="見積提出済み"))</f>
        <v>#REF!</v>
      </c>
      <c r="M6" s="11" t="e">
        <f t="shared" si="2"/>
        <v>#REF!</v>
      </c>
      <c r="N6" s="10" t="e" cm="1">
        <f t="array" ref="N6">SUMPRODUCT((流入チャネル別顧客一覧_ユニーク!$B:$B="サービス資料DL")*(流入チャネル別顧客一覧_ユニーク!#REF!="受注済み"))</f>
        <v>#REF!</v>
      </c>
      <c r="O6" s="11" t="e">
        <f t="shared" si="3"/>
        <v>#REF!</v>
      </c>
    </row>
    <row r="7" spans="1:15" ht="18.95" thickTop="1" thickBot="1">
      <c r="A7" s="2" t="s">
        <v>2967</v>
      </c>
      <c r="B7">
        <v>18</v>
      </c>
      <c r="C7">
        <v>9</v>
      </c>
      <c r="D7">
        <v>6</v>
      </c>
      <c r="E7">
        <v>28</v>
      </c>
      <c r="F7">
        <v>13</v>
      </c>
      <c r="G7" s="5">
        <f>SUM(B7:F7)</f>
        <v>74</v>
      </c>
      <c r="H7" s="5">
        <f>SUM(H4:H6)</f>
        <v>47</v>
      </c>
      <c r="I7" s="9">
        <f>SUM(I4:I6)</f>
        <v>2</v>
      </c>
      <c r="J7" s="10" t="e">
        <f>SUM(J4:J6)</f>
        <v>#REF!</v>
      </c>
      <c r="K7" s="11" t="e">
        <f>J7/H7</f>
        <v>#REF!</v>
      </c>
      <c r="L7" s="10" t="e">
        <f>SUM(L4:L6)</f>
        <v>#REF!</v>
      </c>
      <c r="M7" s="11" t="e">
        <f t="shared" si="2"/>
        <v>#REF!</v>
      </c>
      <c r="N7" s="10" t="e">
        <f>SUM(N4:N6)</f>
        <v>#REF!</v>
      </c>
      <c r="O7" s="11" t="e">
        <f t="shared" si="3"/>
        <v>#REF!</v>
      </c>
    </row>
    <row r="8" spans="1:15" ht="18.600000000000001" thickTop="1">
      <c r="A8" s="4" t="s">
        <v>2968</v>
      </c>
      <c r="B8" s="8">
        <v>0</v>
      </c>
      <c r="C8" s="8">
        <v>0</v>
      </c>
      <c r="D8" s="8">
        <v>0</v>
      </c>
      <c r="E8" s="8">
        <v>1</v>
      </c>
      <c r="F8" s="8">
        <v>1</v>
      </c>
      <c r="G8" s="8">
        <f>SUM(B8:F8)</f>
        <v>2</v>
      </c>
    </row>
    <row r="10" spans="1:15">
      <c r="A10" s="3" t="s">
        <v>2953</v>
      </c>
      <c r="B10" s="3" t="s">
        <v>2954</v>
      </c>
      <c r="C10" s="3" t="s">
        <v>2955</v>
      </c>
      <c r="D10" s="3" t="s">
        <v>2956</v>
      </c>
      <c r="E10" s="3" t="s">
        <v>2957</v>
      </c>
      <c r="F10" s="3" t="s">
        <v>2958</v>
      </c>
    </row>
    <row r="11" spans="1:15">
      <c r="A11" t="s">
        <v>1337</v>
      </c>
      <c r="B11" s="6">
        <f>GETPIVOTDATA("合計 / direct",$A3,"CVフラグ","お問い合わせ完了")/$G4</f>
        <v>0.4838709677419355</v>
      </c>
      <c r="C11" s="6">
        <f>GETPIVOTDATA("合計 / link",$A3,"CVフラグ","お問い合わせ完了")/$G4</f>
        <v>0.12903225806451613</v>
      </c>
      <c r="D11" s="6">
        <f>GETPIVOTDATA("合計 / listing",$A3,"CVフラグ","お問い合わせ完了")/$G4</f>
        <v>0.12903225806451613</v>
      </c>
      <c r="E11" s="6">
        <f>GETPIVOTDATA("合計 / mail",$A3,"CVフラグ","お問い合わせ完了")/$G4</f>
        <v>0</v>
      </c>
      <c r="F11" s="6">
        <f>GETPIVOTDATA("合計 / organic",$A3,"CVフラグ","お問い合わせ完了")/$G4</f>
        <v>0.25806451612903225</v>
      </c>
    </row>
    <row r="12" spans="1:15">
      <c r="A12" t="s">
        <v>2969</v>
      </c>
      <c r="B12" s="6">
        <f>GETPIVOTDATA("合計 / direct",$A4,"CVフラグ","お役立ち資料DL")/$G5</f>
        <v>0.10344827586206896</v>
      </c>
      <c r="C12" s="6">
        <f>GETPIVOTDATA("合計 / link",$A4,"CVフラグ","お役立ち資料DL")/$G5</f>
        <v>6.8965517241379309E-2</v>
      </c>
      <c r="D12" s="6">
        <f>GETPIVOTDATA("合計 / listing",$A4,"CVフラグ","お役立ち資料DL")/$G5</f>
        <v>0</v>
      </c>
      <c r="E12" s="6">
        <f>GETPIVOTDATA("合計 / mail",$A4,"CVフラグ","お役立ち資料DL")/$G5</f>
        <v>0.7931034482758621</v>
      </c>
      <c r="F12" s="6">
        <f>GETPIVOTDATA("合計 / organic",$A4,"CVフラグ","お役立ち資料DL")/$G5</f>
        <v>3.4482758620689655E-2</v>
      </c>
    </row>
    <row r="13" spans="1:15">
      <c r="A13" t="s">
        <v>2970</v>
      </c>
      <c r="B13" s="6">
        <f>GETPIVOTDATA("合計 / direct",$A5,"CVフラグ","サービス資料DL")/$G6</f>
        <v>0</v>
      </c>
      <c r="C13" s="6">
        <f>GETPIVOTDATA("合計 / link",$A5,"CVフラグ","サービス資料DL")/$G6</f>
        <v>0.21428571428571427</v>
      </c>
      <c r="D13" s="6">
        <f>GETPIVOTDATA("合計 / listing",$A5,"CVフラグ","サービス資料DL")/$G6</f>
        <v>0.14285714285714285</v>
      </c>
      <c r="E13" s="6">
        <f>GETPIVOTDATA("合計 / mail",$A5,"CVフラグ","サービス資料DL")/$G6</f>
        <v>0.35714285714285715</v>
      </c>
      <c r="F13" s="6">
        <f>GETPIVOTDATA("合計 / organic",$A5,"CVフラグ","サービス資料DL")/$G6</f>
        <v>0.2857142857142857</v>
      </c>
    </row>
    <row r="14" spans="1:15">
      <c r="A14" s="3" t="s">
        <v>2967</v>
      </c>
      <c r="B14" s="7">
        <f>GETPIVOTDATA("合計 / direct",$A$3)/$G7</f>
        <v>0.24324324324324326</v>
      </c>
      <c r="C14" s="7">
        <f>GETPIVOTDATA("合計 / link",$A$3)/$G7</f>
        <v>0.12162162162162163</v>
      </c>
      <c r="D14" s="7">
        <f>GETPIVOTDATA("合計 / listing",$A$3)/$G7</f>
        <v>8.1081081081081086E-2</v>
      </c>
      <c r="E14" s="7">
        <f>GETPIVOTDATA("合計 / mail",$A$3)/$G7</f>
        <v>0.3783783783783784</v>
      </c>
      <c r="F14" s="7">
        <f>GETPIVOTDATA("合計 / organic",$A$3)/$G7</f>
        <v>0.17567567567567569</v>
      </c>
    </row>
    <row r="16" spans="1:15">
      <c r="A16" s="15" t="s">
        <v>2971</v>
      </c>
      <c r="B16" s="15"/>
      <c r="C16" s="15"/>
      <c r="D16" s="15"/>
      <c r="E16" s="15"/>
      <c r="F16" s="15"/>
      <c r="G16" s="15"/>
      <c r="H16" s="15"/>
      <c r="I16" s="15"/>
      <c r="J16" s="15"/>
    </row>
    <row r="17" spans="1:13">
      <c r="A17" s="16"/>
      <c r="B17" s="23" t="s">
        <v>1329</v>
      </c>
      <c r="C17" s="17" t="s">
        <v>1330</v>
      </c>
      <c r="D17" s="17" t="s">
        <v>1331</v>
      </c>
      <c r="E17" s="17" t="s">
        <v>1332</v>
      </c>
      <c r="F17" s="17" t="s">
        <v>1333</v>
      </c>
      <c r="G17" s="17" t="s">
        <v>1334</v>
      </c>
      <c r="H17" s="17" t="s">
        <v>1335</v>
      </c>
      <c r="I17" s="17" t="s">
        <v>1336</v>
      </c>
      <c r="J17" s="18" t="s">
        <v>2967</v>
      </c>
    </row>
    <row r="18" spans="1:13">
      <c r="A18" s="16" t="s">
        <v>2972</v>
      </c>
      <c r="B18" s="16">
        <f>COUNTIFS(流入チャネル別顧客一覧!$A:$A,"お問い合わせ完了",流入チャネル別顧客一覧!H:H,1)</f>
        <v>1</v>
      </c>
      <c r="C18" s="16">
        <f>COUNTIFS(流入チャネル別顧客一覧!$A:$A,"お問い合わせ完了",流入チャネル別顧客一覧!I:I,1)</f>
        <v>0</v>
      </c>
      <c r="D18" s="16">
        <f>COUNTIFS(流入チャネル別顧客一覧!$A:$A,"お問い合わせ完了",流入チャネル別顧客一覧!J:J,1)</f>
        <v>15</v>
      </c>
      <c r="E18" s="16">
        <f>COUNTIFS(流入チャネル別顧客一覧!$A:$A,"お問い合わせ完了",流入チャネル別顧客一覧!K:K,1)</f>
        <v>5</v>
      </c>
      <c r="F18" s="16">
        <f>COUNTIFS(流入チャネル別顧客一覧!$A:$A,"お問い合わせ完了",流入チャネル別顧客一覧!L:L,1)</f>
        <v>14</v>
      </c>
      <c r="G18" s="16">
        <f>COUNTIFS(流入チャネル別顧客一覧!$A:$A,"お問い合わせ完了",流入チャネル別顧客一覧!M:M,1)</f>
        <v>0</v>
      </c>
      <c r="H18" s="16">
        <f>COUNTIFS(流入チャネル別顧客一覧!$A:$A,"お問い合わせ完了",流入チャネル別顧客一覧!N:N,1)</f>
        <v>10</v>
      </c>
      <c r="I18" s="16">
        <f>COUNTIFS(流入チャネル別顧客一覧!$A:$A,"お問い合わせ完了",流入チャネル別顧客一覧!O:O,1)</f>
        <v>3</v>
      </c>
      <c r="J18" s="19">
        <f>SUM(B18:I18)</f>
        <v>48</v>
      </c>
    </row>
    <row r="19" spans="1:13">
      <c r="A19" s="16" t="s">
        <v>2973</v>
      </c>
      <c r="B19" s="16">
        <f>COUNTIFS(流入チャネル別顧客一覧!$A:$A,"お役立ち資料DL",流入チャネル別顧客一覧!H:H,1)</f>
        <v>0</v>
      </c>
      <c r="C19" s="16">
        <f>COUNTIFS(流入チャネル別顧客一覧!$A:$A,"お役立ち資料DL",流入チャネル別顧客一覧!I:I,1)</f>
        <v>1</v>
      </c>
      <c r="D19" s="16">
        <f>COUNTIFS(流入チャネル別顧客一覧!$A:$A,"お役立ち資料DL",流入チャネル別顧客一覧!J:J,1)</f>
        <v>2</v>
      </c>
      <c r="E19" s="16">
        <f>COUNTIFS(流入チャネル別顧客一覧!$A:$A,"お役立ち資料DL",流入チャネル別顧客一覧!K:K,1)</f>
        <v>4</v>
      </c>
      <c r="F19" s="16">
        <f>COUNTIFS(流入チャネル別顧客一覧!$A:$A,"お役立ち資料DL",流入チャネル別顧客一覧!L:L,1)</f>
        <v>0</v>
      </c>
      <c r="G19" s="16">
        <f>COUNTIFS(流入チャネル別顧客一覧!$A:$A,"お役立ち資料DL",流入チャネル別顧客一覧!M:M,1)</f>
        <v>24</v>
      </c>
      <c r="H19" s="16">
        <f>COUNTIFS(流入チャネル別顧客一覧!$A:$A,"お役立ち資料DL",流入チャネル別顧客一覧!N:N,1)</f>
        <v>1</v>
      </c>
      <c r="I19" s="16">
        <f>COUNTIFS(流入チャネル別顧客一覧!$A:$A,"お役立ち資料DL",流入チャネル別顧客一覧!O:O,1)</f>
        <v>0</v>
      </c>
      <c r="J19" s="19">
        <f>SUM(B19:I19)</f>
        <v>32</v>
      </c>
    </row>
    <row r="20" spans="1:13">
      <c r="A20" s="16" t="s">
        <v>2974</v>
      </c>
      <c r="B20" s="16">
        <f>COUNTIFS(流入チャネル別顧客一覧!$A:$A,"サービス資料DL",流入チャネル別顧客一覧!H:H,1)</f>
        <v>0</v>
      </c>
      <c r="C20" s="16">
        <f>COUNTIFS(流入チャネル別顧客一覧!$A:$A,"サービス資料DL",流入チャネル別顧客一覧!I:I,1)</f>
        <v>0</v>
      </c>
      <c r="D20" s="16">
        <f>COUNTIFS(流入チャネル別顧客一覧!$A:$A,"サービス資料DL",流入チャネル別顧客一覧!J:J,1)</f>
        <v>1</v>
      </c>
      <c r="E20" s="16">
        <f>COUNTIFS(流入チャネル別顧客一覧!$A:$A,"サービス資料DL",流入チャネル別顧客一覧!K:K,1)</f>
        <v>9</v>
      </c>
      <c r="F20" s="16">
        <f>COUNTIFS(流入チャネル別顧客一覧!$A:$A,"サービス資料DL",流入チャネル別顧客一覧!L:L,1)</f>
        <v>12</v>
      </c>
      <c r="G20" s="16">
        <f>COUNTIFS(流入チャネル別顧客一覧!$A:$A,"サービス資料DL",流入チャネル別顧客一覧!M:M,1)</f>
        <v>88</v>
      </c>
      <c r="H20" s="16">
        <f>COUNTIFS(流入チャネル別顧客一覧!$A:$A,"サービス資料DL",流入チャネル別顧客一覧!N:N,1)</f>
        <v>4</v>
      </c>
      <c r="I20" s="16">
        <f>COUNTIFS(流入チャネル別顧客一覧!$A:$A,"サービス資料DL",流入チャネル別顧客一覧!O:O,1)</f>
        <v>0</v>
      </c>
      <c r="J20" s="19">
        <f>SUM(B20:I20)</f>
        <v>114</v>
      </c>
    </row>
    <row r="21" spans="1:13">
      <c r="A21" s="19" t="s">
        <v>2967</v>
      </c>
      <c r="B21" s="19">
        <f>SUM(B18:B20)</f>
        <v>1</v>
      </c>
      <c r="C21" s="19">
        <f>SUM(C18:C20)</f>
        <v>1</v>
      </c>
      <c r="D21" s="19">
        <f t="shared" ref="D21:J21" si="4">SUM(D18:D20)</f>
        <v>18</v>
      </c>
      <c r="E21" s="19">
        <f t="shared" si="4"/>
        <v>18</v>
      </c>
      <c r="F21" s="19">
        <f t="shared" si="4"/>
        <v>26</v>
      </c>
      <c r="G21" s="19">
        <f t="shared" si="4"/>
        <v>112</v>
      </c>
      <c r="H21" s="19">
        <f t="shared" si="4"/>
        <v>15</v>
      </c>
      <c r="I21" s="19">
        <f t="shared" si="4"/>
        <v>3</v>
      </c>
      <c r="J21" s="19">
        <f t="shared" si="4"/>
        <v>194</v>
      </c>
    </row>
    <row r="23" spans="1:13">
      <c r="A23" s="15" t="s">
        <v>2975</v>
      </c>
      <c r="B23" s="15"/>
      <c r="C23" s="15"/>
      <c r="D23" s="15"/>
      <c r="E23" s="15"/>
      <c r="F23" s="15"/>
      <c r="G23" s="15"/>
      <c r="H23" s="15"/>
      <c r="I23" s="15"/>
      <c r="J23" s="15"/>
    </row>
    <row r="24" spans="1:13" ht="26.1">
      <c r="A24" s="16"/>
      <c r="B24" s="23" t="s">
        <v>1329</v>
      </c>
      <c r="C24" s="17" t="s">
        <v>1330</v>
      </c>
      <c r="D24" s="17" t="s">
        <v>1331</v>
      </c>
      <c r="E24" s="17" t="s">
        <v>1332</v>
      </c>
      <c r="F24" s="17" t="s">
        <v>1333</v>
      </c>
      <c r="G24" s="17" t="s">
        <v>1334</v>
      </c>
      <c r="H24" s="17" t="s">
        <v>1335</v>
      </c>
      <c r="I24" s="17" t="s">
        <v>1336</v>
      </c>
      <c r="J24" s="18" t="s">
        <v>2967</v>
      </c>
      <c r="K24" s="31" t="s">
        <v>2976</v>
      </c>
      <c r="L24" s="31" t="s">
        <v>2977</v>
      </c>
      <c r="M24" s="32" t="s">
        <v>2978</v>
      </c>
    </row>
    <row r="25" spans="1:13">
      <c r="A25" s="16" t="s">
        <v>2972</v>
      </c>
      <c r="B25" s="16">
        <f>COUNTIFS(流入チャネル別顧客一覧_ユニーク!$B:$B,"お問い合わせ完了",流入チャネル別顧客一覧_ユニーク!I:I,1)</f>
        <v>1</v>
      </c>
      <c r="C25" s="16">
        <f>COUNTIFS(流入チャネル別顧客一覧_ユニーク!$B:$B,"お問い合わせ完了",流入チャネル別顧客一覧_ユニーク!J:J,1)</f>
        <v>0</v>
      </c>
      <c r="D25" s="16">
        <f>COUNTIFS(流入チャネル別顧客一覧_ユニーク!$B:$B,"お問い合わせ完了",流入チャネル別顧客一覧_ユニーク!K:K,1)</f>
        <v>6</v>
      </c>
      <c r="E25" s="16">
        <f>COUNTIFS(流入チャネル別顧客一覧_ユニーク!$B:$B,"お問い合わせ完了",流入チャネル別顧客一覧_ユニーク!L:L,1)</f>
        <v>3</v>
      </c>
      <c r="F25" s="16">
        <f>COUNTIFS(流入チャネル別顧客一覧_ユニーク!$B:$B,"お問い合わせ完了",流入チャネル別顧客一覧_ユニーク!M:M,1)</f>
        <v>10</v>
      </c>
      <c r="G25" s="16">
        <f>COUNTIFS(流入チャネル別顧客一覧_ユニーク!$B:$B,"お問い合わせ完了",流入チャネル別顧客一覧_ユニーク!N:N,1)</f>
        <v>0</v>
      </c>
      <c r="H25" s="16">
        <f>COUNTIFS(流入チャネル別顧客一覧_ユニーク!$B:$B,"お問い合わせ完了",流入チャネル別顧客一覧_ユニーク!O:O,1)</f>
        <v>3</v>
      </c>
      <c r="I25" s="16">
        <f>COUNTIFS(流入チャネル別顧客一覧_ユニーク!$B:$B,"お問い合わせ完了",流入チャネル別顧客一覧_ユニーク!P:P,1)</f>
        <v>3</v>
      </c>
      <c r="J25" s="19">
        <f>SUM(B25:I25)</f>
        <v>26</v>
      </c>
      <c r="K25" s="19">
        <f>COUNTIF(流入チャネル別顧客一覧_ユニーク!B:B,"お問い合わせ完了")</f>
        <v>26</v>
      </c>
      <c r="L25" s="19">
        <f>COUNTIF(流入チャネル別顧客一覧_ユニーク!B:B,"入力画面: IS_insight-sales-お問合せ・ご相談")</f>
        <v>21</v>
      </c>
      <c r="M25" s="19">
        <f t="shared" ref="M25:M31" si="5">SUM(K25:L25)</f>
        <v>47</v>
      </c>
    </row>
    <row r="26" spans="1:13">
      <c r="A26" s="16" t="s">
        <v>2979</v>
      </c>
      <c r="B26" s="16">
        <f>COUNTIFS(流入チャネル別顧客一覧_ユニーク!$B:$B,"お役立ち資料DL",流入チャネル別顧客一覧_ユニーク!I:I,1)</f>
        <v>0</v>
      </c>
      <c r="C26" s="16">
        <f>COUNTIFS(流入チャネル別顧客一覧_ユニーク!$B:$B,"お役立ち資料DL",流入チャネル別顧客一覧_ユニーク!J:J,1)</f>
        <v>1</v>
      </c>
      <c r="D26" s="16">
        <f>COUNTIFS(流入チャネル別顧客一覧_ユニーク!$B:$B,"お役立ち資料DL",流入チャネル別顧客一覧_ユニーク!K:K,1)</f>
        <v>2</v>
      </c>
      <c r="E26" s="16">
        <f>COUNTIFS(流入チャネル別顧客一覧_ユニーク!$B:$B,"お役立ち資料DL",流入チャネル別顧客一覧_ユニーク!L:L,1)</f>
        <v>4</v>
      </c>
      <c r="F26" s="16">
        <f>COUNTIFS(流入チャネル別顧客一覧_ユニーク!$B:$B,"お役立ち資料DL",流入チャネル別顧客一覧_ユニーク!M:M,1)</f>
        <v>0</v>
      </c>
      <c r="G26" s="16">
        <f>COUNTIFS(流入チャネル別顧客一覧_ユニーク!$B:$B,"お役立ち資料DL",流入チャネル別顧客一覧_ユニーク!N:N,1)</f>
        <v>17</v>
      </c>
      <c r="H26" s="16">
        <f>COUNTIFS(流入チャネル別顧客一覧_ユニーク!$B:$B,"お役立ち資料DL",流入チャネル別顧客一覧_ユニーク!O:O,1)</f>
        <v>0</v>
      </c>
      <c r="I26" s="16">
        <f>COUNTIFS(流入チャネル別顧客一覧_ユニーク!$B:$B,"お役立ち資料DL",流入チャネル別顧客一覧_ユニーク!P:P,1)</f>
        <v>0</v>
      </c>
      <c r="J26" s="19">
        <f>SUM(B26:I26)</f>
        <v>24</v>
      </c>
      <c r="K26" s="19">
        <f>COUNTIF(流入チャネル別顧客一覧_ユニーク!B:B,"お役立ち資料DL")</f>
        <v>24</v>
      </c>
      <c r="L26" s="19">
        <f>COUNTIF(流入チャネル別顧客一覧_ユニーク!B:B,"入力画面: IS_insight-sales-サービス資料詳細")</f>
        <v>11</v>
      </c>
      <c r="M26" s="19">
        <f t="shared" si="5"/>
        <v>35</v>
      </c>
    </row>
    <row r="27" spans="1:13">
      <c r="A27" s="16" t="s">
        <v>2980</v>
      </c>
      <c r="B27" s="16"/>
      <c r="C27" s="16"/>
      <c r="D27" s="16"/>
      <c r="E27" s="16"/>
      <c r="F27" s="16"/>
      <c r="G27" s="16"/>
      <c r="H27" s="16"/>
      <c r="I27" s="16"/>
      <c r="J27" s="19"/>
      <c r="K27" s="20" t="s">
        <v>2475</v>
      </c>
      <c r="L27" s="19">
        <f>COUNTIFS(流入チャネル別顧客一覧_ユニーク!B:B,"*cta*",流入チャネル別顧客一覧_ユニーク!B:B,"*WP*")</f>
        <v>38</v>
      </c>
      <c r="M27" s="19">
        <f t="shared" si="5"/>
        <v>38</v>
      </c>
    </row>
    <row r="28" spans="1:13">
      <c r="A28" s="16" t="s">
        <v>2981</v>
      </c>
      <c r="B28" s="16"/>
      <c r="C28" s="16"/>
      <c r="D28" s="16"/>
      <c r="E28" s="16"/>
      <c r="F28" s="16"/>
      <c r="G28" s="16"/>
      <c r="H28" s="16"/>
      <c r="I28" s="16"/>
      <c r="J28" s="19"/>
      <c r="K28" s="20" t="s">
        <v>2475</v>
      </c>
      <c r="L28" s="19">
        <f>COUNTIFS(流入チャネル別顧客一覧_ユニーク!B:B,"*footer*",流入チャネル別顧客一覧_ユニーク!B:B,"*WP*")</f>
        <v>0</v>
      </c>
      <c r="M28" s="19">
        <f t="shared" si="5"/>
        <v>0</v>
      </c>
    </row>
    <row r="29" spans="1:13">
      <c r="A29" s="16" t="s">
        <v>2982</v>
      </c>
      <c r="B29" s="16">
        <f>COUNTIFS(流入チャネル別顧客一覧_ユニーク!$B:$B,"サービス資料DL",流入チャネル別顧客一覧_ユニーク!I:I,1)</f>
        <v>0</v>
      </c>
      <c r="C29" s="16">
        <f>COUNTIFS(流入チャネル別顧客一覧_ユニーク!$B:$B,"サービス資料DL",流入チャネル別顧客一覧_ユニーク!J:J,1)</f>
        <v>0</v>
      </c>
      <c r="D29" s="16">
        <f>COUNTIFS(流入チャネル別顧客一覧_ユニーク!$B:$B,"サービス資料DL",流入チャネル別顧客一覧_ユニーク!K:K,1)</f>
        <v>1</v>
      </c>
      <c r="E29" s="16">
        <f>COUNTIFS(流入チャネル別顧客一覧_ユニーク!$B:$B,"サービス資料DL",流入チャネル別顧客一覧_ユニーク!L:L,1)</f>
        <v>7</v>
      </c>
      <c r="F29" s="16">
        <f>COUNTIFS(流入チャネル別顧客一覧_ユニーク!$B:$B,"サービス資料DL",流入チャネル別顧客一覧_ユニーク!M:M,1)</f>
        <v>10</v>
      </c>
      <c r="G29" s="16">
        <f>COUNTIFS(流入チャネル別顧客一覧_ユニーク!$B:$B,"サービス資料DL",流入チャネル別顧客一覧_ユニーク!N:N,1)</f>
        <v>76</v>
      </c>
      <c r="H29" s="16">
        <f>COUNTIFS(流入チャネル別顧客一覧_ユニーク!$B:$B,"サービス資料DL",流入チャネル別顧客一覧_ユニーク!O:O,1)</f>
        <v>1</v>
      </c>
      <c r="I29" s="16">
        <f>COUNTIFS(流入チャネル別顧客一覧_ユニーク!$B:$B,"サービス資料DL",流入チャネル別顧客一覧_ユニーク!P:P,1)</f>
        <v>0</v>
      </c>
      <c r="J29" s="19">
        <f>SUM(B29:I29)</f>
        <v>95</v>
      </c>
      <c r="K29" s="19">
        <f>COUNTIF(流入チャネル別顧客一覧_ユニーク!B:B,"サービス資料DL")</f>
        <v>95</v>
      </c>
      <c r="L29" s="19">
        <f>COUNTIF(流入チャネル別顧客一覧_ユニーク!B:B,"入力画面: IS_インサイトセールス_WP1_お役立ち資料")</f>
        <v>1</v>
      </c>
      <c r="M29" s="19">
        <f t="shared" si="5"/>
        <v>96</v>
      </c>
    </row>
    <row r="30" spans="1:13">
      <c r="A30" s="16" t="s">
        <v>2983</v>
      </c>
      <c r="B30" s="16"/>
      <c r="C30" s="16"/>
      <c r="D30" s="16"/>
      <c r="E30" s="16"/>
      <c r="F30" s="16"/>
      <c r="G30" s="16"/>
      <c r="H30" s="16"/>
      <c r="I30" s="16"/>
      <c r="J30" s="19"/>
      <c r="K30" s="20" t="s">
        <v>2475</v>
      </c>
      <c r="L30" s="19">
        <f>COUNTIFS(流入チャネル別顧客一覧_ユニーク!B:B,"*cta*",流入チャネル別顧客一覧_ユニーク!B:B,"*サービス資料*")</f>
        <v>102</v>
      </c>
      <c r="M30" s="19">
        <f t="shared" si="5"/>
        <v>102</v>
      </c>
    </row>
    <row r="31" spans="1:13">
      <c r="A31" s="16" t="s">
        <v>2984</v>
      </c>
      <c r="B31" s="16"/>
      <c r="C31" s="16"/>
      <c r="D31" s="16"/>
      <c r="E31" s="16"/>
      <c r="F31" s="16"/>
      <c r="G31" s="16"/>
      <c r="H31" s="16"/>
      <c r="I31" s="16"/>
      <c r="J31" s="19"/>
      <c r="K31" s="20" t="s">
        <v>2475</v>
      </c>
      <c r="L31" s="19">
        <f>COUNTIFS(流入チャネル別顧客一覧_ユニーク!B:B,"*footer*",流入チャネル別顧客一覧_ユニーク!B:B,"*サービス資料*")</f>
        <v>39</v>
      </c>
      <c r="M31" s="19">
        <f t="shared" si="5"/>
        <v>39</v>
      </c>
    </row>
    <row r="32" spans="1:13">
      <c r="A32" s="19" t="s">
        <v>2967</v>
      </c>
      <c r="B32" s="19">
        <f>SUM(B25:B31)</f>
        <v>1</v>
      </c>
      <c r="C32" s="19">
        <f>SUM(C25:C31)</f>
        <v>1</v>
      </c>
      <c r="D32" s="19">
        <f t="shared" ref="D32:J32" si="6">SUM(D25:D31)</f>
        <v>9</v>
      </c>
      <c r="E32" s="19">
        <f t="shared" si="6"/>
        <v>14</v>
      </c>
      <c r="F32" s="19">
        <f t="shared" si="6"/>
        <v>20</v>
      </c>
      <c r="G32" s="19">
        <f>SUM(G25:G31)</f>
        <v>93</v>
      </c>
      <c r="H32" s="19">
        <f t="shared" si="6"/>
        <v>4</v>
      </c>
      <c r="I32" s="19">
        <f t="shared" si="6"/>
        <v>3</v>
      </c>
      <c r="J32" s="19">
        <f t="shared" si="6"/>
        <v>145</v>
      </c>
      <c r="K32" s="19">
        <f>SUM(K25:K31)</f>
        <v>145</v>
      </c>
      <c r="L32" s="19">
        <f>SUM(L25:L31)</f>
        <v>212</v>
      </c>
      <c r="M32" s="19">
        <f>SUM(M25:M31)</f>
        <v>357</v>
      </c>
    </row>
    <row r="34" spans="1:3">
      <c r="A34" t="s">
        <v>2985</v>
      </c>
      <c r="B34" t="s">
        <v>2986</v>
      </c>
      <c r="C34" t="s">
        <v>2987</v>
      </c>
    </row>
    <row r="35" spans="1:3">
      <c r="A35" s="20" t="s">
        <v>2967</v>
      </c>
      <c r="B35" s="25" t="e">
        <f>SUM(B36:B53)</f>
        <v>#REF!</v>
      </c>
      <c r="C35" s="19">
        <f>SUM(C36:C53)</f>
        <v>236</v>
      </c>
    </row>
    <row r="36" spans="1:3">
      <c r="A36" s="21">
        <v>45536</v>
      </c>
      <c r="B36" s="26" t="e">
        <f>COUNTIFS(流入チャネル別顧客一覧_ユニーク!$Q:$Q,"2024-09",流入チャネル別顧客一覧_ユニーク!#REF!,1)</f>
        <v>#REF!</v>
      </c>
      <c r="C36" s="16">
        <f>COUNTIF(流入チャネル別顧客一覧_ユニーク!$Q:$Q,A36)</f>
        <v>6</v>
      </c>
    </row>
    <row r="37" spans="1:3">
      <c r="A37" s="21">
        <v>45566</v>
      </c>
      <c r="B37" s="26" t="e">
        <f>COUNTIFS(流入チャネル別顧客一覧_ユニーク!$Q:$Q,"2024-10",流入チャネル別顧客一覧_ユニーク!#REF!,1)</f>
        <v>#REF!</v>
      </c>
      <c r="C37" s="16">
        <f>COUNTIF(流入チャネル別顧客一覧_ユニーク!$Q:$Q,A37)</f>
        <v>3</v>
      </c>
    </row>
    <row r="38" spans="1:3">
      <c r="A38" s="21">
        <v>45597</v>
      </c>
      <c r="B38" s="26" t="e">
        <f>COUNTIFS(流入チャネル別顧客一覧_ユニーク!$Q:$Q,"2024-11",流入チャネル別顧客一覧_ユニーク!#REF!,1)</f>
        <v>#REF!</v>
      </c>
      <c r="C38" s="16">
        <f>COUNTIF(流入チャネル別顧客一覧_ユニーク!$Q:$Q,A38)</f>
        <v>9</v>
      </c>
    </row>
    <row r="39" spans="1:3">
      <c r="A39" s="21">
        <v>45627</v>
      </c>
      <c r="B39" s="26" t="e">
        <f>COUNTIFS(流入チャネル別顧客一覧_ユニーク!$Q:$Q,"2024-12",流入チャネル別顧客一覧_ユニーク!#REF!,1)</f>
        <v>#REF!</v>
      </c>
      <c r="C39" s="16">
        <f>COUNTIF(流入チャネル別顧客一覧_ユニーク!$Q:$Q,A39)</f>
        <v>17</v>
      </c>
    </row>
    <row r="40" spans="1:3">
      <c r="A40" s="21">
        <v>45658</v>
      </c>
      <c r="B40" s="26" t="e">
        <f>COUNTIFS(流入チャネル別顧客一覧_ユニーク!$Q:$Q,"2025-01",流入チャネル別顧客一覧_ユニーク!#REF!,1)</f>
        <v>#REF!</v>
      </c>
      <c r="C40" s="16">
        <f>COUNTIF(流入チャネル別顧客一覧_ユニーク!$Q:$Q,A40)</f>
        <v>8</v>
      </c>
    </row>
    <row r="41" spans="1:3">
      <c r="A41" s="21">
        <v>45689</v>
      </c>
      <c r="B41" s="26" t="e">
        <f>COUNTIFS(流入チャネル別顧客一覧_ユニーク!$Q:$Q,"2025-02",流入チャネル別顧客一覧_ユニーク!#REF!,1)</f>
        <v>#REF!</v>
      </c>
      <c r="C41" s="16">
        <f>COUNTIF(流入チャネル別顧客一覧_ユニーク!$Q:$Q,A41)</f>
        <v>67</v>
      </c>
    </row>
    <row r="42" spans="1:3">
      <c r="A42" s="21">
        <v>45717</v>
      </c>
      <c r="B42" s="26" t="e">
        <f>COUNTIFS(流入チャネル別顧客一覧_ユニーク!$Q:$Q,"2025-03",流入チャネル別顧客一覧_ユニーク!#REF!,1)</f>
        <v>#REF!</v>
      </c>
      <c r="C42" s="16">
        <f>COUNTIF(流入チャネル別顧客一覧_ユニーク!$Q:$Q,A42)</f>
        <v>4</v>
      </c>
    </row>
    <row r="43" spans="1:3">
      <c r="A43" s="21">
        <v>45748</v>
      </c>
      <c r="B43" s="26" t="e">
        <f>COUNTIFS(流入チャネル別顧客一覧_ユニーク!$Q:$Q,"2025-04",流入チャネル別顧客一覧_ユニーク!#REF!,1)</f>
        <v>#REF!</v>
      </c>
      <c r="C43" s="16">
        <f>COUNTIF(流入チャネル別顧客一覧_ユニーク!$Q:$Q,A43)</f>
        <v>6</v>
      </c>
    </row>
    <row r="44" spans="1:3">
      <c r="A44" s="21">
        <v>45778</v>
      </c>
      <c r="B44" s="26" t="e">
        <f>COUNTIFS(流入チャネル別顧客一覧_ユニーク!$Q:$Q,"2025-05",流入チャネル別顧客一覧_ユニーク!#REF!,1)</f>
        <v>#REF!</v>
      </c>
      <c r="C44" s="16">
        <f>COUNTIF(流入チャネル別顧客一覧_ユニーク!$Q:$Q,A44)</f>
        <v>5</v>
      </c>
    </row>
    <row r="45" spans="1:3">
      <c r="A45" s="21">
        <v>45809</v>
      </c>
      <c r="B45" s="26" t="e">
        <f>COUNTIFS(流入チャネル別顧客一覧_ユニーク!$Q:$Q,"2025-06",流入チャネル別顧客一覧_ユニーク!#REF!,1)</f>
        <v>#REF!</v>
      </c>
      <c r="C45" s="16">
        <f>COUNTIF(流入チャネル別顧客一覧_ユニーク!$Q:$Q,A45)</f>
        <v>12</v>
      </c>
    </row>
    <row r="46" spans="1:3">
      <c r="A46" s="21">
        <v>45839</v>
      </c>
      <c r="B46" s="26" t="e">
        <f>COUNTIFS(流入チャネル別顧客一覧_ユニーク!$Q:$Q,"2025-07",流入チャネル別顧客一覧_ユニーク!#REF!,1)</f>
        <v>#REF!</v>
      </c>
      <c r="C46" s="16">
        <f>COUNTIF(流入チャネル別顧客一覧_ユニーク!$Q:$Q,A46)</f>
        <v>16</v>
      </c>
    </row>
    <row r="47" spans="1:3">
      <c r="A47" s="21">
        <v>45870</v>
      </c>
      <c r="B47" s="26" t="e">
        <f>COUNTIFS(流入チャネル別顧客一覧_ユニーク!$Q:$Q,"2025-08",流入チャネル別顧客一覧_ユニーク!#REF!,1)</f>
        <v>#REF!</v>
      </c>
      <c r="C47" s="16">
        <f>COUNTIF(流入チャネル別顧客一覧_ユニーク!$Q:$Q,A47)</f>
        <v>25</v>
      </c>
    </row>
    <row r="48" spans="1:3">
      <c r="A48" s="21">
        <v>45901</v>
      </c>
      <c r="B48" s="26" t="e">
        <f>COUNTIFS(流入チャネル別顧客一覧_ユニーク!$Q:$Q,"2025-09",流入チャネル別顧客一覧_ユニーク!#REF!,1)</f>
        <v>#REF!</v>
      </c>
      <c r="C48" s="16">
        <f>COUNTIF(流入チャネル別顧客一覧_ユニーク!$Q:$Q,A48)</f>
        <v>5</v>
      </c>
    </row>
    <row r="49" spans="1:3">
      <c r="A49" s="21">
        <v>45931</v>
      </c>
      <c r="B49" s="26" t="e">
        <f>COUNTIFS(流入チャネル別顧客一覧_ユニーク!$Q:$Q,"2025-10",流入チャネル別顧客一覧_ユニーク!#REF!,1)</f>
        <v>#REF!</v>
      </c>
      <c r="C49" s="16">
        <f>COUNTIF(流入チャネル別顧客一覧_ユニーク!$Q:$Q,A49)</f>
        <v>16</v>
      </c>
    </row>
    <row r="50" spans="1:3">
      <c r="A50" s="21">
        <v>45962</v>
      </c>
      <c r="B50" s="26" t="e">
        <f>COUNTIFS(流入チャネル別顧客一覧_ユニーク!$Q:$Q,"2025-11",流入チャネル別顧客一覧_ユニーク!#REF!,1)</f>
        <v>#REF!</v>
      </c>
      <c r="C50" s="16">
        <f>COUNTIF(流入チャネル別顧客一覧_ユニーク!$Q:$Q,A50)</f>
        <v>9</v>
      </c>
    </row>
    <row r="51" spans="1:3">
      <c r="A51" s="21">
        <v>45992</v>
      </c>
      <c r="B51" s="26" t="e">
        <f>COUNTIFS(流入チャネル別顧客一覧_ユニーク!$Q:$Q,"2025-12",流入チャネル別顧客一覧_ユニーク!#REF!,1)</f>
        <v>#REF!</v>
      </c>
      <c r="C51" s="16">
        <f>COUNTIF(流入チャネル別顧客一覧_ユニーク!$Q:$Q,A51)</f>
        <v>24</v>
      </c>
    </row>
    <row r="52" spans="1:3">
      <c r="A52" s="21">
        <v>46023</v>
      </c>
      <c r="B52" s="26" t="e">
        <f>COUNTIFS(流入チャネル別顧客一覧_ユニーク!$Q:$Q,"2026-01",流入チャネル別顧客一覧_ユニーク!#REF!,1)</f>
        <v>#REF!</v>
      </c>
      <c r="C52" s="16">
        <f>COUNTIF(流入チャネル別顧客一覧_ユニーク!$Q:$Q,A52)</f>
        <v>4</v>
      </c>
    </row>
    <row r="53" spans="1:3">
      <c r="A53" s="21">
        <v>46054</v>
      </c>
      <c r="B53" s="26" t="e">
        <f>COUNTIFS(流入チャネル別顧客一覧_ユニーク!$Q:$Q,"2026-02",流入チャネル別顧客一覧_ユニーク!#REF!,1)</f>
        <v>#REF!</v>
      </c>
      <c r="C53" s="16">
        <f>COUNTIF(流入チャネル別顧客一覧_ユニーク!$Q:$Q,A53)</f>
        <v>0</v>
      </c>
    </row>
  </sheetData>
  <phoneticPr fontId="18"/>
  <pageMargins left="0.7" right="0.7" top="0.75" bottom="0.75" header="0.3" footer="0.3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AECF541D381CC47997C9F6E50A07635" ma:contentTypeVersion="14" ma:contentTypeDescription="新しいドキュメントを作成します。" ma:contentTypeScope="" ma:versionID="08bd3d941a4678980bac4ee6d7d05ebb">
  <xsd:schema xmlns:xsd="http://www.w3.org/2001/XMLSchema" xmlns:xs="http://www.w3.org/2001/XMLSchema" xmlns:p="http://schemas.microsoft.com/office/2006/metadata/properties" xmlns:ns2="cbcb3794-65c5-4fd8-9f48-d3356576170d" xmlns:ns3="83b3bdf2-a634-4f88-9a70-eed74f5c43d7" targetNamespace="http://schemas.microsoft.com/office/2006/metadata/properties" ma:root="true" ma:fieldsID="b02752519eb638c6ff24c9ea047f6668" ns2:_="" ns3:_="">
    <xsd:import namespace="cbcb3794-65c5-4fd8-9f48-d3356576170d"/>
    <xsd:import namespace="83b3bdf2-a634-4f88-9a70-eed74f5c43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cb3794-65c5-4fd8-9f48-d3356576170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画像タグ" ma:readOnly="false" ma:fieldId="{5cf76f15-5ced-4ddc-b409-7134ff3c332f}" ma:taxonomyMulti="true" ma:sspId="3cbaf9e9-afa4-4295-acc9-3ae7f045e45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b3bdf2-a634-4f88-9a70-eed74f5c43d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cb3794-65c5-4fd8-9f48-d3356576170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9785B8D-BB30-41B5-997A-0E5049965581}"/>
</file>

<file path=customXml/itemProps2.xml><?xml version="1.0" encoding="utf-8"?>
<ds:datastoreItem xmlns:ds="http://schemas.openxmlformats.org/officeDocument/2006/customXml" ds:itemID="{2B7CCA59-C0A2-4475-B60F-0A4C09593B31}"/>
</file>

<file path=customXml/itemProps3.xml><?xml version="1.0" encoding="utf-8"?>
<ds:datastoreItem xmlns:ds="http://schemas.openxmlformats.org/officeDocument/2006/customXml" ds:itemID="{BF5294D5-18A8-4F1E-BAAE-C8DDD89498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神吉 まあや</dc:creator>
  <cp:keywords/>
  <dc:description/>
  <cp:lastModifiedBy>神吉　まあや</cp:lastModifiedBy>
  <cp:revision/>
  <dcterms:created xsi:type="dcterms:W3CDTF">2025-01-24T08:18:49Z</dcterms:created>
  <dcterms:modified xsi:type="dcterms:W3CDTF">2026-07-02T06:15:02Z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0x0101001AECF541D381CC47997C9F6E50A07635</vt:lpwstr>
  </property>
  <property fmtid="{D5CDD505-2E9C-101B-9397-08002B2CF9AE}" pid="3" name="MediaServiceImageTags">
    <vt:lpwstr/>
  </property>
</Properties>
</file>