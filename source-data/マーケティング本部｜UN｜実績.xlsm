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hidePivotFieldList="1" defaultThemeVersion="202300"/>
  <mc:AlternateContent xmlns:mc="http://schemas.openxmlformats.org/markup-compatibility/2006">
    <mc:Choice Requires="x15">
      <x15ac:absPath xmlns:x15ac="http://schemas.microsoft.com/office/spreadsheetml/2010/11/ac" url="C:\Users\612316\Downloads\05_ROIダッシュボード\"/>
    </mc:Choice>
  </mc:AlternateContent>
  <xr:revisionPtr revIDLastSave="0" documentId="13_ncr:1_{38FBD13B-81A2-4A00-A956-E979AE1F2356}" xr6:coauthVersionLast="47" xr6:coauthVersionMax="47" xr10:uidLastSave="{00000000-0000-0000-0000-000000000000}"/>
  <bookViews>
    <workbookView xWindow="31425" yWindow="405" windowWidth="25455" windowHeight="13920" firstSheet="1" activeTab="1" xr2:uid="{1D984875-AA59-4D43-85A8-47922CBBB5E9}"/>
  </bookViews>
  <sheets>
    <sheet name="流入チャネル別集計" sheetId="2" r:id="rId1"/>
    <sheet name="流入チャネル別顧客一覧_7月以降完全ユニークではない" sheetId="3" r:id="rId2"/>
    <sheet name="流入チャネル別顧客一覧（6月末まで）" sheetId="1" r:id="rId3"/>
    <sheet name="Sheet1" sheetId="7" r:id="rId4"/>
    <sheet name="rawdata_案件判定データ" sheetId="5" r:id="rId5"/>
    <sheet name="UN｜CVレポート" sheetId="6" r:id="rId6"/>
  </sheets>
  <definedNames>
    <definedName name="_xlnm._FilterDatabase" localSheetId="2" hidden="1">'流入チャネル別顧客一覧（6月末まで）'!$A$1:$O$245</definedName>
    <definedName name="_xlnm._FilterDatabase" localSheetId="1" hidden="1">流入チャネル別顧客一覧_7月以降完全ユニークではない!$A$1:$U$425</definedName>
  </definedNames>
  <calcPr calcId="191028"/>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82" i="3" l="1"/>
  <c r="F225" i="3"/>
  <c r="F223" i="3"/>
  <c r="F220" i="3"/>
  <c r="F219" i="3"/>
  <c r="F218" i="3"/>
  <c r="F217" i="3"/>
  <c r="F216" i="3"/>
  <c r="F215" i="3"/>
  <c r="F214" i="3"/>
  <c r="F213" i="3"/>
  <c r="F209" i="3"/>
  <c r="F208" i="3"/>
  <c r="F205" i="3"/>
  <c r="F204" i="3"/>
  <c r="F203" i="3"/>
  <c r="F201" i="3"/>
  <c r="F200" i="3"/>
  <c r="F198" i="3"/>
  <c r="F197" i="3"/>
  <c r="F195" i="3"/>
  <c r="F194" i="3"/>
  <c r="F193" i="3"/>
  <c r="F190" i="3"/>
  <c r="F189" i="3"/>
  <c r="F188" i="3"/>
  <c r="F187" i="3"/>
  <c r="F186" i="3"/>
  <c r="F185" i="3"/>
  <c r="F184" i="3"/>
  <c r="F183" i="3"/>
  <c r="F182" i="3"/>
  <c r="F181" i="3"/>
  <c r="F179" i="3"/>
  <c r="F178" i="3"/>
  <c r="F177" i="3"/>
  <c r="F176" i="3"/>
  <c r="F175" i="3"/>
  <c r="F174" i="3"/>
  <c r="F173" i="3"/>
  <c r="F172" i="3"/>
  <c r="F171" i="3"/>
  <c r="F170" i="3"/>
  <c r="F169" i="3"/>
  <c r="F168" i="3"/>
  <c r="F167" i="3"/>
  <c r="F166" i="3"/>
  <c r="F165" i="3"/>
  <c r="F164" i="3"/>
  <c r="F163" i="3"/>
  <c r="F162" i="3"/>
  <c r="F161" i="3"/>
  <c r="F160" i="3"/>
  <c r="F158" i="3"/>
  <c r="F157" i="3"/>
  <c r="F156" i="3"/>
  <c r="F155" i="3"/>
  <c r="F154" i="3"/>
  <c r="F153" i="3"/>
  <c r="F152" i="3"/>
  <c r="F151" i="3"/>
  <c r="T340" i="3"/>
  <c r="T339" i="3"/>
  <c r="T338" i="3"/>
  <c r="T337" i="3"/>
  <c r="T336" i="3"/>
  <c r="T335" i="3"/>
  <c r="T334" i="3"/>
  <c r="T333" i="3"/>
  <c r="T332" i="3"/>
  <c r="T331" i="3"/>
  <c r="T330" i="3"/>
  <c r="T329" i="3"/>
  <c r="T328" i="3"/>
  <c r="T327" i="3"/>
  <c r="T326" i="3"/>
  <c r="T325" i="3"/>
  <c r="T324" i="3"/>
  <c r="T323" i="3"/>
  <c r="T322" i="3"/>
  <c r="T321" i="3"/>
  <c r="T320" i="3"/>
  <c r="T319" i="3"/>
  <c r="T318" i="3"/>
  <c r="T317" i="3"/>
  <c r="T316" i="3"/>
  <c r="T315" i="3"/>
  <c r="T314" i="3"/>
  <c r="T313" i="3"/>
  <c r="T312" i="3"/>
  <c r="T311" i="3"/>
  <c r="T310" i="3"/>
  <c r="T309" i="3"/>
  <c r="T308" i="3"/>
  <c r="T307" i="3"/>
  <c r="T306" i="3"/>
  <c r="T305" i="3"/>
  <c r="T304" i="3"/>
  <c r="T303" i="3"/>
  <c r="T302" i="3"/>
  <c r="T301" i="3"/>
  <c r="T300" i="3"/>
  <c r="T299" i="3"/>
  <c r="T298" i="3"/>
  <c r="T297" i="3"/>
  <c r="T296" i="3"/>
  <c r="T295" i="3"/>
  <c r="T294" i="3"/>
  <c r="T293" i="3"/>
  <c r="T292" i="3"/>
  <c r="T291" i="3"/>
  <c r="T290" i="3"/>
  <c r="T289" i="3"/>
  <c r="T288" i="3"/>
  <c r="T287" i="3"/>
  <c r="T286" i="3"/>
  <c r="T285" i="3"/>
  <c r="T284" i="3"/>
  <c r="T283" i="3"/>
  <c r="T282" i="3"/>
  <c r="T281" i="3"/>
  <c r="T280" i="3"/>
  <c r="T279" i="3"/>
  <c r="T278" i="3"/>
  <c r="T277" i="3"/>
  <c r="T276" i="3"/>
  <c r="T275" i="3"/>
  <c r="T274" i="3"/>
  <c r="T273" i="3"/>
  <c r="T272" i="3"/>
  <c r="T271" i="3"/>
  <c r="T270" i="3"/>
  <c r="T269" i="3"/>
  <c r="T268" i="3"/>
  <c r="T267" i="3"/>
  <c r="T266" i="3"/>
  <c r="T265" i="3"/>
  <c r="T264" i="3"/>
  <c r="T263" i="3"/>
  <c r="T262" i="3"/>
  <c r="T261" i="3"/>
  <c r="T260" i="3"/>
  <c r="T259" i="3"/>
  <c r="T258" i="3"/>
  <c r="T257" i="3"/>
  <c r="T256" i="3"/>
  <c r="T255" i="3"/>
  <c r="T254" i="3"/>
  <c r="T253" i="3"/>
  <c r="T252" i="3"/>
  <c r="T251"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51" i="3"/>
  <c r="T50" i="3"/>
  <c r="T49" i="3"/>
  <c r="T48" i="3"/>
  <c r="T47" i="3"/>
  <c r="T46" i="3"/>
  <c r="T45" i="3"/>
  <c r="T44" i="3"/>
  <c r="T43" i="3"/>
  <c r="T42" i="3"/>
  <c r="T41" i="3"/>
  <c r="T40" i="3"/>
  <c r="T39" i="3"/>
  <c r="T38" i="3"/>
  <c r="T37" i="3"/>
  <c r="T36" i="3"/>
  <c r="T35" i="3"/>
  <c r="T34" i="3"/>
  <c r="T33" i="3"/>
  <c r="T32" i="3"/>
  <c r="T31" i="3"/>
  <c r="T30" i="3"/>
  <c r="T29" i="3"/>
  <c r="T28" i="3"/>
  <c r="T27" i="3"/>
  <c r="T26" i="3"/>
  <c r="T25" i="3"/>
  <c r="T24" i="3"/>
  <c r="T23" i="3"/>
  <c r="T22" i="3"/>
  <c r="T21" i="3"/>
  <c r="T20" i="3"/>
  <c r="T19" i="3"/>
  <c r="T18" i="3"/>
  <c r="T17" i="3"/>
  <c r="T16" i="3"/>
  <c r="T15" i="3"/>
  <c r="T14" i="3"/>
  <c r="T13" i="3"/>
  <c r="T12" i="3"/>
  <c r="T11" i="3"/>
  <c r="T10" i="3"/>
  <c r="T9" i="3"/>
  <c r="T8" i="3"/>
  <c r="T7" i="3"/>
  <c r="T6" i="3"/>
  <c r="T5" i="3"/>
  <c r="T4" i="3"/>
  <c r="T3" i="3"/>
  <c r="T2" i="3"/>
  <c r="O315" i="3"/>
  <c r="O316" i="3"/>
  <c r="O317" i="3"/>
  <c r="O318" i="3"/>
  <c r="O319" i="3"/>
  <c r="O312" i="3"/>
  <c r="O313" i="3"/>
  <c r="O314" i="3"/>
  <c r="O311" i="3"/>
  <c r="O310" i="3"/>
  <c r="O309" i="3"/>
  <c r="O308" i="3"/>
  <c r="O307" i="3"/>
  <c r="O306" i="3"/>
  <c r="O301" i="3"/>
  <c r="O302" i="3"/>
  <c r="O303" i="3"/>
  <c r="O304" i="3"/>
  <c r="O305" i="3"/>
  <c r="O292" i="3"/>
  <c r="O293" i="3"/>
  <c r="O294" i="3"/>
  <c r="O295" i="3"/>
  <c r="O296" i="3"/>
  <c r="O297" i="3"/>
  <c r="O298" i="3"/>
  <c r="O299" i="3"/>
  <c r="O300" i="3"/>
  <c r="O291" i="3"/>
  <c r="O290" i="3"/>
  <c r="O289" i="3"/>
  <c r="O280" i="3"/>
  <c r="O281" i="3"/>
  <c r="O282" i="3"/>
  <c r="O283" i="3"/>
  <c r="O284" i="3"/>
  <c r="O285" i="3"/>
  <c r="O286" i="3"/>
  <c r="O287" i="3"/>
  <c r="O288" i="3"/>
  <c r="O277" i="3"/>
  <c r="O278" i="3"/>
  <c r="O279" i="3"/>
  <c r="O276" i="3"/>
  <c r="O275" i="3"/>
  <c r="O274" i="3"/>
  <c r="O273" i="3"/>
  <c r="O272" i="3"/>
  <c r="O271" i="3"/>
  <c r="O270" i="3"/>
  <c r="O269" i="3"/>
  <c r="O268" i="3"/>
  <c r="O267" i="3"/>
  <c r="O266" i="3"/>
  <c r="O265" i="3"/>
  <c r="O264" i="3"/>
  <c r="O263" i="3"/>
  <c r="O262" i="3"/>
  <c r="O261" i="3"/>
  <c r="O260" i="3"/>
  <c r="O259" i="3"/>
  <c r="O258" i="3"/>
  <c r="O257" i="3"/>
  <c r="O256" i="3"/>
  <c r="O255" i="3"/>
  <c r="O254" i="3"/>
  <c r="O253" i="3"/>
  <c r="O252" i="3"/>
  <c r="O251" i="3"/>
  <c r="O250" i="3"/>
  <c r="O249" i="3"/>
  <c r="O248" i="3"/>
  <c r="O247" i="3"/>
  <c r="O246" i="3"/>
  <c r="O245" i="3"/>
  <c r="O244" i="3"/>
  <c r="O243" i="3"/>
  <c r="O242" i="3"/>
  <c r="O241" i="3"/>
  <c r="O240" i="3"/>
  <c r="O239" i="3"/>
  <c r="O238" i="3"/>
  <c r="O237" i="3"/>
  <c r="O236" i="3"/>
  <c r="O235" i="3"/>
  <c r="O234" i="3"/>
  <c r="O233" i="3"/>
  <c r="O232" i="3"/>
  <c r="O231" i="3"/>
  <c r="O230" i="3"/>
  <c r="O229" i="3"/>
  <c r="O228" i="3"/>
  <c r="O227" i="3"/>
  <c r="O226" i="3"/>
  <c r="O224" i="3"/>
  <c r="O222" i="3"/>
  <c r="O225" i="3"/>
  <c r="O223" i="3"/>
  <c r="O221" i="3"/>
  <c r="O220" i="3"/>
  <c r="O219" i="3"/>
  <c r="O218" i="3"/>
  <c r="O217" i="3"/>
  <c r="O216" i="3"/>
  <c r="O215" i="3"/>
  <c r="O214" i="3"/>
  <c r="O213" i="3"/>
  <c r="O212" i="3"/>
  <c r="O211" i="3"/>
  <c r="O210" i="3"/>
  <c r="O209" i="3"/>
  <c r="O208" i="3"/>
  <c r="O207" i="3"/>
  <c r="O206" i="3"/>
  <c r="O205" i="3"/>
  <c r="O204" i="3"/>
  <c r="O203" i="3"/>
  <c r="O202" i="3"/>
  <c r="O201" i="3"/>
  <c r="O200" i="3"/>
  <c r="O199" i="3"/>
  <c r="O198" i="3"/>
  <c r="O197" i="3"/>
  <c r="O196" i="3"/>
  <c r="O195" i="3"/>
  <c r="O194" i="3"/>
  <c r="O193" i="3"/>
  <c r="O192" i="3"/>
  <c r="O191" i="3"/>
  <c r="O190" i="3"/>
  <c r="O189" i="3"/>
  <c r="O188" i="3"/>
  <c r="P187" i="3"/>
  <c r="O187" i="3"/>
  <c r="O186" i="3"/>
  <c r="O185" i="3"/>
  <c r="O184" i="3"/>
  <c r="O183" i="3"/>
  <c r="O182" i="3"/>
  <c r="O181" i="3"/>
  <c r="P180" i="3"/>
  <c r="O180" i="3"/>
  <c r="O179" i="3"/>
  <c r="O178" i="3"/>
  <c r="O177" i="3"/>
  <c r="O176" i="3"/>
  <c r="O175" i="3"/>
  <c r="O174" i="3"/>
  <c r="O173" i="3"/>
  <c r="O172" i="3"/>
  <c r="O171" i="3"/>
  <c r="O170" i="3"/>
  <c r="O169" i="3"/>
  <c r="O168" i="3"/>
  <c r="O167" i="3"/>
  <c r="O166" i="3"/>
  <c r="O165" i="3"/>
  <c r="O164" i="3"/>
  <c r="O163" i="3"/>
  <c r="P162" i="3"/>
  <c r="O162" i="3"/>
  <c r="P161" i="3"/>
  <c r="O161" i="3"/>
  <c r="O160" i="3"/>
  <c r="O159" i="3"/>
  <c r="O158" i="3"/>
  <c r="P157" i="3"/>
  <c r="O157" i="3"/>
  <c r="O156" i="3"/>
  <c r="O155" i="3"/>
  <c r="O154" i="3"/>
  <c r="O153" i="3"/>
  <c r="O152" i="3"/>
  <c r="O151" i="3"/>
  <c r="O150" i="3"/>
  <c r="O149" i="3"/>
  <c r="O148" i="3"/>
  <c r="O147" i="3"/>
  <c r="O146" i="3"/>
  <c r="O145" i="3"/>
  <c r="O144" i="3"/>
  <c r="O143" i="3"/>
  <c r="O142" i="3"/>
  <c r="O141" i="3"/>
  <c r="O140" i="3"/>
  <c r="O139" i="3"/>
  <c r="O138" i="3"/>
  <c r="O137" i="3"/>
  <c r="O136" i="3"/>
  <c r="O135" i="3"/>
  <c r="O134" i="3"/>
  <c r="O133" i="3"/>
  <c r="P132" i="3"/>
  <c r="O132" i="3"/>
  <c r="O131" i="3"/>
  <c r="P130" i="3"/>
  <c r="O130" i="3"/>
  <c r="O129" i="3"/>
  <c r="O128" i="3"/>
  <c r="O127" i="3"/>
  <c r="O126" i="3"/>
  <c r="O125" i="3"/>
  <c r="O124" i="3"/>
  <c r="O123" i="3"/>
  <c r="P122" i="3"/>
  <c r="O122" i="3"/>
  <c r="P121" i="3"/>
  <c r="O121" i="3"/>
  <c r="O120" i="3"/>
  <c r="O119" i="3"/>
  <c r="O118" i="3"/>
  <c r="O117" i="3"/>
  <c r="O116" i="3"/>
  <c r="O115" i="3"/>
  <c r="P114" i="3"/>
  <c r="O114" i="3"/>
  <c r="O113" i="3"/>
  <c r="O112" i="3"/>
  <c r="O111" i="3"/>
  <c r="O110" i="3"/>
  <c r="O109" i="3"/>
  <c r="P108" i="3"/>
  <c r="O108" i="3"/>
  <c r="O107" i="3"/>
  <c r="O106" i="3"/>
  <c r="P105" i="3"/>
  <c r="O105" i="3"/>
  <c r="O104" i="3"/>
  <c r="P103" i="3"/>
  <c r="O103" i="3"/>
  <c r="O102" i="3"/>
  <c r="O101" i="3"/>
  <c r="O100" i="3"/>
  <c r="O99" i="3"/>
  <c r="P98" i="3"/>
  <c r="O98" i="3"/>
  <c r="O97" i="3"/>
  <c r="P96" i="3"/>
  <c r="O96" i="3"/>
  <c r="O95" i="3"/>
  <c r="O94" i="3"/>
  <c r="O93" i="3"/>
  <c r="O92" i="3"/>
  <c r="O91" i="3"/>
  <c r="O90" i="3"/>
  <c r="O89" i="3"/>
  <c r="P88" i="3"/>
  <c r="O88" i="3"/>
  <c r="O87" i="3"/>
  <c r="O86" i="3"/>
  <c r="O85" i="3"/>
  <c r="O84" i="3"/>
  <c r="O83" i="3"/>
  <c r="O82" i="3"/>
  <c r="P81" i="3"/>
  <c r="O81" i="3"/>
  <c r="O80" i="3"/>
  <c r="O79" i="3"/>
  <c r="O78" i="3"/>
  <c r="O77" i="3"/>
  <c r="O76" i="3"/>
  <c r="O75" i="3"/>
  <c r="O74" i="3"/>
  <c r="O73" i="3"/>
  <c r="O72" i="3"/>
  <c r="O71" i="3"/>
  <c r="O70" i="3"/>
  <c r="O69" i="3"/>
  <c r="O68" i="3"/>
  <c r="O67" i="3"/>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O33" i="3"/>
  <c r="O32" i="3"/>
  <c r="O31" i="3"/>
  <c r="O30" i="3"/>
  <c r="O29" i="3"/>
  <c r="O28" i="3"/>
  <c r="O27" i="3"/>
  <c r="O26" i="3"/>
  <c r="O25" i="3"/>
  <c r="O24" i="3"/>
  <c r="O23" i="3"/>
  <c r="O22" i="3"/>
  <c r="O21" i="3"/>
  <c r="O20" i="3"/>
  <c r="O19" i="3"/>
  <c r="O18" i="3"/>
  <c r="O17" i="3"/>
  <c r="O16" i="3"/>
  <c r="O15" i="3"/>
  <c r="O14" i="3"/>
  <c r="O13" i="3"/>
  <c r="O12" i="3"/>
  <c r="O11" i="3"/>
  <c r="O10" i="3"/>
  <c r="O9" i="3"/>
  <c r="O8" i="3"/>
  <c r="O7" i="3"/>
  <c r="O6" i="3"/>
  <c r="O5" i="3"/>
  <c r="O4" i="3"/>
  <c r="O3" i="3"/>
  <c r="O2" i="3"/>
  <c r="K27" i="2"/>
  <c r="I27" i="2"/>
  <c r="H27" i="2"/>
  <c r="G27" i="2"/>
  <c r="F27" i="2"/>
  <c r="E27" i="2"/>
  <c r="D27" i="2"/>
  <c r="C27" i="2"/>
  <c r="B27" i="2"/>
  <c r="K26" i="2"/>
  <c r="I26" i="2"/>
  <c r="H26" i="2"/>
  <c r="G26" i="2"/>
  <c r="F26" i="2"/>
  <c r="E26" i="2"/>
  <c r="D26" i="2"/>
  <c r="C26" i="2"/>
  <c r="B26" i="2"/>
  <c r="K25" i="2"/>
  <c r="I25" i="2"/>
  <c r="H25" i="2"/>
  <c r="G25" i="2"/>
  <c r="F25" i="2"/>
  <c r="E25" i="2"/>
  <c r="D25" i="2"/>
  <c r="C25" i="2"/>
  <c r="B25" i="2"/>
  <c r="J21" i="2"/>
  <c r="I21" i="2"/>
  <c r="H21" i="2"/>
  <c r="G21" i="2"/>
  <c r="F21" i="2"/>
  <c r="E21" i="2"/>
  <c r="D21" i="2"/>
  <c r="C21" i="2"/>
  <c r="B21" i="2"/>
  <c r="J20" i="2"/>
  <c r="I20" i="2"/>
  <c r="H20" i="2"/>
  <c r="G20" i="2"/>
  <c r="F20" i="2"/>
  <c r="E20" i="2"/>
  <c r="D20" i="2"/>
  <c r="C20" i="2"/>
  <c r="B20" i="2"/>
  <c r="J19" i="2"/>
  <c r="I19" i="2"/>
  <c r="H19" i="2"/>
  <c r="G19" i="2"/>
  <c r="F19" i="2"/>
  <c r="E19" i="2"/>
  <c r="D19" i="2"/>
  <c r="C19" i="2"/>
  <c r="B19" i="2"/>
  <c r="J18" i="2"/>
  <c r="I18" i="2"/>
  <c r="H18" i="2"/>
  <c r="G18" i="2"/>
  <c r="F18" i="2"/>
  <c r="E18" i="2"/>
  <c r="D18" i="2"/>
  <c r="C18" i="2"/>
  <c r="B18" i="2"/>
  <c r="F14" i="2"/>
  <c r="E14" i="2"/>
  <c r="D14" i="2"/>
  <c r="C14" i="2"/>
  <c r="B14" i="2"/>
  <c r="F13" i="2"/>
  <c r="E13" i="2"/>
  <c r="D13" i="2"/>
  <c r="C13" i="2"/>
  <c r="B13" i="2"/>
  <c r="F12" i="2"/>
  <c r="E12" i="2"/>
  <c r="D12" i="2"/>
  <c r="C12" i="2"/>
  <c r="B12" i="2"/>
  <c r="F11" i="2"/>
  <c r="E11" i="2"/>
  <c r="D11" i="2"/>
  <c r="C11" i="2"/>
  <c r="B11" i="2"/>
  <c r="G8" i="2"/>
  <c r="I7" i="2"/>
  <c r="H7" i="2"/>
  <c r="G7" i="2"/>
  <c r="N6" i="2" a="1"/>
  <c r="N6" i="2" s="1"/>
  <c r="O6" i="2" s="1"/>
  <c r="L6" i="2" a="1"/>
  <c r="L6" i="2" s="1"/>
  <c r="M6" i="2" s="1"/>
  <c r="J6" i="2" a="1"/>
  <c r="J6" i="2" s="1"/>
  <c r="K6" i="2" s="1"/>
  <c r="G6" i="2"/>
  <c r="N5" i="2" a="1"/>
  <c r="N5" i="2" s="1"/>
  <c r="O5" i="2" s="1"/>
  <c r="L5" i="2" a="1"/>
  <c r="L5" i="2" s="1"/>
  <c r="M5" i="2" s="1"/>
  <c r="J5" i="2" a="1"/>
  <c r="J5" i="2" s="1"/>
  <c r="K5" i="2" s="1"/>
  <c r="G5" i="2"/>
  <c r="N4" i="2" a="1"/>
  <c r="N4" i="2" s="1"/>
  <c r="L4" i="2" a="1"/>
  <c r="L4" i="2" s="1"/>
  <c r="J4" i="2" a="1"/>
  <c r="J4" i="2" s="1"/>
  <c r="G4" i="2"/>
  <c r="I28" i="2" l="1"/>
  <c r="D28" i="2"/>
  <c r="G28" i="2"/>
  <c r="H28" i="2"/>
  <c r="K28" i="2"/>
  <c r="B41" i="2"/>
  <c r="B47" i="2"/>
  <c r="C45" i="2"/>
  <c r="E28" i="2"/>
  <c r="F28" i="2"/>
  <c r="B35" i="2"/>
  <c r="J27" i="2"/>
  <c r="J26" i="2"/>
  <c r="C46" i="2"/>
  <c r="B46" i="2"/>
  <c r="J25" i="2"/>
  <c r="C28" i="2"/>
  <c r="O4" i="2"/>
  <c r="N7" i="2"/>
  <c r="O7" i="2" s="1"/>
  <c r="L7" i="2"/>
  <c r="M7" i="2" s="1"/>
  <c r="M4" i="2"/>
  <c r="J7" i="2"/>
  <c r="K7" i="2" s="1"/>
  <c r="K4" i="2"/>
  <c r="C35" i="2"/>
  <c r="C41" i="2"/>
  <c r="C47" i="2"/>
  <c r="B36" i="2"/>
  <c r="B42" i="2"/>
  <c r="B48" i="2"/>
  <c r="B37" i="2"/>
  <c r="B43" i="2"/>
  <c r="B49" i="2"/>
  <c r="C37" i="2"/>
  <c r="C43" i="2"/>
  <c r="C49" i="2"/>
  <c r="C36" i="2"/>
  <c r="C42" i="2"/>
  <c r="C48" i="2"/>
  <c r="B28" i="2"/>
  <c r="B32" i="2"/>
  <c r="B38" i="2"/>
  <c r="B44" i="2"/>
  <c r="C32" i="2"/>
  <c r="C38" i="2"/>
  <c r="C44" i="2"/>
  <c r="B33" i="2"/>
  <c r="B39" i="2"/>
  <c r="B45" i="2"/>
  <c r="C33" i="2"/>
  <c r="C39" i="2"/>
  <c r="B34" i="2"/>
  <c r="B40" i="2"/>
  <c r="C34" i="2"/>
  <c r="C40" i="2"/>
  <c r="J28" i="2" l="1"/>
  <c r="B31" i="2"/>
  <c r="C3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tc={E62DAAE9-A3BD-44A9-ACB8-4F68B9EE828C}</author>
    <author>tc={7D823943-D277-49E7-B9F5-C86E02EE409B}</author>
    <author>tc={B9D058C7-8E09-4458-B306-D93C4E870640}</author>
    <author>tc={8F9A7C67-5BA8-45B1-B635-FFD931FC8E44}</author>
  </authors>
  <commentList>
    <comment ref="G7" authorId="0" shapeId="0" xr:uid="{E62DAAE9-A3BD-44A9-ACB8-4F68B9EE828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非ユニーク</t>
      </text>
    </comment>
    <comment ref="H7" authorId="1" shapeId="0" xr:uid="{7D823943-D277-49E7-B9F5-C86E02EE409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ユニーク</t>
      </text>
    </comment>
    <comment ref="I7" authorId="2" shapeId="0" xr:uid="{B9D058C7-8E09-4458-B306-D93C4E87064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ユニーク</t>
      </text>
    </comment>
    <comment ref="G8" authorId="3" shapeId="0" xr:uid="{8F9A7C67-5BA8-45B1-B635-FFD931FC8E4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非ユニーク</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吉田　知之</author>
  </authors>
  <commentList>
    <comment ref="Q405" authorId="0" shapeId="0" xr:uid="{11E658CA-D74C-4175-901D-B6A0A791A5D0}">
      <text>
        <r>
          <rPr>
            <sz val="11"/>
            <color theme="1"/>
            <rFont val="游ゴシック"/>
            <family val="2"/>
            <charset val="128"/>
            <scheme val="minor"/>
          </rPr>
          <t>SQL化しています。7月にカウントして下さい。</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<sst xmlns="http://schemas.openxmlformats.org/spreadsheetml/2006/main" count="20297" uniqueCount="3262">
  <si>
    <t>行ラベル</t>
  </si>
  <si>
    <t>合計 / direct</t>
  </si>
  <si>
    <t>合計 / link</t>
  </si>
  <si>
    <t>合計 / listing</t>
  </si>
  <si>
    <t>合計 / mail</t>
  </si>
  <si>
    <t>合計 / organic</t>
  </si>
  <si>
    <t>合計</t>
    <rPh sb="0" eb="2">
      <t>ゴウケイ</t>
    </rPh>
    <phoneticPr fontId="18"/>
  </si>
  <si>
    <t>合計（ユニーク）</t>
    <rPh sb="0" eb="2">
      <t>ゴウケイ</t>
    </rPh>
    <phoneticPr fontId="18"/>
  </si>
  <si>
    <t>SAL</t>
    <phoneticPr fontId="18"/>
  </si>
  <si>
    <t>商談数</t>
    <rPh sb="0" eb="3">
      <t>ショウダンスウ</t>
    </rPh>
    <phoneticPr fontId="18"/>
  </si>
  <si>
    <t>商談化率</t>
    <rPh sb="0" eb="4">
      <t>ショウダンカリツ</t>
    </rPh>
    <phoneticPr fontId="18"/>
  </si>
  <si>
    <t>提案数</t>
    <rPh sb="0" eb="3">
      <t>テイアンスウ</t>
    </rPh>
    <phoneticPr fontId="18"/>
  </si>
  <si>
    <t>提案化率</t>
    <rPh sb="0" eb="4">
      <t>テイアンカリツ</t>
    </rPh>
    <phoneticPr fontId="18"/>
  </si>
  <si>
    <t>受注数</t>
    <rPh sb="0" eb="3">
      <t>ジュチュウスウ</t>
    </rPh>
    <phoneticPr fontId="18"/>
  </si>
  <si>
    <t>受注率</t>
    <rPh sb="0" eb="3">
      <t>ジュチュウリツ</t>
    </rPh>
    <phoneticPr fontId="18"/>
  </si>
  <si>
    <t>お問い合わせ完了</t>
  </si>
  <si>
    <t>お役立ち資料DL</t>
  </si>
  <si>
    <t>サービス資料DL</t>
  </si>
  <si>
    <t>総計</t>
  </si>
  <si>
    <t>ユーザー数</t>
    <rPh sb="4" eb="5">
      <t>スウ</t>
    </rPh>
    <phoneticPr fontId="18"/>
  </si>
  <si>
    <t>お役立ち資料DL</t>
    <phoneticPr fontId="18"/>
  </si>
  <si>
    <t>サービス資料DL</t>
    <phoneticPr fontId="18"/>
  </si>
  <si>
    <t>延べ（～6月末）</t>
    <rPh sb="5" eb="7">
      <t>ガツマツ</t>
    </rPh>
    <phoneticPr fontId="18"/>
  </si>
  <si>
    <t>case</t>
  </si>
  <si>
    <t>column</t>
  </si>
  <si>
    <t>direct</t>
  </si>
  <si>
    <t>link</t>
  </si>
  <si>
    <t>listing</t>
  </si>
  <si>
    <t>mail</t>
  </si>
  <si>
    <t>organic</t>
  </si>
  <si>
    <t>others</t>
  </si>
  <si>
    <t>問い合わせ</t>
    <rPh sb="0" eb="1">
      <t>ト</t>
    </rPh>
    <rPh sb="2" eb="3">
      <t>ア</t>
    </rPh>
    <phoneticPr fontId="1"/>
  </si>
  <si>
    <t>WP</t>
    <phoneticPr fontId="1"/>
  </si>
  <si>
    <t>資料</t>
    <rPh sb="0" eb="2">
      <t>シリョウ</t>
    </rPh>
    <phoneticPr fontId="1"/>
  </si>
  <si>
    <t>ユニーク（～6月末）</t>
    <rPh sb="7" eb="9">
      <t>ガツマツ</t>
    </rPh>
    <phoneticPr fontId="18"/>
  </si>
  <si>
    <t>総計
（全期間）</t>
  </si>
  <si>
    <t>SQL月次推移</t>
  </si>
  <si>
    <t>SQL数</t>
  </si>
  <si>
    <t>MQL数</t>
  </si>
  <si>
    <t>CVフラグ</t>
  </si>
  <si>
    <t>回答日時</t>
  </si>
  <si>
    <t>メールアドレス</t>
  </si>
  <si>
    <t>貴社名</t>
  </si>
  <si>
    <t>お名前</t>
  </si>
  <si>
    <t>着用人数</t>
  </si>
  <si>
    <t>流入チャネル</t>
  </si>
  <si>
    <t>SAL（商談した）</t>
  </si>
  <si>
    <t>SQL（案件化した）</t>
  </si>
  <si>
    <t>受注</t>
  </si>
  <si>
    <t>備考</t>
  </si>
  <si>
    <t>UN｜CVレポート有無</t>
    <rPh sb="9" eb="11">
      <t>ウム</t>
    </rPh>
    <phoneticPr fontId="18"/>
  </si>
  <si>
    <t>入力画面: UN_WPダウンロードフォーム</t>
  </si>
  <si>
    <t>morisaki@alteche.co.jp</t>
  </si>
  <si>
    <t>株式会社アルテック</t>
  </si>
  <si>
    <t>森﨑愛結</t>
  </si>
  <si>
    <t>～500着</t>
  </si>
  <si>
    <t>入力画面: UN_お問合せ・ご相談</t>
  </si>
  <si>
    <t>t.m@suzukiarena.jp</t>
  </si>
  <si>
    <t>有限会社スズキワークス久留米</t>
  </si>
  <si>
    <t>松尾　徹</t>
  </si>
  <si>
    <t>mitsudome@koatsuind.co.jp</t>
  </si>
  <si>
    <t>コーアツ工業株式会社</t>
  </si>
  <si>
    <t>満留邦啓</t>
  </si>
  <si>
    <t>t-morita@wavelock-at.co.jp</t>
  </si>
  <si>
    <t>株式会社ウェーブロック・アドバンスト・テクノロジー</t>
  </si>
  <si>
    <t>森田崇嗣</t>
  </si>
  <si>
    <t>a.ooba@kitashikoku-g.co.jp</t>
  </si>
  <si>
    <t>株式会社北四国グラビア印刷</t>
  </si>
  <si>
    <t>大場綾菜</t>
  </si>
  <si>
    <t>shinobu-h@yabudoken.co.jp</t>
  </si>
  <si>
    <t>株式会社屋部土建</t>
  </si>
  <si>
    <t>比嘉忍</t>
  </si>
  <si>
    <t>yanai@daiwa-hi.co.jp</t>
  </si>
  <si>
    <t>株式会社ダイワハイテックス</t>
  </si>
  <si>
    <t>矢内明歌</t>
  </si>
  <si>
    <t>watanabe@washin-optical.co.jp</t>
  </si>
  <si>
    <t>株式会社　和真</t>
  </si>
  <si>
    <t>渡邊　博行</t>
  </si>
  <si>
    <t>jimu2@araki-c-co.jp</t>
  </si>
  <si>
    <t>荒木建設工業株式会社</t>
  </si>
  <si>
    <t>鈴木理沙</t>
  </si>
  <si>
    <t>kamadajunya@gmail.com</t>
  </si>
  <si>
    <t>KD</t>
  </si>
  <si>
    <t>鎌田順也</t>
  </si>
  <si>
    <t>入力画面: UN_資料ダウンロードフォーム</t>
  </si>
  <si>
    <t>yamaichi@yamaone.co.jp</t>
  </si>
  <si>
    <t>山一産業株式会社</t>
  </si>
  <si>
    <t>桂田美紀</t>
  </si>
  <si>
    <t>hiromi-suzuki@doutor.co.jp</t>
  </si>
  <si>
    <t>株式会社ドトールコーヒー</t>
  </si>
  <si>
    <t>鈴木 ヒロミ</t>
  </si>
  <si>
    <t>1000着以上</t>
  </si>
  <si>
    <t>既存顧客</t>
  </si>
  <si>
    <t>eriko.toraya@hkkg.co.jp</t>
  </si>
  <si>
    <t>北海道空港株式会社</t>
  </si>
  <si>
    <t>虎谷　えり子</t>
  </si>
  <si>
    <t>kunikiyo.y@home-tv.co.jp</t>
  </si>
  <si>
    <t>株式会社広島ホームテレビ</t>
  </si>
  <si>
    <t>國清 泰臣</t>
  </si>
  <si>
    <t>m-suzuki@aprecio.co.jp</t>
  </si>
  <si>
    <t>株式会社ａｐｒｅｃｉｏ</t>
  </si>
  <si>
    <t>鈴木恵</t>
  </si>
  <si>
    <t>kazu-sakamoto@jou.co.jp</t>
  </si>
  <si>
    <t>株式会社ウメケン</t>
  </si>
  <si>
    <t>坂本和史</t>
  </si>
  <si>
    <t>ys-akagi@plenus.co.jp</t>
  </si>
  <si>
    <t>㈱プレナス</t>
  </si>
  <si>
    <t>赤木康孝</t>
  </si>
  <si>
    <t>nagahiro@ikk-grp.jp</t>
  </si>
  <si>
    <t>アイ・ケイ・ケイホールディングス株式会社</t>
  </si>
  <si>
    <t>長廣　望美</t>
  </si>
  <si>
    <t>～1000着</t>
  </si>
  <si>
    <t>受注：OW別注（50百万）</t>
  </si>
  <si>
    <t>e.kobayashi.jp@gmail.com</t>
  </si>
  <si>
    <t>株式会社Travel98Japan</t>
  </si>
  <si>
    <t>小林恵美</t>
  </si>
  <si>
    <t>fujita@harada-co.com</t>
  </si>
  <si>
    <t>HARADA株式会社</t>
  </si>
  <si>
    <t>藤田洋介</t>
  </si>
  <si>
    <t>100～300名以上</t>
  </si>
  <si>
    <t>yano@miyazakigas.co.jp</t>
  </si>
  <si>
    <t>宮崎ガス株式会社</t>
  </si>
  <si>
    <t>矢野幸男</t>
  </si>
  <si>
    <t xml:space="preserve"> 100～300名以上</t>
  </si>
  <si>
    <t>toda@asunghmp.com</t>
  </si>
  <si>
    <t>株式会社ASUNG HMP</t>
  </si>
  <si>
    <t>頭田良二</t>
  </si>
  <si>
    <t>arimoto-takuya@jvceknwood.com</t>
  </si>
  <si>
    <t>JVCケンウッドデザイン</t>
  </si>
  <si>
    <t>有本拓也</t>
  </si>
  <si>
    <t>usuki@carrot.ocn.ne.jp</t>
  </si>
  <si>
    <t>薄木亨</t>
  </si>
  <si>
    <t>matsui@lens-associates.jp</t>
  </si>
  <si>
    <t>株式会社レンズアソシエイツ</t>
  </si>
  <si>
    <t>松井香澄</t>
  </si>
  <si>
    <t>1,001名以上</t>
  </si>
  <si>
    <t>watanabe_takao@ilca.co.jp</t>
  </si>
  <si>
    <t>株式会社イルカ</t>
  </si>
  <si>
    <t>渡邊貴夫</t>
  </si>
  <si>
    <t>y-noguchi@realgate.jp</t>
  </si>
  <si>
    <t>株式会社リアルゲイト</t>
  </si>
  <si>
    <t>野口雪見</t>
  </si>
  <si>
    <t>schedule.management.sales@gmail.com</t>
  </si>
  <si>
    <t>株式会社DIGIVALUE</t>
  </si>
  <si>
    <t>平出優</t>
  </si>
  <si>
    <t>古い為問い合わせ内容不明。営業？</t>
  </si>
  <si>
    <t>itouyu@toyodenki.co.jp</t>
  </si>
  <si>
    <t>東洋商事株式会社</t>
  </si>
  <si>
    <t>伊東祐一</t>
  </si>
  <si>
    <t>501～1,000名以上</t>
  </si>
  <si>
    <t>経由先、東洋電機製造株式会社へ提案</t>
  </si>
  <si>
    <t>goshima@takamiya.co</t>
  </si>
  <si>
    <t>株式会社タカミヤ</t>
  </si>
  <si>
    <t>五島正紀</t>
  </si>
  <si>
    <t>301～500名以上</t>
  </si>
  <si>
    <t>minemura.k@cflogi.co.jp</t>
  </si>
  <si>
    <t>（株）ヒューテックノオリン　阿見営業所</t>
  </si>
  <si>
    <t>峯村　一恵</t>
  </si>
  <si>
    <t>y.yamada@glasel.jp</t>
  </si>
  <si>
    <t>株式会社グラセル</t>
  </si>
  <si>
    <t>山田優花</t>
  </si>
  <si>
    <t>yt.23370@konamisports.com</t>
  </si>
  <si>
    <t>コナミスポーツ株式会社</t>
  </si>
  <si>
    <t>グランサイズ恵比寿ガーデン</t>
  </si>
  <si>
    <t>katou_reiko@lotte.co.jp</t>
  </si>
  <si>
    <t>株式会社ロッテ</t>
  </si>
  <si>
    <t>加藤玲子</t>
  </si>
  <si>
    <t>kikaku@mokumeganeya.com</t>
  </si>
  <si>
    <t>株式会社杢目金屋</t>
  </si>
  <si>
    <t>宮原慶子</t>
  </si>
  <si>
    <t>ayaha-yuge@takara-standard.co.jp</t>
  </si>
  <si>
    <t>タカラスタンダード株式会社</t>
  </si>
  <si>
    <t>弓削　綾羽</t>
  </si>
  <si>
    <t>allister.sweet.punks@gmail.com</t>
  </si>
  <si>
    <t>有限会社オーソライズ</t>
  </si>
  <si>
    <t>田宮雄二</t>
  </si>
  <si>
    <t>oyamada@sojitz-ti.com</t>
  </si>
  <si>
    <t>双日テックイノベーション株式会社</t>
  </si>
  <si>
    <t>小山田 速生</t>
  </si>
  <si>
    <t>aya-sasaki@tgn.co.jp</t>
  </si>
  <si>
    <t>株式会社テイクアンドギヴ・ニーズ</t>
  </si>
  <si>
    <t>佐々木綾子</t>
  </si>
  <si>
    <t>xdfFfdsfdf@gmail.com</t>
  </si>
  <si>
    <t>x</t>
  </si>
  <si>
    <t>edricko@outlook.com</t>
  </si>
  <si>
    <t>EDUX</t>
  </si>
  <si>
    <t>Edric</t>
  </si>
  <si>
    <t>ito@pearlstar.jp</t>
  </si>
  <si>
    <t>国際観光資源開発株式会社</t>
  </si>
  <si>
    <t>伊東  栄</t>
  </si>
  <si>
    <t>morita0394@modulex.jp</t>
  </si>
  <si>
    <t>株式会社モデュレックス</t>
  </si>
  <si>
    <t>森田大介</t>
  </si>
  <si>
    <t>t-matsunaga@denko-ad.co.jp</t>
  </si>
  <si>
    <t>株式会社電広</t>
  </si>
  <si>
    <t>松永　泰知</t>
  </si>
  <si>
    <t>satoru-nakamura@kinkisharyo.co.jp</t>
  </si>
  <si>
    <t>近畿車輛株式会社</t>
  </si>
  <si>
    <t>中村　悟</t>
  </si>
  <si>
    <t xml:space="preserve"> 501～1,000名以上</t>
  </si>
  <si>
    <t>受注：OWプロト別注（50百万）</t>
  </si>
  <si>
    <t>t-sato@toggle.co.jp</t>
  </si>
  <si>
    <t>フジケン株式会社</t>
  </si>
  <si>
    <t>佐藤　孝之</t>
  </si>
  <si>
    <t>seiichi.shimazu@sheraton.com</t>
  </si>
  <si>
    <t>sheraton Grande Tokyo Bay Hotel</t>
  </si>
  <si>
    <t>島津精一</t>
  </si>
  <si>
    <t>yoshiki.suzuki_211120@glv.co.jp</t>
  </si>
  <si>
    <t>株式会社IDOM</t>
  </si>
  <si>
    <t>鈴木能希</t>
  </si>
  <si>
    <t>maruyama@matsuyama.co.jp</t>
  </si>
  <si>
    <t>松山油脂株式会社</t>
  </si>
  <si>
    <t>丸山夏輝</t>
  </si>
  <si>
    <t>yuki-takamiya@yakult.co.jp</t>
  </si>
  <si>
    <t>株式会社ヤクルト本社西日本支店</t>
  </si>
  <si>
    <t>高宮祐樹</t>
  </si>
  <si>
    <t>mayumi@itscom.jo</t>
  </si>
  <si>
    <t>イッツ・コミュニケーションズ株式会社</t>
  </si>
  <si>
    <t>上岡眞由美</t>
  </si>
  <si>
    <t>古い為問い合わせ内容不明。</t>
  </si>
  <si>
    <t>rie_ogawa@musashi.co.jp</t>
  </si>
  <si>
    <t>ムサシハーベスト株式会社</t>
  </si>
  <si>
    <t>小川　理恵</t>
  </si>
  <si>
    <t>koreki@grv-jp.com</t>
  </si>
  <si>
    <t>株式会社グルーヴ</t>
  </si>
  <si>
    <t>是木唯</t>
  </si>
  <si>
    <t>n-sakota@mont-blanc.jp</t>
  </si>
  <si>
    <t>株式会社モンブラン</t>
  </si>
  <si>
    <t>迫田直幸</t>
  </si>
  <si>
    <t>kanazawa_hitoki@cyberace.co.jp</t>
  </si>
  <si>
    <t>株式会社CyberACE</t>
  </si>
  <si>
    <t>金澤 仁喜</t>
  </si>
  <si>
    <t>Hector@alfredmatcham.com</t>
  </si>
  <si>
    <t>Matcham.</t>
  </si>
  <si>
    <t>Hector Manthorpe.</t>
  </si>
  <si>
    <t>np-keibi@np-c.co.jp</t>
  </si>
  <si>
    <t>長野県パトロール株式会社</t>
  </si>
  <si>
    <t>土屋美穂</t>
  </si>
  <si>
    <t>hiroshi.miyazawa@olympus.com</t>
  </si>
  <si>
    <t>オリンパスサポートメイト（株）</t>
  </si>
  <si>
    <t>宮澤　弘</t>
  </si>
  <si>
    <t>mitaka_zoo@yahoo.co.jp</t>
  </si>
  <si>
    <t>一般社団法人　METKIDS</t>
  </si>
  <si>
    <t>吉澤　孝典</t>
  </si>
  <si>
    <t>sakurai2749@ihi-g.com</t>
  </si>
  <si>
    <t>株式会社ＩＨＩ</t>
  </si>
  <si>
    <t>櫻井 正道</t>
  </si>
  <si>
    <t>haruka.kimura@frcgroup.jp</t>
  </si>
  <si>
    <t>合同会社GOINSTYLE</t>
  </si>
  <si>
    <t>木村</t>
  </si>
  <si>
    <t>info@ma-mado.com</t>
  </si>
  <si>
    <t>アパレルM&amp;A総合センター</t>
  </si>
  <si>
    <t>村岡芳樹</t>
  </si>
  <si>
    <t>iwasaki.takashi@nikku.co.jp</t>
  </si>
  <si>
    <t>日本空調サービス株式会社</t>
    <phoneticPr fontId="18"/>
  </si>
  <si>
    <t>岩崎貴志</t>
  </si>
  <si>
    <t>案件化（26/4）</t>
    <rPh sb="0" eb="3">
      <t>アンケンカ</t>
    </rPh>
    <phoneticPr fontId="18"/>
  </si>
  <si>
    <t>to-miura@kirin.co.jp</t>
  </si>
  <si>
    <t>キリンホールディングス株式会社</t>
  </si>
  <si>
    <t>三浦　豊美</t>
  </si>
  <si>
    <t>s_maeda@meiwa-sk.jp</t>
  </si>
  <si>
    <t>盟和精工株式会社</t>
  </si>
  <si>
    <t>前田 真太郎</t>
  </si>
  <si>
    <t>hokari@cinecitta.co.jp</t>
  </si>
  <si>
    <t>㈱チネチッタ</t>
  </si>
  <si>
    <t>保苅　茂</t>
  </si>
  <si>
    <t>jinji@toshizukuri.or.jp</t>
  </si>
  <si>
    <t>公益財団法人東京都都市づくり公社</t>
  </si>
  <si>
    <t>志村隆明</t>
  </si>
  <si>
    <t>komatu.eiko@namujapan.com</t>
  </si>
  <si>
    <t>株式会社ナムコミュニケーション</t>
  </si>
  <si>
    <t>小松永子</t>
  </si>
  <si>
    <t>m_koike@takenaka-teienryokka.com</t>
  </si>
  <si>
    <t>株式会社竹中庭園緑化</t>
  </si>
  <si>
    <t>小池　美咲</t>
  </si>
  <si>
    <t>staff@uemura-kobo.com</t>
  </si>
  <si>
    <t>株式会社植村工房</t>
  </si>
  <si>
    <t>上田</t>
  </si>
  <si>
    <t>hanashiro-emi@gr.sei.co.jp</t>
  </si>
  <si>
    <t>住友電子プリントサーキット㈱</t>
  </si>
  <si>
    <t>花城　恵美</t>
  </si>
  <si>
    <t>takeda.junpei@nichicon.com</t>
  </si>
  <si>
    <t>ニチコン株式会社</t>
  </si>
  <si>
    <t>武田旬平</t>
  </si>
  <si>
    <t>提案済み案件</t>
  </si>
  <si>
    <t>akihito@rkoubou.com</t>
  </si>
  <si>
    <t>R工房株式会社</t>
  </si>
  <si>
    <t>鈴木　啓士</t>
  </si>
  <si>
    <t>お断り</t>
  </si>
  <si>
    <t>shayashi@initias.co.jp</t>
  </si>
  <si>
    <t>イニシアス株式会社</t>
  </si>
  <si>
    <t>林佐和子</t>
  </si>
  <si>
    <t>進捗不明</t>
  </si>
  <si>
    <t>saijo@fairstone.jp</t>
  </si>
  <si>
    <t>フェアストーン株式会社</t>
  </si>
  <si>
    <t>サイジョウナオキ</t>
  </si>
  <si>
    <t>kengo.todaka@dkn.co.jp</t>
  </si>
  <si>
    <t>株式会社デンケン</t>
  </si>
  <si>
    <t>戸髙賢吾</t>
  </si>
  <si>
    <t>kenj.tashiro.a@ccbji.co.jp</t>
  </si>
  <si>
    <t>株式会社onEQuest（ワンクエスト）</t>
  </si>
  <si>
    <t>田代健志</t>
  </si>
  <si>
    <t>mikihisa_mitsui@caddi.com</t>
  </si>
  <si>
    <t>キャディ株式会社</t>
  </si>
  <si>
    <t>三井幹久</t>
  </si>
  <si>
    <t>ay2-watanabe@meijiyasuda-group.com</t>
  </si>
  <si>
    <t>明治安田損害保険株式会社</t>
  </si>
  <si>
    <t>渡部あゆみ</t>
  </si>
  <si>
    <t>担当不明</t>
  </si>
  <si>
    <t>t.muto@keisei-const.jp</t>
  </si>
  <si>
    <t>京成建設株式会社</t>
  </si>
  <si>
    <t>武藤　知子</t>
  </si>
  <si>
    <t>受注：コーコス別注（30百万）</t>
  </si>
  <si>
    <t>a.nagata@c-nexco-hmn.jp</t>
  </si>
  <si>
    <t>中日本ハイウェイ・メンテナンス名古屋株式会社</t>
    <phoneticPr fontId="18"/>
  </si>
  <si>
    <t>永田　あや</t>
  </si>
  <si>
    <t>商談化</t>
    <rPh sb="0" eb="3">
      <t>ショウダンカ</t>
    </rPh>
    <phoneticPr fontId="18"/>
  </si>
  <si>
    <t>ryo.e.matsuoka@rakuten.com</t>
  </si>
  <si>
    <t>楽天カード</t>
  </si>
  <si>
    <t>松岡　涼</t>
  </si>
  <si>
    <t>noda@3kyodenki.com</t>
  </si>
  <si>
    <t>三共電機株式会社</t>
  </si>
  <si>
    <t>野田</t>
  </si>
  <si>
    <t>sh_toyomura@qtnet.co.jp</t>
  </si>
  <si>
    <t>株式会社　QTnet</t>
  </si>
  <si>
    <t>豊村修司</t>
  </si>
  <si>
    <t>akihiro.fukunaga@campari.com</t>
  </si>
  <si>
    <t>CAMPARI JAPAN株式会社</t>
  </si>
  <si>
    <t>福永 晃樹裕</t>
  </si>
  <si>
    <t>too@ily.today</t>
  </si>
  <si>
    <t>ILY株式会社</t>
  </si>
  <si>
    <t>辻原咲紀</t>
  </si>
  <si>
    <t>m-kurahashi@meg-snow.com</t>
  </si>
  <si>
    <t>雪印メグミルク株式会社</t>
  </si>
  <si>
    <t>倉橋真知子</t>
  </si>
  <si>
    <t>shimada.t@gokei-g.com</t>
  </si>
  <si>
    <t>㈱BJ</t>
  </si>
  <si>
    <t>嶋田</t>
  </si>
  <si>
    <t>noriaki227@icloud.com</t>
  </si>
  <si>
    <t>株式会社TMS工業</t>
  </si>
  <si>
    <t>白石　紀輝</t>
  </si>
  <si>
    <t>somu.ghq@iwasaki-group.com</t>
  </si>
  <si>
    <t>岩崎産業㈱</t>
  </si>
  <si>
    <t>長谷川美紀</t>
  </si>
  <si>
    <t>megumih@vfsglobal.com</t>
  </si>
  <si>
    <t>合同会社VFSサービシズ・ジャパン</t>
  </si>
  <si>
    <t>日比野</t>
  </si>
  <si>
    <t>y.yamashita@teijin-nakashima.co.jp</t>
  </si>
  <si>
    <t>帝人ナカシマメディカル株式会社</t>
  </si>
  <si>
    <t>山下　有貴</t>
  </si>
  <si>
    <t>uchida.nozomi@zazainfo-mail.com</t>
  </si>
  <si>
    <t>ZAZA株式会社</t>
  </si>
  <si>
    <t>内田　望</t>
  </si>
  <si>
    <t>ksetoyama@seino.co.jp</t>
  </si>
  <si>
    <t>西濃運輸株式会社</t>
  </si>
  <si>
    <t>瀬戸山開威</t>
  </si>
  <si>
    <t>営業メール</t>
  </si>
  <si>
    <t>rindo@groupeseb.com</t>
  </si>
  <si>
    <t>株式会社グループセブジャパン</t>
  </si>
  <si>
    <t>印藤るり</t>
  </si>
  <si>
    <t xml:space="preserve"> 501～1,000名</t>
  </si>
  <si>
    <t>既製品失注</t>
  </si>
  <si>
    <t>dai.nakajima@k-setagaya.co.jp</t>
  </si>
  <si>
    <t>関東総業株式会社</t>
  </si>
  <si>
    <t>中島　大</t>
  </si>
  <si>
    <t>100～300名</t>
  </si>
  <si>
    <t>kkatabu@mmtc.co.jp</t>
  </si>
  <si>
    <t>三菱マテリアルトレーディング株式会社</t>
  </si>
  <si>
    <t>潟淵規予子</t>
  </si>
  <si>
    <t>口座開設目指してアプローチ中</t>
  </si>
  <si>
    <t>oosaka@jugen.net</t>
  </si>
  <si>
    <t>株式会社テクノマテリアル</t>
  </si>
  <si>
    <t>大坂</t>
  </si>
  <si>
    <t>不明</t>
  </si>
  <si>
    <t>r-aoki@tokyogiken.com</t>
  </si>
  <si>
    <t>株式会社東京技研</t>
  </si>
  <si>
    <t>青木 里沙</t>
  </si>
  <si>
    <t>e-nakakita@katumasa.jp</t>
  </si>
  <si>
    <t>株式会社レ・ヴァン</t>
  </si>
  <si>
    <t>中北　絵梨</t>
  </si>
  <si>
    <t>301～500名</t>
  </si>
  <si>
    <t>saito@atmass.co.jp</t>
  </si>
  <si>
    <t>株式会社サンライズ・ファシリティーズ</t>
  </si>
  <si>
    <t>斉藤正企</t>
  </si>
  <si>
    <t>h_ohara@amicus-1981.jp</t>
  </si>
  <si>
    <t>株式会社アミークス</t>
  </si>
  <si>
    <t>小原春菜</t>
  </si>
  <si>
    <t>アプローチ中→ペンディング中（2025/10）</t>
  </si>
  <si>
    <t>shinnou.shimizu06@gmail.com</t>
  </si>
  <si>
    <t>株式会社　神農</t>
  </si>
  <si>
    <t>清水　賢一朗</t>
  </si>
  <si>
    <t>shinomoto.akihiro@mail.sharp</t>
  </si>
  <si>
    <t>シャープ株式会社</t>
  </si>
  <si>
    <t>篠本　暁大</t>
  </si>
  <si>
    <t>アプローチ中→進展なし（2025/10）</t>
  </si>
  <si>
    <t>a.miwa@watari.com</t>
  </si>
  <si>
    <t>株式会社ワタリ</t>
  </si>
  <si>
    <t>三輪 章寛</t>
  </si>
  <si>
    <t>d.suzuki@musashino-higashi.org</t>
  </si>
  <si>
    <t>学校法人武蔵野東学園</t>
  </si>
  <si>
    <t>鈴木 大士</t>
  </si>
  <si>
    <t>sato-hiroto@t-hoan.or.jp</t>
  </si>
  <si>
    <t>一般財団法人東北電気保安協会</t>
  </si>
  <si>
    <t>佐藤　浩大（さとう　ひろと）</t>
  </si>
  <si>
    <t>受注：東北電気保安協会（80百万）</t>
    <rPh sb="0" eb="2">
      <t>ジュチュウ</t>
    </rPh>
    <rPh sb="3" eb="11">
      <t>トウホクデンキホアンキョウカイ</t>
    </rPh>
    <rPh sb="14" eb="16">
      <t>ヒャクマン</t>
    </rPh>
    <phoneticPr fontId="18"/>
  </si>
  <si>
    <t>a-sato@stylex.co.jp</t>
  </si>
  <si>
    <t>株式会社スタイレックス・コンサルタント</t>
  </si>
  <si>
    <t>佐藤　藍</t>
  </si>
  <si>
    <t>tomotsuguyoko@meeth.jp</t>
  </si>
  <si>
    <t>株式会社meeth</t>
  </si>
  <si>
    <t>友次陽子</t>
  </si>
  <si>
    <t>kyoko.yokoyama@alpenrose.co.jp</t>
  </si>
  <si>
    <t>アルペンローゼ株式会社</t>
  </si>
  <si>
    <t>横山杏子</t>
  </si>
  <si>
    <t>yamano@miduno.co.jp</t>
  </si>
  <si>
    <t>株式会社水野</t>
  </si>
  <si>
    <t>山野　陽平</t>
  </si>
  <si>
    <t>emi.fujisaki@pjkk.co.jp</t>
  </si>
  <si>
    <t>パルマスティーリザ・ジャパン株式会社</t>
  </si>
  <si>
    <t>藤崎重美</t>
  </si>
  <si>
    <t xml:space="preserve"> 100～300名</t>
  </si>
  <si>
    <t>k-kiyota@stknet.co.jp</t>
  </si>
  <si>
    <t>新生テクノス株式会社</t>
  </si>
  <si>
    <t>清田康一</t>
  </si>
  <si>
    <t>アプローチ中→2027MCの意向</t>
  </si>
  <si>
    <t>yasuoka.shunya@tyo.co.jp</t>
  </si>
  <si>
    <t>株式会社TYO</t>
  </si>
  <si>
    <t>安岡駿也</t>
  </si>
  <si>
    <t>oshida@fstage.co.jp</t>
  </si>
  <si>
    <t>エフステージ</t>
  </si>
  <si>
    <t>押田ゆり</t>
  </si>
  <si>
    <t>akihiro.henmi@aiskk.co.jp</t>
  </si>
  <si>
    <t>旭情報サービス</t>
  </si>
  <si>
    <t>逸見明弘</t>
  </si>
  <si>
    <t>shouji@japan-port-s.co.jp</t>
  </si>
  <si>
    <t>ジャパン・ポートサービス株式会社</t>
  </si>
  <si>
    <t>小路　大雅</t>
  </si>
  <si>
    <t>h.miyoshi@kyoto-public.or.jp</t>
  </si>
  <si>
    <t>一般財団法人京都市都市整備公社</t>
  </si>
  <si>
    <t>三好日向子</t>
  </si>
  <si>
    <t>t.yamada.smile8153@gmail.com</t>
  </si>
  <si>
    <t>有限会社スマイル</t>
  </si>
  <si>
    <t>山田智哉</t>
  </si>
  <si>
    <t>kk_0650@tacmina.co.jp</t>
  </si>
  <si>
    <t>株式会社タクミナ</t>
  </si>
  <si>
    <t>鎌倉健太郎</t>
  </si>
  <si>
    <t>提案中：コーコス既製品提案中（2025/10）</t>
  </si>
  <si>
    <t>matsuo.sk@nipporikako.jp</t>
  </si>
  <si>
    <t>日ポリ化工株式会社</t>
    <phoneticPr fontId="18"/>
  </si>
  <si>
    <t>松尾　桜子</t>
  </si>
  <si>
    <t>受注：日ポリ化工（50百万）</t>
    <rPh sb="0" eb="2">
      <t>ジュチュウ</t>
    </rPh>
    <rPh sb="3" eb="4">
      <t>ヒ</t>
    </rPh>
    <rPh sb="6" eb="8">
      <t>カコウ</t>
    </rPh>
    <rPh sb="11" eb="13">
      <t>ヒャクマン</t>
    </rPh>
    <phoneticPr fontId="18"/>
  </si>
  <si>
    <t>t.ohira@asahi-1921.co.jp</t>
  </si>
  <si>
    <t>旭商事株式会社</t>
  </si>
  <si>
    <t>大平　達郎</t>
  </si>
  <si>
    <t>kooriyama@keiai-net.com</t>
  </si>
  <si>
    <t>郡山敬愛幼稚園</t>
  </si>
  <si>
    <t>大津</t>
  </si>
  <si>
    <t>vol@kahaku.go.jp</t>
  </si>
  <si>
    <t>独立行政法人国立科学博物館</t>
  </si>
  <si>
    <t>久我昌江</t>
  </si>
  <si>
    <t>s-horie@fjtex.co.jp</t>
  </si>
  <si>
    <t>株式会社フジテックス</t>
  </si>
  <si>
    <t>堀江曉</t>
  </si>
  <si>
    <t>大津桂子</t>
  </si>
  <si>
    <t>maekawa@mcto.co.jp</t>
  </si>
  <si>
    <t>株式会社マーケティング・コミュニケーションズ</t>
  </si>
  <si>
    <t>前川彩</t>
  </si>
  <si>
    <t>miho@brass.ne.jp</t>
  </si>
  <si>
    <t>株式会社ブラス</t>
  </si>
  <si>
    <t>稲山美穂</t>
  </si>
  <si>
    <t>t.matsubara@hor.co.jp</t>
  </si>
  <si>
    <t>株式会社ハウスオブローゼ</t>
  </si>
  <si>
    <t>松原達人</t>
  </si>
  <si>
    <t>501～1,000名</t>
  </si>
  <si>
    <t>提案中：カーシーオリジナル提案中</t>
  </si>
  <si>
    <t>miyaki@plaport.co.jp</t>
  </si>
  <si>
    <t>株式会社プラポート</t>
  </si>
  <si>
    <t>宮季　高正</t>
  </si>
  <si>
    <t>soumu@lac-corp.com</t>
  </si>
  <si>
    <t>(株)ラックコーポレーション</t>
  </si>
  <si>
    <t>関根　永梨</t>
  </si>
  <si>
    <t>反応待ち</t>
  </si>
  <si>
    <t>aaa@gmail.com</t>
  </si>
  <si>
    <t>test</t>
  </si>
  <si>
    <t>k.tanaka@waltz.co.jp</t>
  </si>
  <si>
    <t>ワルツカブシキガイシャ</t>
  </si>
  <si>
    <t>田中　香織</t>
  </si>
  <si>
    <t>shuya-s@sarashina-s.co.jp</t>
  </si>
  <si>
    <t>株式会社更科製作所</t>
  </si>
  <si>
    <t>更科秀哉</t>
  </si>
  <si>
    <t>slife-soumu@s-aiyu.jp</t>
  </si>
  <si>
    <t>株式会社エスライフ</t>
  </si>
  <si>
    <t>木山　彰</t>
  </si>
  <si>
    <t>terajima.sb@om.asahi-kasei.co.jp</t>
  </si>
  <si>
    <t>旭化成メディカルMT</t>
  </si>
  <si>
    <t>寺嶋 修司</t>
  </si>
  <si>
    <t>受注：旭化成メディカル　OW別注（30百万）</t>
  </si>
  <si>
    <t>y-yamauchi@chibadenki.co.jp</t>
  </si>
  <si>
    <t>千葉電気工事株式会社</t>
  </si>
  <si>
    <t>山内悠也</t>
  </si>
  <si>
    <t>motofumi.yagi@yaegaki.com</t>
  </si>
  <si>
    <t>ヤヱガキジャパン株式会社</t>
  </si>
  <si>
    <t>八木基文</t>
  </si>
  <si>
    <t>masuda.tadanobu@nankai.co.jp</t>
  </si>
  <si>
    <t>南海電気鉄道株式会社</t>
  </si>
  <si>
    <t>増田　忠信</t>
  </si>
  <si>
    <t>フォローなし</t>
  </si>
  <si>
    <t>angstang88@gmail.com</t>
  </si>
  <si>
    <t>清藤歯科医院</t>
  </si>
  <si>
    <t>angs TANG</t>
  </si>
  <si>
    <t>t-matsumoto@kankyo-kodama.co.jp</t>
  </si>
  <si>
    <t>株式会社こだま</t>
  </si>
  <si>
    <t>松本拓也</t>
  </si>
  <si>
    <t>k_nagano@toei-eigamura.co.jp</t>
  </si>
  <si>
    <t>株式会社東映京都スタジオ</t>
  </si>
  <si>
    <t>長野加奈</t>
  </si>
  <si>
    <t>mayu-watanabe@menicon.co.jp</t>
  </si>
  <si>
    <t>株式会社メニコン</t>
  </si>
  <si>
    <t>渡辺　真由</t>
  </si>
  <si>
    <t>提案中：デザインプレゼン中（2025/11）</t>
  </si>
  <si>
    <t>msasamor@sbigroup.co.jp</t>
  </si>
  <si>
    <t>SBIリクイディティ・マーケット(株)</t>
  </si>
  <si>
    <t>笹森</t>
  </si>
  <si>
    <t>nana.tsuhara@yamagiwa.co.jp</t>
  </si>
  <si>
    <t>株式会社YAMAGIWA</t>
  </si>
  <si>
    <t>津原奈々</t>
  </si>
  <si>
    <t>h-tamaki@tg-lifeval.com</t>
  </si>
  <si>
    <t>東京ガスイズミエナジー（株）</t>
  </si>
  <si>
    <t>玉木翔月</t>
  </si>
  <si>
    <t>h-asakura@treebell-jp.com</t>
  </si>
  <si>
    <t>ツリーベル株式会社</t>
  </si>
  <si>
    <t>朝倉　遥</t>
  </si>
  <si>
    <t>朝倉遥</t>
  </si>
  <si>
    <t>komai@komaidoken.jp</t>
  </si>
  <si>
    <t>駒井土建株式会社</t>
    <phoneticPr fontId="18"/>
  </si>
  <si>
    <t>駒井　壮</t>
  </si>
  <si>
    <t>otake@tomoness.com</t>
  </si>
  <si>
    <t>九州産業大学</t>
  </si>
  <si>
    <t>大竹将嗣</t>
  </si>
  <si>
    <t>t-kato@kanuma-g.com</t>
  </si>
  <si>
    <t>株式会社鹿沼カントリー俱楽部</t>
  </si>
  <si>
    <t>加藤崇晶</t>
  </si>
  <si>
    <t>info@oriental-allure.com</t>
  </si>
  <si>
    <t>Oriental Allure</t>
    <phoneticPr fontId="18"/>
  </si>
  <si>
    <t>田中</t>
  </si>
  <si>
    <t>nishimiya@koshi.co.jp</t>
  </si>
  <si>
    <t>（株）越村商店</t>
  </si>
  <si>
    <t>西宮美樹</t>
  </si>
  <si>
    <t>v760202@ur-net.go.jp</t>
  </si>
  <si>
    <t>株式会社URコミュニティ</t>
    <phoneticPr fontId="18"/>
  </si>
  <si>
    <t>受注（1月末）</t>
  </si>
  <si>
    <t>daisuke.yamashita3@bridgestone.com</t>
  </si>
  <si>
    <t>㈱ブリヂストン</t>
  </si>
  <si>
    <t>山下大祐</t>
  </si>
  <si>
    <t>SQLつながらず（2025/11）</t>
  </si>
  <si>
    <t>ishida@tama-chem.co.jp</t>
  </si>
  <si>
    <t>多摩化学工業株式会社</t>
    <phoneticPr fontId="18"/>
  </si>
  <si>
    <t>石田洋之</t>
  </si>
  <si>
    <t>提案中（2025/11）</t>
  </si>
  <si>
    <t>k.utamura@y-daiichi.com</t>
  </si>
  <si>
    <t>山口第一株式会社　</t>
  </si>
  <si>
    <t>宇多村　栞奈</t>
  </si>
  <si>
    <t>yuma.suzuki@veolia.com</t>
  </si>
  <si>
    <t>ヴェオリア・ジェネッツ株式会社</t>
    <phoneticPr fontId="18"/>
  </si>
  <si>
    <t>鈴木　勇真</t>
  </si>
  <si>
    <t>ami.nakazawa@plaisir.jp</t>
  </si>
  <si>
    <t>株式会社プレジィール</t>
    <phoneticPr fontId="18"/>
  </si>
  <si>
    <t>アプローチ中（2025/10）</t>
  </si>
  <si>
    <t>e-yasuike@airport-restaurant.co.jp</t>
  </si>
  <si>
    <t>東京エアポートレストラン株式会社</t>
    <phoneticPr fontId="18"/>
  </si>
  <si>
    <t>MC取りやめ（2025/10）</t>
  </si>
  <si>
    <t>a.kobayashi@aqua-yokohama.co.jp</t>
  </si>
  <si>
    <t>株式会社AQUA</t>
    <phoneticPr fontId="18"/>
  </si>
  <si>
    <t>小林 彩</t>
  </si>
  <si>
    <t>sayuri19880205@icloud.com</t>
  </si>
  <si>
    <t>日本製鋼所</t>
  </si>
  <si>
    <t>榎本早百合</t>
  </si>
  <si>
    <t>k.tashiro@showa-aircraft.co.jp</t>
  </si>
  <si>
    <t>昭和飛行機工業</t>
    <phoneticPr fontId="18"/>
  </si>
  <si>
    <t>k-kato@yosami.co.jp</t>
  </si>
  <si>
    <t>株式会社依佐美</t>
  </si>
  <si>
    <t>加藤一憲</t>
  </si>
  <si>
    <t>eiichi.suzuki@bridgestone.com</t>
  </si>
  <si>
    <t>株式会社ブリヂストン</t>
  </si>
  <si>
    <t>鈴木栄一</t>
  </si>
  <si>
    <t>カウント済み</t>
    <rPh sb="4" eb="5">
      <t>ズ</t>
    </rPh>
    <phoneticPr fontId="18"/>
  </si>
  <si>
    <t>i.omura@nittai-since1957.co.jp</t>
  </si>
  <si>
    <t>株式会社NITTAI</t>
  </si>
  <si>
    <t>大村一貴</t>
  </si>
  <si>
    <t>kato@marukichi-inc.co.jp</t>
  </si>
  <si>
    <t>株式会社マルキチ</t>
  </si>
  <si>
    <t>加藤真也</t>
  </si>
  <si>
    <t>eiichi-kawamura@belluna.co.jp</t>
  </si>
  <si>
    <t>株式会社ベルーナ</t>
    <phoneticPr fontId="18"/>
  </si>
  <si>
    <t>河村英一</t>
  </si>
  <si>
    <t>mayu-tz@riso.co.jp</t>
  </si>
  <si>
    <t>理想科学工業株式会社　</t>
  </si>
  <si>
    <t>アプローチ中（2025/11）</t>
  </si>
  <si>
    <t>akita.tomonari@system.nikku.co.jp</t>
  </si>
  <si>
    <t>日本空調システム㈱</t>
    <phoneticPr fontId="18"/>
  </si>
  <si>
    <t>秋田　知成</t>
  </si>
  <si>
    <t>satoshi.o.cts@gmail.com</t>
  </si>
  <si>
    <t>コンクリートテクニカルサービス（株）</t>
  </si>
  <si>
    <t>小澤 聡</t>
  </si>
  <si>
    <t>aoyama@xerojapan.com</t>
  </si>
  <si>
    <t>XeroJapan株式会社</t>
  </si>
  <si>
    <t>青山凌大</t>
  </si>
  <si>
    <t>r.uotani@taiei.cc</t>
  </si>
  <si>
    <t>株式会社大栄カントリー</t>
  </si>
  <si>
    <t>魚谷　隆太</t>
  </si>
  <si>
    <t>tomotaka@ochiaijk.co.jp</t>
  </si>
  <si>
    <t>落合住宅機器株式会社</t>
  </si>
  <si>
    <t>落合智貴</t>
  </si>
  <si>
    <t>n1413kojima@kencorp.co.jp</t>
  </si>
  <si>
    <t>株式会社ケン・コーポレーション</t>
    <phoneticPr fontId="18"/>
  </si>
  <si>
    <t>ono@marinemesse.or.jp</t>
  </si>
  <si>
    <t>一般財団法人福岡コンベンションセンター</t>
  </si>
  <si>
    <t>大野秀平</t>
  </si>
  <si>
    <t>fujimaki@satokeiki.com</t>
  </si>
  <si>
    <t>株式会社佐藤計器製作所</t>
    <phoneticPr fontId="18"/>
  </si>
  <si>
    <t>藤巻美雪</t>
  </si>
  <si>
    <t>natsumi.toda@toppan.co.jp</t>
  </si>
  <si>
    <t>TOPPAN株式会社</t>
    <phoneticPr fontId="18"/>
  </si>
  <si>
    <t>戸田夏美</t>
  </si>
  <si>
    <t>スガキコシステムUNペンディング中</t>
  </si>
  <si>
    <t>nakase@e-log.co.jp</t>
  </si>
  <si>
    <t>栄進物流株式会社</t>
  </si>
  <si>
    <t>中瀬　雄介</t>
  </si>
  <si>
    <t>nagata.s@yorozubutsuryu.com</t>
  </si>
  <si>
    <t>株式会社ヨロズ物流</t>
  </si>
  <si>
    <t>永田　冴子</t>
  </si>
  <si>
    <t>入力画面: UN_お問合せ・ご相談</t>
    <phoneticPr fontId="18"/>
  </si>
  <si>
    <t>kimura@aokimfg.com</t>
  </si>
  <si>
    <t>株式会社青木工業</t>
  </si>
  <si>
    <t>木村明香</t>
  </si>
  <si>
    <t>ito@shijo.co.jp</t>
  </si>
  <si>
    <t>名古屋市場運輸株式会社</t>
    <phoneticPr fontId="18"/>
  </si>
  <si>
    <t>伊藤</t>
  </si>
  <si>
    <t>nakazawa@marunakahd.jp</t>
  </si>
  <si>
    <t>(株)ナカザワ</t>
    <phoneticPr fontId="18"/>
  </si>
  <si>
    <t>tm_iida@jp.daicel.com</t>
  </si>
  <si>
    <t>ＤＭノバフォーム株式会社</t>
    <phoneticPr fontId="18"/>
  </si>
  <si>
    <t>飯田　智康</t>
  </si>
  <si>
    <t>yumi_uegomori@oie.co.jp</t>
  </si>
  <si>
    <t>尾家産業株式会社</t>
    <phoneticPr fontId="18"/>
  </si>
  <si>
    <t>t-matsumura@satake-japan.co.jp</t>
  </si>
  <si>
    <t>(株)サタケ</t>
    <phoneticPr fontId="18"/>
  </si>
  <si>
    <t>松村　隆</t>
  </si>
  <si>
    <t>suzuka.moronaga@decoboco-base.com</t>
  </si>
  <si>
    <t>デコボコベース株式会社</t>
    <phoneticPr fontId="18"/>
  </si>
  <si>
    <t>諸永涼香</t>
  </si>
  <si>
    <t>kashiwano-s@k-kuroko.co.jp</t>
  </si>
  <si>
    <t>株式会社ＫＵＲＯＫＯ</t>
    <phoneticPr fontId="18"/>
  </si>
  <si>
    <t>柏野しのぶ</t>
  </si>
  <si>
    <t>katsuhiro.endo@clex.jp</t>
  </si>
  <si>
    <t>株式会社クレックス</t>
  </si>
  <si>
    <t>遠藤　勝広</t>
  </si>
  <si>
    <t>k-fukumoto@kuwazawa.co.jp</t>
  </si>
  <si>
    <t>株式会社クワザワ</t>
  </si>
  <si>
    <t>入力画面: UN_WPダウンロードフォーム_オリジナルユニフォームの導入推進ガイド</t>
  </si>
  <si>
    <t>tomohiro.hirano@krf.kowa-re.co.jp</t>
  </si>
  <si>
    <t>興和不動産ファシリティーズ㈱</t>
  </si>
  <si>
    <t>現行納入ユーザー</t>
  </si>
  <si>
    <t>shiho.tsukada@sanyodenki.com</t>
  </si>
  <si>
    <t>山洋電気株式会社</t>
  </si>
  <si>
    <t>rumiwei@lakatex.com</t>
  </si>
  <si>
    <t>laka enterprise</t>
  </si>
  <si>
    <t>wei</t>
  </si>
  <si>
    <t>takei@casadangela.com</t>
  </si>
  <si>
    <t>株式会社クリスタルインターナショナル</t>
  </si>
  <si>
    <t>武井未紗紀</t>
  </si>
  <si>
    <t>go@nakae-sangyo.com</t>
  </si>
  <si>
    <t>中江産業</t>
  </si>
  <si>
    <t>中江　剛</t>
  </si>
  <si>
    <t>m.nakajima@event-medic.jp</t>
  </si>
  <si>
    <t>イベントメディック</t>
  </si>
  <si>
    <t>中島正崇</t>
  </si>
  <si>
    <t>masuzawa-hikaru@eat-and.jp</t>
  </si>
  <si>
    <t>株式会社イートアンドフーズ</t>
  </si>
  <si>
    <t>shibuya@ohtapub.co.jp</t>
  </si>
  <si>
    <t>株式会社オータパブリケイションズ</t>
  </si>
  <si>
    <t>渋谷大紀</t>
  </si>
  <si>
    <t>siotani-ri@star.dnt.co.jp</t>
  </si>
  <si>
    <t>大日本塗料株式会社</t>
  </si>
  <si>
    <t>塩谷リサ</t>
  </si>
  <si>
    <t>t-shimizu@kanazawa-kk.co.jp</t>
  </si>
  <si>
    <t>金澤工業株式会社</t>
  </si>
  <si>
    <t>清水俊彦</t>
  </si>
  <si>
    <t>kazuyuki.konuma@tokyo-denshi.jp</t>
  </si>
  <si>
    <t>東京電子工業株式会社</t>
  </si>
  <si>
    <t>小沼和之</t>
  </si>
  <si>
    <t>y.taniguchi.nicco@gmail.com</t>
  </si>
  <si>
    <t>株式会社ニッコーインテック</t>
  </si>
  <si>
    <t>谷口陽子</t>
  </si>
  <si>
    <t>marin@rainbowinc.jp</t>
  </si>
  <si>
    <t>アンドレインボー株式会社</t>
  </si>
  <si>
    <t>渡邊真凜</t>
  </si>
  <si>
    <t>takamori@kurata-create.co.jp</t>
  </si>
  <si>
    <t>株式会社クラタクリエイト</t>
  </si>
  <si>
    <t>高森　健</t>
  </si>
  <si>
    <t>moeka.terasaka@gigo.co.jp</t>
  </si>
  <si>
    <t>株式会社GENDA GiGO Entertainment</t>
  </si>
  <si>
    <t>寺坂 萌夏</t>
  </si>
  <si>
    <t>takumi_iwama@niyac.co.jp</t>
  </si>
  <si>
    <t>株式会社ニヤクコーポレーション</t>
  </si>
  <si>
    <t>提案中（2025/10）</t>
  </si>
  <si>
    <t>yayoi-yamasaki@hanshin-tech.co.jp</t>
  </si>
  <si>
    <t>阪神高速技研株式会社</t>
  </si>
  <si>
    <t>ペンディング</t>
  </si>
  <si>
    <t>takahashi-n@udk.co.jp</t>
  </si>
  <si>
    <t>株式会社ユーディケー</t>
  </si>
  <si>
    <t>高橋　延幸</t>
  </si>
  <si>
    <t>saito@ss-m.jp</t>
  </si>
  <si>
    <t>株式会社スクラッチシステムマネージメンツ</t>
  </si>
  <si>
    <t>齋藤智行</t>
  </si>
  <si>
    <t>saori.futakami@flowergate.co.jp</t>
  </si>
  <si>
    <t>株式会社花門フラワーゲート</t>
  </si>
  <si>
    <t>二上さおり</t>
  </si>
  <si>
    <t>dongk8852@naver.com</t>
  </si>
  <si>
    <t>주식회사 엠에스이노버</t>
  </si>
  <si>
    <t>한동경</t>
  </si>
  <si>
    <t>y-origuchi@st-grp.co.jp</t>
  </si>
  <si>
    <t>西日本建材工業株式会社</t>
  </si>
  <si>
    <t>折口　洋一</t>
  </si>
  <si>
    <t>入力画面: UN_WP2ダウンロードフォーム_ユニフォーム導入の事前準備チェックシート</t>
  </si>
  <si>
    <t>k-komatsu@kanazawa-kk.co.jp</t>
  </si>
  <si>
    <t>小松香織</t>
  </si>
  <si>
    <t>yokoyama@asoblock.net</t>
  </si>
  <si>
    <t>アソブロック株式会社</t>
  </si>
  <si>
    <t>横山竣平</t>
  </si>
  <si>
    <t>kikaku@tokocreate.co.jp</t>
  </si>
  <si>
    <t>株式会社東光クリエート</t>
  </si>
  <si>
    <t>西尾　圭司</t>
  </si>
  <si>
    <t>miwa@naturelive.co.jp</t>
  </si>
  <si>
    <t>合同会社ネイチャートラベルジャパン</t>
  </si>
  <si>
    <t>三輪　健一朗</t>
  </si>
  <si>
    <t>kikoya@lm-s.jp</t>
  </si>
  <si>
    <t>株式会社エルムズクリエイト　</t>
  </si>
  <si>
    <t>亀甲谷 茂樹</t>
  </si>
  <si>
    <t>n-ishikawa@strois.co.jp</t>
  </si>
  <si>
    <t>株式会社エストロワ</t>
  </si>
  <si>
    <t>石川　名美</t>
  </si>
  <si>
    <t>kimi@takamiya.co</t>
  </si>
  <si>
    <t>紀見 香理</t>
  </si>
  <si>
    <t>オーガニック検索</t>
  </si>
  <si>
    <t>akiko.miyazaki@tokyu-pm.co.jp</t>
  </si>
  <si>
    <t>東急プロパティマネジメント株式会社</t>
  </si>
  <si>
    <t>オフラインソース</t>
  </si>
  <si>
    <t>MC検討中（2025/10）</t>
  </si>
  <si>
    <t>saitou-r@dentsu-pmp.co.jp</t>
  </si>
  <si>
    <t>株式会社電通プロモーションプラス</t>
  </si>
  <si>
    <t>齋藤 璃乃</t>
  </si>
  <si>
    <t>検索連動型広告</t>
  </si>
  <si>
    <t>ayuka-sato@escrit.jp</t>
  </si>
  <si>
    <t>株式会社エスクリ</t>
  </si>
  <si>
    <t>佐藤あゆか</t>
  </si>
  <si>
    <t>sh-sugiyama@seria-tksk.jp</t>
  </si>
  <si>
    <t>セリアエンジニアリング株式会社</t>
  </si>
  <si>
    <t>杉山　史絵</t>
  </si>
  <si>
    <t>登録なし</t>
  </si>
  <si>
    <t>sh-wada@seria-tksk.jp</t>
  </si>
  <si>
    <t>株式会社セリアエンジニアリング</t>
  </si>
  <si>
    <t>和田慎二郎</t>
  </si>
  <si>
    <t>h.kimura@daiwashiryo.co.jp</t>
  </si>
  <si>
    <t>大和紙料株式会社</t>
  </si>
  <si>
    <t>木村　寛富</t>
  </si>
  <si>
    <t>yoko-ito@skylark.co.jp</t>
  </si>
  <si>
    <t>株式会社すかいらーくホールディングス</t>
  </si>
  <si>
    <t>伊東陽子</t>
  </si>
  <si>
    <t>リファーラル</t>
  </si>
  <si>
    <t>アプローチ中（26/1）</t>
    <rPh sb="5" eb="6">
      <t>チュウ</t>
    </rPh>
    <phoneticPr fontId="18"/>
  </si>
  <si>
    <t>tsuji@clean.co.jp</t>
  </si>
  <si>
    <t>クリーン・テクノロジー株式会社</t>
  </si>
  <si>
    <t>辻　直子</t>
  </si>
  <si>
    <t>直接トラフィック</t>
  </si>
  <si>
    <t>ohashi_m@socie.biz</t>
  </si>
  <si>
    <t>株式会社ソシエ・ワールド</t>
  </si>
  <si>
    <t>既存ユーザー（別部署より問い合わせ）</t>
  </si>
  <si>
    <t>terabayashi-daichi@ttech.co.jp</t>
  </si>
  <si>
    <t>JR東日本テクノロジー株式会社</t>
    <phoneticPr fontId="18"/>
  </si>
  <si>
    <t>アプローチ中（2026/2）コンペ予定</t>
    <rPh sb="17" eb="19">
      <t>ヨテイ</t>
    </rPh>
    <phoneticPr fontId="18"/>
  </si>
  <si>
    <t>yosuke.taguchi@reiri.co.jp</t>
  </si>
  <si>
    <t>株式会社Reiri</t>
  </si>
  <si>
    <t>田口陽介</t>
  </si>
  <si>
    <t>c-masumoto@c-d-service.co.jp</t>
  </si>
  <si>
    <t>株式会社　中国電機サービス社</t>
  </si>
  <si>
    <t>桝本　ちひろ</t>
  </si>
  <si>
    <t>hiroaki.tagusari@gmail.com</t>
  </si>
  <si>
    <t>株式会社cloud9</t>
  </si>
  <si>
    <t>田鎖裕章</t>
  </si>
  <si>
    <t>koyama.y@ikedamohando.co.jp</t>
  </si>
  <si>
    <t>株式会社池田模範堂</t>
  </si>
  <si>
    <t>mkkomaki@gaeart.com</t>
  </si>
  <si>
    <t>株式会社ガイアート</t>
  </si>
  <si>
    <t>ジーベック既製品提案予定（2025/11）</t>
  </si>
  <si>
    <t>h.kawano@wadagumi.com</t>
  </si>
  <si>
    <t>株式会社和田組</t>
  </si>
  <si>
    <t>竹久</t>
  </si>
  <si>
    <t>niibe-takamasa@oyonet.oyo.co.jp</t>
  </si>
  <si>
    <t>応用地質株式会社</t>
  </si>
  <si>
    <t>02_takeshi@minamida.co.jp</t>
  </si>
  <si>
    <t>株式会社ミナミダ</t>
  </si>
  <si>
    <t>南田剛志</t>
  </si>
  <si>
    <t>t-miyazawa@ffines.jp</t>
  </si>
  <si>
    <t>株式会社　渕上ファインズ</t>
  </si>
  <si>
    <t>宮沢</t>
  </si>
  <si>
    <t>k_minami@yonezawa.co.jp</t>
  </si>
  <si>
    <t>米沢電気工事株式会社</t>
    <phoneticPr fontId="18"/>
  </si>
  <si>
    <t>南　夏帆</t>
  </si>
  <si>
    <t>アプローチ中（2026/2）</t>
    <phoneticPr fontId="18"/>
  </si>
  <si>
    <t>newholland@nh-hft.co.jp</t>
  </si>
  <si>
    <t>日本ニューホランド株式会社</t>
  </si>
  <si>
    <t>岩坪</t>
  </si>
  <si>
    <t>他のキャンペーン</t>
  </si>
  <si>
    <t>kenshin.nagamine@orbital-lasers.com</t>
  </si>
  <si>
    <t>株式会社Orbital Lasers</t>
  </si>
  <si>
    <t>長峯健心</t>
  </si>
  <si>
    <t>shinozaki@krgroup.co.jp</t>
  </si>
  <si>
    <t>株式会社KRL</t>
  </si>
  <si>
    <t>篠崎雅彦</t>
  </si>
  <si>
    <t>metroadagency.seo@gmail.com</t>
  </si>
  <si>
    <t>株式会社メトロアドエージェンシー</t>
  </si>
  <si>
    <t>浜内　雄人</t>
  </si>
  <si>
    <t>suzuki.chiaki@herrenknecht.com</t>
  </si>
  <si>
    <t>Herrenknecht Asia Headquarters Pte. Ltd.</t>
  </si>
  <si>
    <t>鈴木千晶</t>
  </si>
  <si>
    <t>miyai@lateral-kids.jp</t>
  </si>
  <si>
    <t>株式会社Lateral Kids</t>
  </si>
  <si>
    <t>宮井大治</t>
  </si>
  <si>
    <t>minako.goto@atona.co</t>
  </si>
  <si>
    <t>株式会社Atona</t>
  </si>
  <si>
    <t>後藤三奈子</t>
  </si>
  <si>
    <t>shawnkojimullins@enndaruma.co.jp</t>
  </si>
  <si>
    <t>株式会社ｅｎｎｄａｒｕｍａ</t>
  </si>
  <si>
    <t>ショーンマリンズ</t>
  </si>
  <si>
    <t>h-hoshi@nms.ac.jp</t>
  </si>
  <si>
    <t>学校法人日本医科大学</t>
  </si>
  <si>
    <t>セロリー既製品提案予定（2025/10）</t>
  </si>
  <si>
    <t>akimatsushita@costco.co.jp</t>
  </si>
  <si>
    <t>コストコ千葉ニュータウン倉庫倉庫</t>
  </si>
  <si>
    <t>松下暁子</t>
  </si>
  <si>
    <t>登録なし　再度営業へ共有（25/11/19現在）</t>
  </si>
  <si>
    <t>rina.matsumoto@nttdata-xam.com</t>
  </si>
  <si>
    <t>株式会社NTTデータ ザムテクノロジーズ</t>
  </si>
  <si>
    <t>松本　梨那</t>
  </si>
  <si>
    <t>toshie-azuma@mitaka-group.co.jp</t>
  </si>
  <si>
    <t>株式会社美鷹</t>
  </si>
  <si>
    <t>tc_support@ichirou.co.jp</t>
  </si>
  <si>
    <t>イチロウ株式会社</t>
  </si>
  <si>
    <t>ミーク友理</t>
  </si>
  <si>
    <t>okajima@plaza-eye-contact.co.jp</t>
  </si>
  <si>
    <t>株式会社オグラ</t>
  </si>
  <si>
    <t>岡島　友規子</t>
  </si>
  <si>
    <t>seigi@sanwa-q.co.jp</t>
  </si>
  <si>
    <t>株式会社　三和製作所</t>
  </si>
  <si>
    <t>松崎　晃尚</t>
  </si>
  <si>
    <t>yuki.tanaka@bcl.stylinglife.co.jp</t>
  </si>
  <si>
    <t>株式会社スタイリングライフ・ホールディングス BCLカンパニー</t>
  </si>
  <si>
    <t>田中佑季</t>
  </si>
  <si>
    <t>既存アプローチ先</t>
  </si>
  <si>
    <t>s_kinugasa@hecgroup.com</t>
  </si>
  <si>
    <t>株式会社エッチイーシグループ</t>
  </si>
  <si>
    <t>衣笠　翔太</t>
  </si>
  <si>
    <t>AIリファーラル</t>
  </si>
  <si>
    <t>kenshiro-abe@yorozuya-dc.com</t>
  </si>
  <si>
    <t>ドラゴンキューブ株式会社</t>
  </si>
  <si>
    <t>阿部健志朗</t>
  </si>
  <si>
    <t>10/末アポイント済、既製品提案済み</t>
  </si>
  <si>
    <t>凡例：重複</t>
  </si>
  <si>
    <t>h_sasaki@nagata-kami.net</t>
  </si>
  <si>
    <t>株式会社角長長田紙店</t>
  </si>
  <si>
    <t>佐々木遥香</t>
  </si>
  <si>
    <t>凡例：★前回からの追加MQL</t>
  </si>
  <si>
    <t>arisa.ikeda@raksul.com</t>
  </si>
  <si>
    <t>ラクスル株式会社</t>
  </si>
  <si>
    <t>池田安里紗</t>
  </si>
  <si>
    <t>凡例：SAL＆SQL未入力セル（次回忘れないように）</t>
  </si>
  <si>
    <t>kinoshita.jun@panasonic-homes.com</t>
  </si>
  <si>
    <t>パナソニックホームズ株式会社</t>
    <phoneticPr fontId="18"/>
  </si>
  <si>
    <t>木下淳</t>
  </si>
  <si>
    <t>凡例：当月変更箇所</t>
  </si>
  <si>
    <t>yasuo-aiba@aikoh-corp.jp</t>
  </si>
  <si>
    <t>株式会社アイコー</t>
  </si>
  <si>
    <t>相場康雄</t>
  </si>
  <si>
    <t>凡例：進行中</t>
  </si>
  <si>
    <t>koshun-asahina@mgc.co.jp</t>
  </si>
  <si>
    <t>三菱ガス化学株式会社</t>
  </si>
  <si>
    <t>朝比奈 孝駿</t>
  </si>
  <si>
    <t>既存ユーザー</t>
  </si>
  <si>
    <t>凡例：受注</t>
  </si>
  <si>
    <t>suzuki@yogo.ed.jp</t>
  </si>
  <si>
    <t>学校法人余合学園</t>
  </si>
  <si>
    <t>鈴木厳</t>
  </si>
  <si>
    <t>arimichi_watanabe@kanematsu.co.jp</t>
  </si>
  <si>
    <t>兼松株式会社</t>
  </si>
  <si>
    <t>渡邊有道</t>
  </si>
  <si>
    <t>ogawa@amanocorp.jp</t>
  </si>
  <si>
    <t>有限会社アマノ</t>
  </si>
  <si>
    <t>小川美也子</t>
  </si>
  <si>
    <t>iihoshi@shirasagidenki.co.jp</t>
  </si>
  <si>
    <t>白鷺電気工業株式会社</t>
  </si>
  <si>
    <t>飯干 清長</t>
  </si>
  <si>
    <t>c_inamura@murayama.co.jp</t>
  </si>
  <si>
    <t>株式会社ムラヤマ</t>
  </si>
  <si>
    <t>稲村　千尋</t>
  </si>
  <si>
    <t>登録なし　</t>
  </si>
  <si>
    <t>m-horiuchi@hanshinport.co.jp</t>
  </si>
  <si>
    <t>阪神国際港湾株式会社</t>
  </si>
  <si>
    <t>堀内美佐紀</t>
  </si>
  <si>
    <t>nakaojidousya@gmail.com</t>
  </si>
  <si>
    <t>株式会社中尾自動車</t>
  </si>
  <si>
    <t>satoshi.toyoda@kaneso.jp</t>
  </si>
  <si>
    <t>カネソウ株式会社</t>
  </si>
  <si>
    <t>豊田悟志</t>
  </si>
  <si>
    <t>入力画面: MD_medical-お問合せ</t>
  </si>
  <si>
    <t>株式会社ツルハ</t>
  </si>
  <si>
    <t>MEDに問合せあり。UNに引継ぎ</t>
  </si>
  <si>
    <t>yusuke@yamada-youchien.ed.jp</t>
  </si>
  <si>
    <t>学校法人梅の木学園</t>
  </si>
  <si>
    <t>流田　祐邦</t>
  </si>
  <si>
    <t>j-ueda@asplund.co.jp</t>
  </si>
  <si>
    <t>株式会社アスプルンド</t>
  </si>
  <si>
    <t>上田　純平</t>
  </si>
  <si>
    <t>snb10098@nifty.com</t>
  </si>
  <si>
    <t>個人</t>
  </si>
  <si>
    <t>島田　幸介</t>
  </si>
  <si>
    <t>marketing@p1-intl.com</t>
  </si>
  <si>
    <t>株式会社プラスワンインターナショナル</t>
  </si>
  <si>
    <t>宮崎愛子</t>
  </si>
  <si>
    <t>h-noguchi@edeyans.com</t>
  </si>
  <si>
    <t>株式会社EDEYANS</t>
  </si>
  <si>
    <t>kyousuke.kinoshita.eb@nttdocomo.com</t>
  </si>
  <si>
    <t>NTTドコモ</t>
  </si>
  <si>
    <t>木下恭佑</t>
  </si>
  <si>
    <t>すでに営業済み</t>
  </si>
  <si>
    <t>j-someya@unext-hd.jp</t>
  </si>
  <si>
    <t>株式会社ＵＳＥＮ</t>
  </si>
  <si>
    <t>染谷純平</t>
  </si>
  <si>
    <t>kakama@estee.com</t>
  </si>
  <si>
    <t>ELCジャパン合同会社</t>
  </si>
  <si>
    <t>赤間好美</t>
  </si>
  <si>
    <t>sugano-yasuhiro@shibusawa.co.jp</t>
  </si>
  <si>
    <t>澁澤倉庫株式会社</t>
  </si>
  <si>
    <t>菅野康弘</t>
  </si>
  <si>
    <t>商談済み。コンペ案件化の予定。</t>
  </si>
  <si>
    <t>i.yamaguchi@tenguy.jp</t>
  </si>
  <si>
    <t>テンガイ</t>
  </si>
  <si>
    <t>山口　一徹</t>
  </si>
  <si>
    <t>kiijima@shinohara-press.co.jp</t>
  </si>
  <si>
    <t>しのはらプレスサービス株式会社</t>
  </si>
  <si>
    <t>飯島慶太</t>
  </si>
  <si>
    <t>k-zaleski@ispace-inc.com</t>
  </si>
  <si>
    <t>ispace</t>
  </si>
  <si>
    <t>Kevin Zaleski</t>
  </si>
  <si>
    <t>yu.katsuno.hd@cocoo.co.jp</t>
  </si>
  <si>
    <t>コクー株式会社</t>
  </si>
  <si>
    <t>勝野　雄</t>
  </si>
  <si>
    <t>ulforce.one@gmail.com</t>
  </si>
  <si>
    <t>株式会社アルフォース・ワン</t>
  </si>
  <si>
    <t>山田 昭</t>
  </si>
  <si>
    <t>n.yuasa@mail.sohshin-net.co.jp</t>
  </si>
  <si>
    <t>株式会社ソーシン</t>
  </si>
  <si>
    <t>担当者とMTG済み</t>
  </si>
  <si>
    <t>kaori_yanagisawa@niandc.co.jp</t>
  </si>
  <si>
    <t>エヌアイシー・パートナーズ株式会社</t>
  </si>
  <si>
    <t>柳澤かおり</t>
  </si>
  <si>
    <t>omura7963@gmail.com</t>
  </si>
  <si>
    <t>株式会社　丸近</t>
  </si>
  <si>
    <t>小村敏家</t>
  </si>
  <si>
    <t>ishii-k@marumo.co.jp</t>
  </si>
  <si>
    <t>丸茂電機株式会社</t>
  </si>
  <si>
    <t>石井　克典</t>
  </si>
  <si>
    <t>ktcnepros0000@docomo.ne.jp</t>
  </si>
  <si>
    <t>佐久間</t>
  </si>
  <si>
    <t>risa@pangraphics.jp</t>
  </si>
  <si>
    <t>株式会社Pangraphics</t>
  </si>
  <si>
    <t>遠藤里紗</t>
  </si>
  <si>
    <t>nomuram@uniontool.co.jp</t>
  </si>
  <si>
    <t>ユニオンツール株式会社</t>
  </si>
  <si>
    <t>野村　まゆ</t>
  </si>
  <si>
    <t>j-koike@ut-g.co.jp</t>
  </si>
  <si>
    <t>UTグループ株式会社</t>
    <phoneticPr fontId="18"/>
  </si>
  <si>
    <t>小池絢也</t>
  </si>
  <si>
    <t>担当と連絡取れず</t>
  </si>
  <si>
    <t>shinichi.ooiwa@sanyou-denki.co.jp</t>
  </si>
  <si>
    <t>山陽電機株式会社</t>
  </si>
  <si>
    <t>大岩　新一</t>
  </si>
  <si>
    <t>matsubara@pacific-racing.jp</t>
  </si>
  <si>
    <t>株式会社PACIFIC RACING TEAM</t>
  </si>
  <si>
    <t>松原明生</t>
  </si>
  <si>
    <t>kanon_fujito@isuzu.com</t>
  </si>
  <si>
    <t>いすゞ自動車株式会社</t>
  </si>
  <si>
    <t>藤戸 佳之音</t>
  </si>
  <si>
    <t>既製品提案予定</t>
  </si>
  <si>
    <t>sakamoto.taiga@tokyu-cnst.co.jp</t>
  </si>
  <si>
    <t>東急建設株式会社</t>
  </si>
  <si>
    <t>コンペ予定（26/3）</t>
    <rPh sb="3" eb="5">
      <t>ヨテイ</t>
    </rPh>
    <phoneticPr fontId="18"/>
  </si>
  <si>
    <t>hideaki_tsuneta@pmac.co.jp</t>
  </si>
  <si>
    <t>日本ピーマック株式会社</t>
  </si>
  <si>
    <t>kamei@cable-industry.co.jp</t>
  </si>
  <si>
    <t>ケーブル工業株式会社</t>
  </si>
  <si>
    <t>s-matsumoto@takumi-dental.ishikawa.jp</t>
  </si>
  <si>
    <t>匠歯科医院</t>
  </si>
  <si>
    <t>松本</t>
  </si>
  <si>
    <t>seo.marketing@astrolab.co.jp</t>
  </si>
  <si>
    <t>アストロラボ株式会社</t>
  </si>
  <si>
    <t>越智 美由紀</t>
  </si>
  <si>
    <t>hanae.noguchi@sony.com</t>
  </si>
  <si>
    <t>ソニーマーケティング</t>
  </si>
  <si>
    <t>野口英恵</t>
  </si>
  <si>
    <t>dma_partner@cartahd.com</t>
  </si>
  <si>
    <t>D-Marketing Academy株式会社</t>
  </si>
  <si>
    <t>佐藤健吾</t>
  </si>
  <si>
    <t>m-harada.kcf@hb.tp1.jp</t>
  </si>
  <si>
    <t>原正 商会</t>
  </si>
  <si>
    <t>原田正巳</t>
  </si>
  <si>
    <t>t-koike@aisei.co.jp</t>
  </si>
  <si>
    <t>株式会社アイセイ薬局</t>
    <phoneticPr fontId="18"/>
  </si>
  <si>
    <t>小池稔子</t>
  </si>
  <si>
    <t>tagawas@shikoku.co.jp</t>
  </si>
  <si>
    <t>四国化成建材株式会社</t>
  </si>
  <si>
    <t>田川 秀太</t>
  </si>
  <si>
    <t>nakamura.koji@luup.co.jp</t>
  </si>
  <si>
    <t>株式会社Luup</t>
  </si>
  <si>
    <t>中村浩司</t>
  </si>
  <si>
    <t>売上規模小さいためお断り</t>
  </si>
  <si>
    <t>tomosukeline@gmail.com</t>
  </si>
  <si>
    <t>川崎近海汽船株式会社</t>
  </si>
  <si>
    <t>寺田智典</t>
  </si>
  <si>
    <t>takeshi-kurihara@sogo-seibu.co.jp</t>
  </si>
  <si>
    <t>株式会社そごう・西武</t>
  </si>
  <si>
    <t>栗原 武志</t>
  </si>
  <si>
    <t>hasegawa@kajima-renovate.co.jp</t>
  </si>
  <si>
    <t>カジマ・リノベイト株式会社</t>
  </si>
  <si>
    <t>長谷川　裕介</t>
  </si>
  <si>
    <t>OW既存ユーザーのグループ会社であったためSALなし</t>
  </si>
  <si>
    <t>wada-sa@ilya.co.jp</t>
  </si>
  <si>
    <t>株式会社イリア</t>
  </si>
  <si>
    <t>和田沙綾</t>
  </si>
  <si>
    <t>sigeo@k2.dion.ne.jp</t>
  </si>
  <si>
    <t>ランタナ興産株式会社</t>
  </si>
  <si>
    <t>木下源</t>
  </si>
  <si>
    <t>arai@warabi.ne.jp</t>
  </si>
  <si>
    <t>蕨ケーブルビジョン株式会社</t>
  </si>
  <si>
    <t>新井　宏明</t>
  </si>
  <si>
    <t>k.aso1850@shutoko-assoc.jp</t>
  </si>
  <si>
    <t>首都高アソシエイト株式会社</t>
  </si>
  <si>
    <t>麻生かがり</t>
  </si>
  <si>
    <t>help-contact@allegretto.co.jp</t>
  </si>
  <si>
    <t>株式会社アレグレット</t>
  </si>
  <si>
    <t>田中　浩一郎</t>
  </si>
  <si>
    <t>売り込みメール</t>
  </si>
  <si>
    <t>kaai.mika.7a@kyoto-u.ac.jp</t>
  </si>
  <si>
    <t>京都大学</t>
  </si>
  <si>
    <t>河合</t>
  </si>
  <si>
    <t>syokuin-jinji@city.yamagata-yamagata.lg.jp</t>
  </si>
  <si>
    <t>山形市役所</t>
  </si>
  <si>
    <t>大沼　由佳</t>
  </si>
  <si>
    <t>案件規模見込まれないためSAL無し</t>
  </si>
  <si>
    <t>kazuki.takahashi@maru8.co.jp</t>
  </si>
  <si>
    <t>丸八倉庫株式会社</t>
  </si>
  <si>
    <t>高橋和希</t>
  </si>
  <si>
    <t>s-sugimoto@daihatsu-kyushu.co.jp</t>
  </si>
  <si>
    <t>ダイハツ九州株式会社</t>
  </si>
  <si>
    <t>杉本彩真</t>
  </si>
  <si>
    <t>siobe@iyobe.com</t>
  </si>
  <si>
    <t>株式会社イヨベ工芸社</t>
  </si>
  <si>
    <t>五百部宗一</t>
  </si>
  <si>
    <t>jun.ikemori@jt.com</t>
  </si>
  <si>
    <t>JT（日本たばこ産業株式会社）</t>
    <phoneticPr fontId="18"/>
  </si>
  <si>
    <t>池守　潤</t>
  </si>
  <si>
    <t>AC早川さん情報をもとにフォロー中とのこと</t>
    <rPh sb="2" eb="4">
      <t>ハヤカワ</t>
    </rPh>
    <rPh sb="6" eb="8">
      <t>ジョウホウ</t>
    </rPh>
    <rPh sb="16" eb="17">
      <t>チュウ</t>
    </rPh>
    <phoneticPr fontId="18"/>
  </si>
  <si>
    <t>fukuoka_mai@qkamura.or.jp</t>
  </si>
  <si>
    <t>一般財団法人 休暇村協会</t>
  </si>
  <si>
    <t>福岡 真惟</t>
  </si>
  <si>
    <t>営業松崎すでにアプローチ中</t>
  </si>
  <si>
    <t>atsushi.uesugi@r-kikai.com</t>
  </si>
  <si>
    <t>理研機械株式会社</t>
  </si>
  <si>
    <t>上杉 敦</t>
  </si>
  <si>
    <t>takumi_toyama@kibun-ti.co.jp</t>
  </si>
  <si>
    <t>株式会社紀文産業</t>
  </si>
  <si>
    <t>富山　巧</t>
  </si>
  <si>
    <t>営業日野さんすでにアプローチ中</t>
  </si>
  <si>
    <t>takahiro-onda@yomiko.co.jp</t>
  </si>
  <si>
    <t>株式会社読広クロスコム</t>
  </si>
  <si>
    <t>恩田貴弘</t>
  </si>
  <si>
    <t>shiho.takita@lamresearch.com</t>
  </si>
  <si>
    <t>ラムリサーチ合同会社</t>
  </si>
  <si>
    <t>瀧田 志保</t>
  </si>
  <si>
    <t>yamauchi@mnr.co.jp</t>
  </si>
  <si>
    <t>株式会社ミノウラ</t>
  </si>
  <si>
    <t>山内圭吾</t>
  </si>
  <si>
    <t>kota.wada@nichieichile.com</t>
  </si>
  <si>
    <t>日永チリ</t>
  </si>
  <si>
    <t>和田恒多</t>
  </si>
  <si>
    <t>営業松崎対応中</t>
  </si>
  <si>
    <t>入力画面: MD_【新】medical-総合カタログ</t>
  </si>
  <si>
    <t>s.hidetoshi.tom@gmail.com</t>
  </si>
  <si>
    <t>フリーランス デザイナー</t>
  </si>
  <si>
    <t>関口秀俊</t>
  </si>
  <si>
    <t>kenshiro.life@gmail.com</t>
  </si>
  <si>
    <t>SVK株式会社</t>
  </si>
  <si>
    <t>山本敦</t>
  </si>
  <si>
    <t>yoshimura@alfad.co.jp</t>
  </si>
  <si>
    <t>株式会社アルファード</t>
    <phoneticPr fontId="18"/>
  </si>
  <si>
    <t>吉村彩香</t>
  </si>
  <si>
    <t>事業規模小さいためお断り</t>
    <rPh sb="0" eb="2">
      <t>ジギョウ</t>
    </rPh>
    <rPh sb="2" eb="5">
      <t>キボチイ</t>
    </rPh>
    <rPh sb="10" eb="11">
      <t>コトワ</t>
    </rPh>
    <phoneticPr fontId="18"/>
  </si>
  <si>
    <t>miho.life0753@gmail.com</t>
  </si>
  <si>
    <t>株式会社ライフサービス和</t>
    <phoneticPr fontId="18"/>
  </si>
  <si>
    <t>中山　美保</t>
  </si>
  <si>
    <t>営業メール</t>
    <rPh sb="0" eb="2">
      <t>エイギョウ</t>
    </rPh>
    <phoneticPr fontId="18"/>
  </si>
  <si>
    <t>ベルシステム（UNお問い合わせ）</t>
    <rPh sb="10" eb="11">
      <t>ト</t>
    </rPh>
    <rPh sb="12" eb="13">
      <t>ア</t>
    </rPh>
    <phoneticPr fontId="18"/>
  </si>
  <si>
    <t>新開トランスポートシステムズ</t>
    <phoneticPr fontId="18"/>
  </si>
  <si>
    <t>500～1,000名</t>
    <rPh sb="9" eb="10">
      <t>メイ</t>
    </rPh>
    <phoneticPr fontId="18"/>
  </si>
  <si>
    <t>ベルシステム</t>
    <phoneticPr fontId="18"/>
  </si>
  <si>
    <t>パーカー加工</t>
  </si>
  <si>
    <t>2028年MC予定</t>
    <rPh sb="4" eb="5">
      <t>ネン</t>
    </rPh>
    <rPh sb="7" eb="9">
      <t>ヨテイ</t>
    </rPh>
    <phoneticPr fontId="18"/>
  </si>
  <si>
    <t>haruka.nishikiori@tokyo-ea.com</t>
  </si>
  <si>
    <t>東京エナジーアライアンス株式会社</t>
  </si>
  <si>
    <t>錦織　春香</t>
  </si>
  <si>
    <t>現行納入ユーザーからの問い合わせのためカウント無し</t>
    <rPh sb="11" eb="12">
      <t>ト</t>
    </rPh>
    <rPh sb="13" eb="14">
      <t>ア</t>
    </rPh>
    <rPh sb="23" eb="24">
      <t>ナ</t>
    </rPh>
    <phoneticPr fontId="18"/>
  </si>
  <si>
    <t>nozaki@miyanishi.co.jp</t>
  </si>
  <si>
    <t>宮西設備株式会社</t>
  </si>
  <si>
    <t>野崎竜雄</t>
  </si>
  <si>
    <t>jindo_hiroki@aiho.co.jp</t>
  </si>
  <si>
    <t>株式会社AIHO</t>
  </si>
  <si>
    <t>神藤　洋基</t>
  </si>
  <si>
    <t>対象700名</t>
    <rPh sb="0" eb="2">
      <t>タイショウ</t>
    </rPh>
    <rPh sb="5" eb="6">
      <t>メイ</t>
    </rPh>
    <phoneticPr fontId="18"/>
  </si>
  <si>
    <t>yui_suzuki@toyo-tos.com</t>
  </si>
  <si>
    <t>株式会社東陽</t>
  </si>
  <si>
    <t>鈴木　結依</t>
  </si>
  <si>
    <t>n_sato@bbmedia.co.jp</t>
  </si>
  <si>
    <t>ビービーメディア株式会社</t>
  </si>
  <si>
    <t>佐藤 渚紗</t>
  </si>
  <si>
    <t>ブティックス株式会社</t>
  </si>
  <si>
    <t>日本ADHD協会</t>
    <phoneticPr fontId="18"/>
  </si>
  <si>
    <t>大日工業株式会社</t>
  </si>
  <si>
    <t>株式会社秋冬春夏</t>
    <phoneticPr fontId="18"/>
  </si>
  <si>
    <t>北海道千歳市役所　道路建設課</t>
    <phoneticPr fontId="18"/>
  </si>
  <si>
    <t>㈱イオンフードスタイル</t>
    <phoneticPr fontId="18"/>
  </si>
  <si>
    <t>Eメールマーケティング</t>
  </si>
  <si>
    <t>案件化</t>
    <rPh sb="0" eb="3">
      <t>アンケンカ</t>
    </rPh>
    <phoneticPr fontId="18"/>
  </si>
  <si>
    <t>株式会社ダイワコーポレーション</t>
    <phoneticPr fontId="18"/>
  </si>
  <si>
    <t>株式会社　拓洋</t>
    <phoneticPr fontId="18"/>
  </si>
  <si>
    <t>合同会社CLASAM</t>
  </si>
  <si>
    <t>株式会社Weegent</t>
  </si>
  <si>
    <t>UN｜メルマガ31｜CTA2｜WP2</t>
  </si>
  <si>
    <t>株式会社セブン-イレブン・ジャパン</t>
    <phoneticPr fontId="18"/>
  </si>
  <si>
    <t>UN｜メルマガ31｜footer2｜WP1</t>
  </si>
  <si>
    <t>株式会社THINKフィットネス</t>
  </si>
  <si>
    <t>UN｜メルマガ31｜CTA1｜WP1</t>
  </si>
  <si>
    <t>信越食品株式会社</t>
    <phoneticPr fontId="18"/>
  </si>
  <si>
    <t>朝日銘木株式会社</t>
    <phoneticPr fontId="18"/>
  </si>
  <si>
    <t>株式会社スポーツリンクエージェント</t>
  </si>
  <si>
    <t>五光建設株式会社</t>
    <phoneticPr fontId="18"/>
  </si>
  <si>
    <t>株式会社メディカルブレイン</t>
    <phoneticPr fontId="18"/>
  </si>
  <si>
    <t>ボッシュ株式会社</t>
    <phoneticPr fontId="18"/>
  </si>
  <si>
    <t>株式会社ユニテク</t>
  </si>
  <si>
    <t>Korean Air Airport Service株式会社</t>
    <phoneticPr fontId="18"/>
  </si>
  <si>
    <t>営業1-3-4にてアポイント取得、商談予定。</t>
    <rPh sb="0" eb="2">
      <t>エイギョウ</t>
    </rPh>
    <rPh sb="14" eb="16">
      <t>シュトク</t>
    </rPh>
    <rPh sb="17" eb="21">
      <t>ショウダンヨテイ</t>
    </rPh>
    <phoneticPr fontId="18"/>
  </si>
  <si>
    <t>合同会社LITMW</t>
  </si>
  <si>
    <t>中国銀行</t>
    <phoneticPr fontId="18"/>
  </si>
  <si>
    <t>株式会社レ・アール</t>
  </si>
  <si>
    <t>東邦薬品株式会社</t>
  </si>
  <si>
    <t>株式会社Scalehack</t>
  </si>
  <si>
    <t>ディーエムソリューションズ株式会社</t>
  </si>
  <si>
    <t>株式会社キープサーチ</t>
  </si>
  <si>
    <t>株式会社START WITH WHY</t>
  </si>
  <si>
    <t>株式会社ADVATEC</t>
  </si>
  <si>
    <t>日本ライフライン株式会社</t>
    <phoneticPr fontId="18"/>
  </si>
  <si>
    <t>アポイント調整中</t>
    <rPh sb="5" eb="8">
      <t>チョウセイチュウ</t>
    </rPh>
    <phoneticPr fontId="18"/>
  </si>
  <si>
    <t>ルビーイン株式会社</t>
    <phoneticPr fontId="18"/>
  </si>
  <si>
    <t>キュービーネット株式会社</t>
  </si>
  <si>
    <t>UN_お問合せ・ご相談</t>
  </si>
  <si>
    <t>CLINKS株式会社</t>
  </si>
  <si>
    <t>横河レンタ・リース株式会社</t>
  </si>
  <si>
    <t>株式会社ベレネッツ</t>
  </si>
  <si>
    <t>株式会社獲れるコトバ執筆社</t>
  </si>
  <si>
    <t>株式会社タスカル</t>
  </si>
  <si>
    <t>UN｜メルマガ15｜CTA1｜WP3</t>
  </si>
  <si>
    <t>株式会社藤和</t>
  </si>
  <si>
    <t>　</t>
  </si>
  <si>
    <t>UN｜メルマガ15｜footer2｜会社案内</t>
  </si>
  <si>
    <t>株式会社ADKマーケティング・ソリューションズ</t>
  </si>
  <si>
    <t>奥村組土木興業株式会社</t>
  </si>
  <si>
    <t>株式会社二木ゴルフ</t>
  </si>
  <si>
    <t>日産自動車株式会社</t>
  </si>
  <si>
    <t>UN｜メルマガ15｜CTA4｜会社案内</t>
  </si>
  <si>
    <t>ラ・メゾン・デュ・ショコラ・ジャポン株式会社</t>
  </si>
  <si>
    <t>株式会社六花亭</t>
  </si>
  <si>
    <t>株式会社アイセイ薬局</t>
  </si>
  <si>
    <t>越谷市農業協同組合</t>
  </si>
  <si>
    <t>大成建設株式会社</t>
  </si>
  <si>
    <t>一般財団法人脳神経疾患研究所附属総合南東北病院</t>
  </si>
  <si>
    <t>日本コーティングセンター株式会社</t>
  </si>
  <si>
    <t>成田空港警備株式会社</t>
  </si>
  <si>
    <t>UN｜メルマガ15｜CTA2｜WP3</t>
  </si>
  <si>
    <t>全日本空輸株式会社</t>
  </si>
  <si>
    <t>川崎汽船</t>
  </si>
  <si>
    <t>案件化</t>
  </si>
  <si>
    <t>阪神高速道路株式会社</t>
  </si>
  <si>
    <t>株式会社ラックランド</t>
  </si>
  <si>
    <t>独立行政法人地域医療機能推進機構（JCHO）　山梨病院</t>
  </si>
  <si>
    <t>平井精密工業株式会社</t>
  </si>
  <si>
    <t>シーカ・ジャパン株式会社</t>
  </si>
  <si>
    <t>UN｜メルマガ35｜CTA1｜WP1</t>
  </si>
  <si>
    <t>ＳＥＩビジネスクリエイツ株式会社</t>
  </si>
  <si>
    <t>入力画面: UN_WPダウンロードフォーム_ブランド価値を高める「ユニフォームデザイン戦略」完全解説</t>
  </si>
  <si>
    <t>株式会社万代ホールディングス</t>
  </si>
  <si>
    <t>株式会社アドバイザリー＆インベストメント</t>
  </si>
  <si>
    <t>ニッティド株式会社</t>
  </si>
  <si>
    <t>株式会社バンダイナムコアミューズメント</t>
  </si>
  <si>
    <t>東京本田さんすでに案件化済み</t>
  </si>
  <si>
    <t>加茂精工株式会社</t>
  </si>
  <si>
    <t>株式会社日精ピーアール</t>
  </si>
  <si>
    <t>チェリーブロッサムガーデン株式会社</t>
  </si>
  <si>
    <t>Ｒヨット株式会社</t>
  </si>
  <si>
    <t>中部ホームサービス株式会社</t>
  </si>
  <si>
    <t>★以下引きあがり情報未確認　6/30までCV追加済み</t>
  </si>
  <si>
    <t>UN｜メルマガ34｜CTA4｜WP2</t>
  </si>
  <si>
    <t>みちのくコカ・コーラボトリング株式会社</t>
  </si>
  <si>
    <t>株式会社ポンテヴェキオホッタ</t>
  </si>
  <si>
    <t>UN｜メルマガ34｜footer2｜WP2</t>
  </si>
  <si>
    <t>株式会社タカクラ</t>
  </si>
  <si>
    <t>CLEAN H</t>
  </si>
  <si>
    <t>株式会社三友企画</t>
  </si>
  <si>
    <t>ヤザキ工業株式会社</t>
  </si>
  <si>
    <t>株式会社レントラックス</t>
  </si>
  <si>
    <t>株式会社sit</t>
  </si>
  <si>
    <t>株式会社銀波荘</t>
  </si>
  <si>
    <t>ステータス</t>
    <phoneticPr fontId="18"/>
  </si>
  <si>
    <t>コメント</t>
    <phoneticPr fontId="18"/>
  </si>
  <si>
    <t>商談済み</t>
    <rPh sb="0" eb="3">
      <t>ショウダンズ</t>
    </rPh>
    <phoneticPr fontId="18"/>
  </si>
  <si>
    <t>現在、弊社で作業着のリニューアルを検討しております。
 必須機能：帯電防止生地、ストレッチ性
 作業用ヘルメットと同機能を満たす帽子などもご提案頂けると助かります。</t>
    <phoneticPr fontId="18"/>
  </si>
  <si>
    <t>見積提出済み</t>
    <rPh sb="0" eb="5">
      <t>ミツモリテイシュツズ</t>
    </rPh>
    <phoneticPr fontId="18"/>
  </si>
  <si>
    <t>基幹店と都内数店舗のUNの引き合い。既製品提案済み。その他Oliver Peaplesの新店舗制服の相談あり。アイテムはジャケット、パンツのセットアップ。ジャケット×1、パンツ×1 or 2 を27セット。ラグジュアリー感を求めるため、OPSをご紹介。</t>
    <rPh sb="0" eb="3">
      <t>キカンテン</t>
    </rPh>
    <rPh sb="4" eb="9">
      <t>トナイスウテンポ</t>
    </rPh>
    <rPh sb="13" eb="14">
      <t>ヒ</t>
    </rPh>
    <rPh sb="15" eb="16">
      <t>ア</t>
    </rPh>
    <rPh sb="18" eb="21">
      <t>キセイヒン</t>
    </rPh>
    <rPh sb="21" eb="24">
      <t>テイアンズ</t>
    </rPh>
    <rPh sb="28" eb="29">
      <t>タ</t>
    </rPh>
    <phoneticPr fontId="18"/>
  </si>
  <si>
    <t>インターネットカフェ事業aprecioの店舗UNの20年ぶりのMC。アイテムはエプロン：貸与枚数1枚・シャツorポロシャツ：貸与枚数2枚になる予定。提案開始時期：春頃。</t>
    <rPh sb="74" eb="76">
      <t>テイアン</t>
    </rPh>
    <rPh sb="76" eb="78">
      <t>カイシ</t>
    </rPh>
    <rPh sb="78" eb="80">
      <t>ジキ</t>
    </rPh>
    <rPh sb="81" eb="83">
      <t>ハルゴロ</t>
    </rPh>
    <phoneticPr fontId="18"/>
  </si>
  <si>
    <t>規模60百万。デザインプレゼン済みで3/4社に残っている。</t>
    <rPh sb="0" eb="2">
      <t>キボ</t>
    </rPh>
    <rPh sb="4" eb="6">
      <t>ヒャクマン</t>
    </rPh>
    <rPh sb="15" eb="16">
      <t>ズ</t>
    </rPh>
    <rPh sb="21" eb="22">
      <t>シャ</t>
    </rPh>
    <rPh sb="23" eb="24">
      <t>ノコ</t>
    </rPh>
    <phoneticPr fontId="18"/>
  </si>
  <si>
    <t>やよい軒のUN。</t>
    <rPh sb="3" eb="4">
      <t>ケン</t>
    </rPh>
    <phoneticPr fontId="18"/>
  </si>
  <si>
    <t>コニックス（清掃会社）のUN。現行業者が試験的に導入していたユニフォームの本格導入が決まったとのこと。2025年3月～着用開始。5～10年後に社長が変わるタイミングでMCを検討しているため、その際は連絡をもらう予定。</t>
    <rPh sb="97" eb="98">
      <t>サイ</t>
    </rPh>
    <rPh sb="99" eb="101">
      <t>レンラク</t>
    </rPh>
    <rPh sb="105" eb="107">
      <t>ヨテイ</t>
    </rPh>
    <phoneticPr fontId="18"/>
  </si>
  <si>
    <t>問い合わせ内容：
弊社海外SRでの制服着用を検討しております。
国内にはすでに制服があるのですが、ターゲット層が異なる為、さらなるグローバル展開を目指したデザインでの運用を検討しております。
（対象国：中国・台湾・ベトナム・シンガポール・香港・ミャンマー）
（今後はインド・インドネシアでの展開も検討しております。）
その為、見積もり～デザイン～納入までの流れと予算感を教えて頂ければと思います。
以上、よろしくお願いいたします。</t>
    <rPh sb="0" eb="1">
      <t>ト</t>
    </rPh>
    <rPh sb="2" eb="3">
      <t>ア</t>
    </rPh>
    <rPh sb="5" eb="7">
      <t>ナイヨウ</t>
    </rPh>
    <phoneticPr fontId="18"/>
  </si>
  <si>
    <t>ku-hirano@plenus.co.jp</t>
  </si>
  <si>
    <t>株式会社プレナス</t>
  </si>
  <si>
    <t>平野公一</t>
  </si>
  <si>
    <t>エンドユーザー：トヨタホーム。
問い合わせ内容：
名古屋にあります広告代理店の株式会社電広の松永と申します。
突然のご連絡申し訳ございません。
弊社クライアントに「トヨタホーム株式会社」がございます。
上記クライアントが2025年に50周年を迎えるにあたりスタッフのユニフォームをリニューアルすることを検討したいと相談を受けております。
つきましては下記にて現時点ではございますが概要を記載させていただきますので、企業向けユニフォームの製造などを貴社にてお引き受けが可能な案件となりうるか一度ご検討いただけないでしょうか。
【デザイン決定】2025年７～８月
【仕様】夏用、冬用（いずれも上下）
【着用対象】トヨタホーム施工スタッフ（男性女性ともに）
【枚数】1000着前後
【納品先】愛知県内一括納品
当方知見があまりないため、不躾な問い合わせであることご容赦いただけますと幸いです。
どうぞよろしくお願いいたします。
・・・・・・・・・・・・・・・・・・・
株式会社電広　松永泰知　Matsunaga Taichi
・・・・・・・・・・・・・・・・・・・
名古屋市中区栄4丁目 14-31 栄オークリッジ10F
TEL:052-243-3751　FAX:052-243-3750
携帯:080-3473-0985
E-mail　 t-matsunaga@denko-ad.co.jp
HP　 https://denko-ad.co.jp/</t>
    <rPh sb="16" eb="17">
      <t>ト</t>
    </rPh>
    <rPh sb="18" eb="19">
      <t>ア</t>
    </rPh>
    <rPh sb="21" eb="23">
      <t>ナイヨウ</t>
    </rPh>
    <phoneticPr fontId="18"/>
  </si>
  <si>
    <t>初回発注の規模小（枚数300名×2枚）のため、既製品を推奨するが、別注を希望しており、現在先方内部にて検討中。</t>
    <rPh sb="2" eb="4">
      <t>ハッチュウ</t>
    </rPh>
    <rPh sb="5" eb="7">
      <t>キボ</t>
    </rPh>
    <rPh sb="7" eb="8">
      <t>ショウ</t>
    </rPh>
    <rPh sb="23" eb="26">
      <t>キセイヒン</t>
    </rPh>
    <rPh sb="27" eb="29">
      <t>スイショウ</t>
    </rPh>
    <rPh sb="33" eb="35">
      <t>ベッチュウ</t>
    </rPh>
    <rPh sb="36" eb="38">
      <t>キボウ</t>
    </rPh>
    <rPh sb="43" eb="45">
      <t>ゲンザイ</t>
    </rPh>
    <rPh sb="45" eb="47">
      <t>センポウ</t>
    </rPh>
    <rPh sb="47" eb="49">
      <t>ナイブ</t>
    </rPh>
    <rPh sb="51" eb="54">
      <t>ケントウチュウ</t>
    </rPh>
    <phoneticPr fontId="18"/>
  </si>
  <si>
    <t>規模小（約200名×2枚貸与で400着想定）および納期を考慮し、既製品を推奨。化粧品メーカー女性半袖ブルゾン（ジャケット）の依頼をいただく。</t>
    <rPh sb="0" eb="3">
      <t>キボショウ</t>
    </rPh>
    <rPh sb="25" eb="27">
      <t>ノウキ</t>
    </rPh>
    <rPh sb="28" eb="30">
      <t>コウリョ</t>
    </rPh>
    <rPh sb="32" eb="35">
      <t>キセイヒン</t>
    </rPh>
    <rPh sb="36" eb="38">
      <t>スイショウ</t>
    </rPh>
    <phoneticPr fontId="18"/>
  </si>
  <si>
    <t>見送り</t>
    <rPh sb="0" eb="2">
      <t>ミオク</t>
    </rPh>
    <phoneticPr fontId="18"/>
  </si>
  <si>
    <t>商談</t>
    <rPh sb="0" eb="2">
      <t>ショウダン</t>
    </rPh>
    <phoneticPr fontId="18"/>
  </si>
  <si>
    <t>フォローなし</t>
    <phoneticPr fontId="18"/>
  </si>
  <si>
    <t>MQL</t>
    <phoneticPr fontId="18"/>
  </si>
  <si>
    <t>中日本ハイウェイ・メンテナンス名古屋株式会社</t>
  </si>
  <si>
    <t>導入時期未定。夏・冬で帽子×1、シャツ×2、パンツ×2、ブルゾン‐1、防寒ジャケット‐1、防塵・防弾ベスト‐1で着用人数は200名。オリジナルへのこだわりはなく、既成品でも検討。シャツ＠5,000円台、パンツ6,000円台が現行。</t>
    <phoneticPr fontId="18"/>
  </si>
  <si>
    <t>訪問</t>
    <rPh sb="0" eb="2">
      <t>ホウモン</t>
    </rPh>
    <phoneticPr fontId="18"/>
  </si>
  <si>
    <t>カタログ送付</t>
    <rPh sb="4" eb="6">
      <t>ソウフ</t>
    </rPh>
    <phoneticPr fontId="18"/>
  </si>
  <si>
    <t>SLA</t>
    <phoneticPr fontId="18"/>
  </si>
  <si>
    <t>営業ジャンパーを新規で導入を検討しておりユニフォーム業者の情報を集めている状況とのこと。
対象は50名。</t>
    <phoneticPr fontId="18"/>
  </si>
  <si>
    <t>カーケア事業部の整備士UN（50名）。初回ロット500～1,000枚、追加最小ロット1,000枚、希望単価@7,000。別事業部を含めると対象は1,500名</t>
    <phoneticPr fontId="18"/>
  </si>
  <si>
    <t>日本空調サービス株式会社</t>
  </si>
  <si>
    <t>上田ゆかり</t>
  </si>
  <si>
    <t>テクノマテリアル</t>
  </si>
  <si>
    <t>松尾徹</t>
  </si>
  <si>
    <t>山下　武</t>
  </si>
  <si>
    <t>edricko</t>
  </si>
  <si>
    <t>naoyuki-yamamoto@meg-snow.com</t>
  </si>
  <si>
    <t>山本直之</t>
  </si>
  <si>
    <t>日ポリ化工株式会社</t>
  </si>
  <si>
    <t>6/30までのデータで集計済</t>
  </si>
  <si>
    <t>2025年</t>
  </si>
  <si>
    <t>CV-WPDL</t>
  </si>
  <si>
    <t>CV-サービス資料DL</t>
  </si>
  <si>
    <t>CV-問合せ</t>
  </si>
  <si>
    <t>案件: 案件名</t>
  </si>
  <si>
    <t>案件: レコードタイプ</t>
  </si>
  <si>
    <t>得意先</t>
  </si>
  <si>
    <t>案件: 作成日</t>
  </si>
  <si>
    <t>ファンケル【通販】2025年3月ご愛顧</t>
  </si>
  <si>
    <t>05.IS</t>
  </si>
  <si>
    <t>株式会社ファンケル</t>
  </si>
  <si>
    <t>よこしん年金プレゼント2025年度</t>
  </si>
  <si>
    <t>横浜信用金庫</t>
  </si>
  <si>
    <t>【ACRO】THREE24年冬GWP</t>
  </si>
  <si>
    <t>株式会社ACRO</t>
  </si>
  <si>
    <t>【天一食品商事】　2024年　スタンプカードキャンペーン</t>
  </si>
  <si>
    <t>株式会社天一食品商事</t>
  </si>
  <si>
    <t>【池田泉州銀行】2024冬キャンペーン</t>
  </si>
  <si>
    <t>株式会社池田泉州銀行</t>
  </si>
  <si>
    <t>文明堂東京2025MC</t>
  </si>
  <si>
    <t>01.企業UN</t>
  </si>
  <si>
    <t>株式会社文明堂東京</t>
  </si>
  <si>
    <t>【ジャストシステム】（国内）定番タブレットカバー</t>
  </si>
  <si>
    <t>株式会社ジャストシステム</t>
  </si>
  <si>
    <t>ウジエスーパー</t>
  </si>
  <si>
    <t>株式会社ウジエスーパー</t>
  </si>
  <si>
    <t>制服切替</t>
  </si>
  <si>
    <t>04.スクール</t>
  </si>
  <si>
    <t>学校法人育成学園</t>
  </si>
  <si>
    <t>【王将フードサービス】25年度お客様感謝CP</t>
  </si>
  <si>
    <t>株式会社王将フードサービス</t>
  </si>
  <si>
    <t>【ブロンコビリー】2025年冬福袋</t>
  </si>
  <si>
    <t>株式会社ブロンコビリー</t>
  </si>
  <si>
    <t>【SBJ】FY25HolidayＴシャツ</t>
  </si>
  <si>
    <t>スターバックスコーヒージャパン株式会社</t>
  </si>
  <si>
    <t>【POLA】グランラグゼ 風呂敷バッグ</t>
  </si>
  <si>
    <t>株式会社ポーラ</t>
  </si>
  <si>
    <t>【エランコジャパン】2025年　処方サポートグッズ</t>
  </si>
  <si>
    <t>エランコジャパン株式会社</t>
  </si>
  <si>
    <t>桐光学園スクールバッグ</t>
  </si>
  <si>
    <t>桐光学園中学校・高等学校</t>
  </si>
  <si>
    <t>【ココス】2025年冬福袋</t>
  </si>
  <si>
    <t>株式会社ココスジャパン</t>
  </si>
  <si>
    <t>JAあさか野ジュエリー展示会</t>
  </si>
  <si>
    <t>06.TS_JA</t>
  </si>
  <si>
    <t>あさか野農業協同組合</t>
  </si>
  <si>
    <t>JAふかやジュエリー展示会</t>
  </si>
  <si>
    <t>ふかや農業協同組合</t>
  </si>
  <si>
    <t>コープ魚沼ジュエリー展示会</t>
  </si>
  <si>
    <t>株式会社コープ魚沼</t>
  </si>
  <si>
    <t>JAさいたま南部メンズ展示会</t>
  </si>
  <si>
    <t>さいたま農業協同組合</t>
  </si>
  <si>
    <t>JAさいたま中部メンズ展示会</t>
  </si>
  <si>
    <t>炭平コーポレーション　東京支店メンズ展示会</t>
  </si>
  <si>
    <t>07.TS_TS</t>
  </si>
  <si>
    <t>炭平コーポレーション株式会社</t>
  </si>
  <si>
    <t>JAさいたま北部メンズ展示会</t>
  </si>
  <si>
    <t>土田商店メンズ展示会</t>
  </si>
  <si>
    <t>株式会社土田商店</t>
  </si>
  <si>
    <t>ふたばメンズ展示会</t>
  </si>
  <si>
    <t>株式会社ふたば</t>
  </si>
  <si>
    <t>【大戸屋】25年冬福袋</t>
  </si>
  <si>
    <t>株式会社大戸屋</t>
  </si>
  <si>
    <t>【物語コーポレーション】キッズ向けカード</t>
  </si>
  <si>
    <t>株式会社物語コーポレーション</t>
  </si>
  <si>
    <t>【セブン＆アイフードシステムズ】Denny'sリブランディング(メニュー)</t>
  </si>
  <si>
    <t>株式会社セブン&amp;アイ・フードシステムズ</t>
  </si>
  <si>
    <t>【日立Astemo】全世界UNモデルチェンジ</t>
  </si>
  <si>
    <t>日立Astemo株式会社</t>
  </si>
  <si>
    <t>K511リフレッシュルーム</t>
  </si>
  <si>
    <t>三菱電機株式会社</t>
  </si>
  <si>
    <t>テスト</t>
  </si>
  <si>
    <t>09. TS_社販</t>
  </si>
  <si>
    <t>thomas株式会社</t>
  </si>
  <si>
    <t>【エームサービス】管理栄養士/SV/NSSVユニフォーム刷新</t>
  </si>
  <si>
    <t>エームサービス株式会社</t>
  </si>
  <si>
    <t>赤穂オフィス改修</t>
  </si>
  <si>
    <t>2025MC</t>
  </si>
  <si>
    <t>KDDI株式会社</t>
  </si>
  <si>
    <t>【早稲田アカデミー】2024年度　2025年入塾記念品</t>
  </si>
  <si>
    <t>株式会社早稲田アカデミー</t>
  </si>
  <si>
    <t>【日本ケロッグ】2025シリアルフェス</t>
  </si>
  <si>
    <t>日本ケロッグ合同会社</t>
  </si>
  <si>
    <t>AIVAR</t>
  </si>
  <si>
    <t>2025/2着用開始 新店舗UN</t>
  </si>
  <si>
    <t>株式会社ヨークベニマル</t>
  </si>
  <si>
    <t>【大戸屋】福袋</t>
  </si>
  <si>
    <t>創価小学校</t>
  </si>
  <si>
    <t>学校法人創価学園</t>
  </si>
  <si>
    <t>【エスケー化研】2024年エスケープレミアムキャンペーン</t>
  </si>
  <si>
    <t>エスケー化研株式会社</t>
  </si>
  <si>
    <t>アユーラ2025年3末MC案件</t>
  </si>
  <si>
    <t>株式会社アインファーマシーズ</t>
  </si>
  <si>
    <t>【ハーバー研究所】2025年3月＆5月キャンペーン</t>
  </si>
  <si>
    <t>株式会社ハーバー研究所</t>
  </si>
  <si>
    <t>八王子学園八王子中学校・高等学校</t>
  </si>
  <si>
    <t>八王子学園八王子高等学校</t>
  </si>
  <si>
    <t>ヤクルト90周年記念品</t>
  </si>
  <si>
    <t>株式会社ヤクルト本社</t>
  </si>
  <si>
    <t>2026年春キャンペーン施策向けノベルティ提案</t>
  </si>
  <si>
    <t>【ドトールコーヒー】2025年　初荷（福袋）</t>
  </si>
  <si>
    <t>テスト2</t>
  </si>
  <si>
    <t>提案</t>
  </si>
  <si>
    <t>HITOWAフードサービス株式会社</t>
  </si>
  <si>
    <t>2026年1月MC　RMK</t>
  </si>
  <si>
    <t>株式会社エキップ</t>
  </si>
  <si>
    <t>2026年1月MC　SUQQU</t>
  </si>
  <si>
    <t>2027年3月MC　CPB</t>
  </si>
  <si>
    <t>株式会社資生堂</t>
  </si>
  <si>
    <t>花王　工場作業服</t>
  </si>
  <si>
    <t>花王株式会社</t>
  </si>
  <si>
    <t>【横浜マリノス】2025年度ファンクラブ入会特典</t>
  </si>
  <si>
    <t>横浜マリノス株式会社</t>
  </si>
  <si>
    <t>【川崎フロンターレ】2025年度ファンクラブ入会特典</t>
  </si>
  <si>
    <t>株式会社川崎フロンターレ</t>
  </si>
  <si>
    <t>テスト３</t>
  </si>
  <si>
    <t>【東海マツダ】2024年　ポロシャツ</t>
  </si>
  <si>
    <t>東海マツダ販売株式会社</t>
  </si>
  <si>
    <t>2025年度更新ユニフォーム</t>
  </si>
  <si>
    <t>大井川農業協同組合</t>
  </si>
  <si>
    <t>【zoff 】新店オープンノベルティ</t>
  </si>
  <si>
    <t>株式会社インターメスティック</t>
  </si>
  <si>
    <t>【La Ohana】　2024年秋CP</t>
  </si>
  <si>
    <t>女子パンツスーツ</t>
  </si>
  <si>
    <t>筑紫女学園高等学校</t>
  </si>
  <si>
    <t>西日本高速道路メンテナンス関西〈作業服〉</t>
  </si>
  <si>
    <t>西日本高速道路メンテナンス関西株式会社</t>
  </si>
  <si>
    <t>【シャトレーゼ】25年度バレンタインバッグ</t>
  </si>
  <si>
    <t>株式会社シャトレーゼ</t>
  </si>
  <si>
    <t>【日本ピザハット】ピザハットテイクアウトバッグ</t>
  </si>
  <si>
    <t>日本ピザハット株式会社</t>
  </si>
  <si>
    <t>【ACRO】THREE資材（フレグランス、キット）</t>
  </si>
  <si>
    <t>【三井住友トラストクラブ】ダイナース25年BDギフト</t>
  </si>
  <si>
    <t>三井住友トラストクラブ株式会社</t>
  </si>
  <si>
    <t>【ファンケル店舗】2025年店舗6月金額縛り</t>
  </si>
  <si>
    <t>【サッポロビール】2024年ヱビスビールジャンパー</t>
  </si>
  <si>
    <t>サッポロビール株式会社</t>
  </si>
  <si>
    <t>【リーガル】2024テディベア</t>
  </si>
  <si>
    <t>株式会社リーガルコーポレーション</t>
  </si>
  <si>
    <t>K&amp;Oエナジー25年</t>
  </si>
  <si>
    <t>K&amp;Oエナジーグループ株式会社</t>
  </si>
  <si>
    <t>オルビス店舗制服リニューアル</t>
  </si>
  <si>
    <t>オルビス株式会社</t>
  </si>
  <si>
    <t>ナースステージ　新型（プルオーバー）</t>
  </si>
  <si>
    <t>03.メディカル_別注</t>
  </si>
  <si>
    <t>株式会社ナースステージ</t>
  </si>
  <si>
    <t>テスト４</t>
  </si>
  <si>
    <t>02.メディカル_カタログ</t>
  </si>
  <si>
    <t>店舗ユニフォーム更新　日産レンタカー</t>
  </si>
  <si>
    <t>株式会社日産カーレンタルソリューション</t>
  </si>
  <si>
    <t>【なか卯】2025年冬福袋</t>
  </si>
  <si>
    <t>株式会社ゼンショーファストホールディングス</t>
  </si>
  <si>
    <t>【ジョナサン】　2025冬福袋</t>
  </si>
  <si>
    <t>【SBJ】FY25カスタマイズジャーニーセット</t>
  </si>
  <si>
    <t>【NEWART】銀座ダイヤモンドシライシ　ご来店（＆ご成約特典）</t>
  </si>
  <si>
    <t>株式会社ＮＥＷＡＲＴＨＯＬＤＩＮＧＳ</t>
  </si>
  <si>
    <t>TOHOシネマズ　2025MC</t>
  </si>
  <si>
    <t>TOHOシネマズ株式会社</t>
  </si>
  <si>
    <t>【セレッソ大阪】2025年FC特典</t>
  </si>
  <si>
    <t>株式会社セレッソ大阪</t>
  </si>
  <si>
    <t>【名古屋グランパス】2025FC特典</t>
  </si>
  <si>
    <t>株式会社名古屋グランパスエイト</t>
  </si>
  <si>
    <t>【アテニア】2025年夏キャンペーン</t>
  </si>
  <si>
    <t>株式会社アテニア</t>
  </si>
  <si>
    <t>【むさしの森珈琲】　2025冬福袋</t>
  </si>
  <si>
    <t>【La Ohana】　2025年冬福袋</t>
  </si>
  <si>
    <t>【アトム】2025年度　ステーキ宮の福袋</t>
  </si>
  <si>
    <t>株式会社アトム</t>
  </si>
  <si>
    <t>【千趣会】2025年度　ちょこちょこ販売商品</t>
  </si>
  <si>
    <t>株式会社千趣会</t>
  </si>
  <si>
    <t>【八天堂】2025年度　セット販売バッグ</t>
  </si>
  <si>
    <t>株式会社八天堂</t>
  </si>
  <si>
    <t>【日本生命】2026年展開タブレットケース</t>
  </si>
  <si>
    <t>日本生命保険相互会社</t>
  </si>
  <si>
    <t>【エム・シィオー】2025年　お歳暮ギフト</t>
  </si>
  <si>
    <t>株式会社エム・シィオー</t>
  </si>
  <si>
    <t>2025年度　処方サポートグッズ</t>
  </si>
  <si>
    <t>ベーリンガーインゲルハイムアニマルヘルスジャパン式会社</t>
  </si>
  <si>
    <t>祐誠高校　モデルチェンジ</t>
  </si>
  <si>
    <t>学校法人久留米工業大学　祐誠高等学校</t>
  </si>
  <si>
    <t>【キャメル珈琲】2025年度　レモンサワー用保冷バッグ</t>
  </si>
  <si>
    <t>株式会社キャメル珈琲</t>
  </si>
  <si>
    <t>【四谷大塚】2024年通塾バッグ</t>
  </si>
  <si>
    <t>株式会社四谷大塚</t>
  </si>
  <si>
    <t>丸広百貨店2026食品女性制服MC</t>
  </si>
  <si>
    <t>株式会社丸広百貨店</t>
  </si>
  <si>
    <t>ドトール社員エンゲージメントアップ提案</t>
  </si>
  <si>
    <t>【横浜ゴム】　2025年　冬ジャンパー</t>
  </si>
  <si>
    <t>横浜ゴム株式会社</t>
  </si>
  <si>
    <t>【日本ケロッグ】2024年　シリアルフェス</t>
  </si>
  <si>
    <t>【再春館製薬所】2025年　ドモホルンリンクル購入特典（基本４点セット３日分プレゼント）　50th限定企画</t>
  </si>
  <si>
    <t>株式会社再春館製薬所</t>
  </si>
  <si>
    <t>【星和ビジネスリンク】損保キャンペーン2024年度第Ⅲ期</t>
  </si>
  <si>
    <t>株式会社星和ビジネスリンク</t>
  </si>
  <si>
    <t>ジュエリー展</t>
  </si>
  <si>
    <t>埼玉中央農業協同組合</t>
  </si>
  <si>
    <t>男性POスーツ制服、女性制服、作業服</t>
  </si>
  <si>
    <t>08.TS_UN</t>
  </si>
  <si>
    <t>献血参加　促進施策</t>
  </si>
  <si>
    <t>株式会社日赤サービス</t>
  </si>
  <si>
    <t>【JNTL】2024年度 25年CL1月号</t>
  </si>
  <si>
    <t>JNTLコンシューマーヘルス株式会社</t>
  </si>
  <si>
    <t>男性POスーツ制服</t>
  </si>
  <si>
    <t>ほくさい農業協同組合</t>
  </si>
  <si>
    <t>ちちぶ農業協同組合</t>
  </si>
  <si>
    <t>埼玉みずほ農業協同組合</t>
  </si>
  <si>
    <t>紳士服採寸会</t>
  </si>
  <si>
    <t>【ディーエイチシー】2025年11月通販施策</t>
  </si>
  <si>
    <t>株式会社ディーエイチシー</t>
  </si>
  <si>
    <t>【エム・シィオー】2025年　12月コンサートグッズ</t>
  </si>
  <si>
    <t>2重作成</t>
  </si>
  <si>
    <t>鍋小屋　おちょこ＆空間提案</t>
  </si>
  <si>
    <t>株式会社横浜赤レンガ</t>
  </si>
  <si>
    <t>【楽天】UNリニューアル</t>
  </si>
  <si>
    <t>楽天トータルソリューションズ株式会社</t>
  </si>
  <si>
    <t>【サクラクレパス】水彩画セット</t>
  </si>
  <si>
    <t>株式会社サクラクレパス</t>
  </si>
  <si>
    <t>【ジョリーパスタ】2025年　夏福袋</t>
  </si>
  <si>
    <t>株式会社ジョリーパスタ</t>
  </si>
  <si>
    <t>【阪神タイガース】2025年TORACO</t>
  </si>
  <si>
    <t>株式会社阪神タイガース</t>
  </si>
  <si>
    <t>【Zoetis Japan】2025年度　処方サポートグッズ</t>
  </si>
  <si>
    <t>ゾエティス・ジャパン株式会社</t>
  </si>
  <si>
    <t>多摩運送2029年80周年MC</t>
  </si>
  <si>
    <t>多摩運送株式会社</t>
  </si>
  <si>
    <t>【ぺんてる】2025年度　画材セット</t>
  </si>
  <si>
    <t>ぺんてる株式会社</t>
  </si>
  <si>
    <t>【シャトレーゼ】25年さくらバッグ</t>
  </si>
  <si>
    <t>【シャトレーゼ】入学式向けランドセルバッグ</t>
  </si>
  <si>
    <t>【吉野家】牛ポ　パワスピ</t>
  </si>
  <si>
    <t>株式会社吉野家ホールディングス</t>
  </si>
  <si>
    <t>株式会社やまびこ</t>
  </si>
  <si>
    <t>2025MC JR東日本メッツホテル</t>
  </si>
  <si>
    <t>日本ホテル株式会社</t>
  </si>
  <si>
    <t>2026MC 相鉄フレッサイン</t>
  </si>
  <si>
    <t>株式会社相鉄ホテルマネジメント</t>
  </si>
  <si>
    <t>2025MC  DHC</t>
  </si>
  <si>
    <t>タカミヤ</t>
  </si>
  <si>
    <t>【ファンケル通販】2025年7月11月ご愛顧CP</t>
  </si>
  <si>
    <t>【ファンケル通販】2025年5月新基礎発売CP</t>
  </si>
  <si>
    <t>【SUBARU】2025年初売フェア</t>
  </si>
  <si>
    <t>株式会社SUBARU</t>
  </si>
  <si>
    <t>獨協自習室空間デザイン</t>
  </si>
  <si>
    <t>学校法人獨協学園獨協中学校・獨協高等学校</t>
  </si>
  <si>
    <t>獨協ポロシャツ</t>
  </si>
  <si>
    <t>芝制服</t>
  </si>
  <si>
    <t>芝高等学校</t>
  </si>
  <si>
    <t>横須賀制服</t>
  </si>
  <si>
    <t>横須賀学院中学校高等学校</t>
  </si>
  <si>
    <t>【ダンロップタイヤ】2024大谷翔平タオル</t>
  </si>
  <si>
    <t>株式会社ダンロップタイヤ</t>
  </si>
  <si>
    <t>三協立山　関東支店　CPジャンパー</t>
  </si>
  <si>
    <t>三協立山株式会社</t>
  </si>
  <si>
    <t>【ディーエイチシー】2025年　全会員向け施策</t>
  </si>
  <si>
    <t>【福岡ソフトバンクホークス】お父さんケーブルバイト</t>
  </si>
  <si>
    <t>福岡ソフトバンクホークス株式会社</t>
  </si>
  <si>
    <t>【JNTL】2024年度 25年CL2.3月号</t>
  </si>
  <si>
    <t>持田製薬工場女性半袖作業服引き合い</t>
  </si>
  <si>
    <t>持田製薬工場株式会社</t>
  </si>
  <si>
    <t>【パルシステム生活協同組合連合会】2025年度ノベルティ</t>
  </si>
  <si>
    <t>パルシステム生活協同組合連合会</t>
  </si>
  <si>
    <t>JAふかや女子制服</t>
  </si>
  <si>
    <t>2025年ファンクラブ入会特典品</t>
  </si>
  <si>
    <t>株式会社広島東洋カープ</t>
  </si>
  <si>
    <t>【ライフ】PB　販売品</t>
  </si>
  <si>
    <t>株式会社ライフコーポレーション</t>
  </si>
  <si>
    <t>【紀伊国屋書店】ヨシタケシンスケコラボグッズ</t>
  </si>
  <si>
    <t>株式会社紀伊國屋書店</t>
  </si>
  <si>
    <t>【第一三共ヘルスケア】2024　ブライトエイジ継続特典</t>
  </si>
  <si>
    <t>第一三共ヘルスケアダイレクト株式会社</t>
  </si>
  <si>
    <t>【本田技研工業】2024　ユニフォームアップサイクル</t>
  </si>
  <si>
    <t>本田技研工業株式会社</t>
  </si>
  <si>
    <t>【ACRO】2025年度 THREE25年夏GWP</t>
  </si>
  <si>
    <t>【シャトレーゼ】25年母の日バッグ</t>
  </si>
  <si>
    <t>【TBC】VIP会員向け企画</t>
  </si>
  <si>
    <t>TBC グループ株式会社</t>
  </si>
  <si>
    <t>【夢庵・藍屋】2025食事キャンペーン</t>
  </si>
  <si>
    <t>【DBC】10周年ジャンパー</t>
  </si>
  <si>
    <t>株式会社ダイハツビジネスサポートセンター</t>
  </si>
  <si>
    <t>【ヤンマーマルシェ】2025年　3から5月</t>
  </si>
  <si>
    <t>ヤンマーマルシェ株式会社</t>
  </si>
  <si>
    <t>【キリンビバレッジ】東北エリア　記念ジャンバー</t>
  </si>
  <si>
    <t>キリンビバレッジ株式会社</t>
  </si>
  <si>
    <t>【やずや】還元祭</t>
  </si>
  <si>
    <t>株式会社やずや</t>
  </si>
  <si>
    <t>【えがお】2025バースデー</t>
  </si>
  <si>
    <t>株式会社えがお</t>
  </si>
  <si>
    <t>2025年サマーバッグ</t>
  </si>
  <si>
    <t>株式会社コメダ</t>
  </si>
  <si>
    <t>【ACRO】2024年度 NewYearGWP</t>
  </si>
  <si>
    <t>【日本生命】2025タブレットケース</t>
  </si>
  <si>
    <t>ユニフォームモデルチェンジ</t>
  </si>
  <si>
    <t>株式会社日立インダストリアルプロダクツ</t>
  </si>
  <si>
    <t>店舗リブランディング提案</t>
  </si>
  <si>
    <t>【東邦ガス】2025ガス展販促、会員特典</t>
  </si>
  <si>
    <t>東邦ガスライフソリューションズ株式会社</t>
  </si>
  <si>
    <t>2025年　大阪万博エコバッグ</t>
  </si>
  <si>
    <t>大塚製薬株式会社</t>
  </si>
  <si>
    <t>【大塚製薬】2026年　インナーシグナル　バースデーギフト</t>
  </si>
  <si>
    <t>2025年　ノベルティ</t>
  </si>
  <si>
    <t>日野自動車株式会社</t>
  </si>
  <si>
    <t>来場・試乗査定記念品</t>
  </si>
  <si>
    <t>フォルクスワーゲングループジャパン株式会社</t>
  </si>
  <si>
    <t>アスリートウェア　リニューアル</t>
  </si>
  <si>
    <t>セントラルスポーツ株式会社</t>
  </si>
  <si>
    <t>中華祭り2025</t>
  </si>
  <si>
    <t>株式会社SLCreations</t>
  </si>
  <si>
    <t>クリスマスフェア2025</t>
  </si>
  <si>
    <t>26年6月MC案件</t>
  </si>
  <si>
    <t>株式会社アコモデーションファースト</t>
  </si>
  <si>
    <t>【TOTO】2025年施工店向け夏ノベルティ</t>
  </si>
  <si>
    <t>TOTO株式会社</t>
  </si>
  <si>
    <t>蓮屋珈琲OPEN記念品</t>
  </si>
  <si>
    <t>25年夏福袋</t>
  </si>
  <si>
    <t>株式会社はま寿司</t>
  </si>
  <si>
    <t>【リーガル】　2025春キャンペーン</t>
  </si>
  <si>
    <t>【ディーエイチシー】2025　化粧品限定ポーチ施策_３月</t>
  </si>
  <si>
    <t>551蓬莱</t>
  </si>
  <si>
    <t>株式会社蓬莱</t>
  </si>
  <si>
    <t>ダイキン工業〈秘書制服〉</t>
  </si>
  <si>
    <t>ダイキン工業株式会社</t>
  </si>
  <si>
    <t>大鉄工業〈作業服〉</t>
  </si>
  <si>
    <t>大鉄工業株式会社</t>
  </si>
  <si>
    <t>アルビオン；24AWカットソー</t>
  </si>
  <si>
    <t>株式会社アルビオン</t>
  </si>
  <si>
    <t>積水樹脂〈作業服〉</t>
  </si>
  <si>
    <t>積水樹脂株式会社</t>
  </si>
  <si>
    <t>第一三共　グループ統一UN</t>
  </si>
  <si>
    <t>第一三共株式会社</t>
  </si>
  <si>
    <t>【ECC】2025紹介キャンペーン</t>
  </si>
  <si>
    <t>株式会社スタジオ・エフ</t>
  </si>
  <si>
    <t>25年バースデーDMプレゼント</t>
  </si>
  <si>
    <t>株式会社鎌倉パスタ</t>
  </si>
  <si>
    <t>【日本生命】2024年第2期FCアカデミー</t>
  </si>
  <si>
    <t>【パーソルテンプスタッフ】テンプの日ギフト</t>
  </si>
  <si>
    <t>パーソルテンプスタッフ株式会社</t>
  </si>
  <si>
    <t>【関東マツダ】2025年　福袋</t>
  </si>
  <si>
    <t>株式会社関東マツダ</t>
  </si>
  <si>
    <t>中部国際空港旅客サービス；接客ユニフォーム</t>
  </si>
  <si>
    <t>中部国際空港旅客サービス株式会社</t>
  </si>
  <si>
    <t>矢崎総業グループ統一UN</t>
  </si>
  <si>
    <t>矢崎総業株式会社</t>
  </si>
  <si>
    <t>リケングループ統一UN</t>
  </si>
  <si>
    <t>株式会社リケン</t>
  </si>
  <si>
    <t>ハチバン；店舗ユニフォーム（60周年）</t>
  </si>
  <si>
    <t>株式会社ハチバン</t>
  </si>
  <si>
    <t>アルビオン：AL26SS制服</t>
  </si>
  <si>
    <t>新店舗ユニフォーム</t>
  </si>
  <si>
    <t>上組</t>
  </si>
  <si>
    <t>株式会社上組</t>
  </si>
  <si>
    <t>作業服モデルチェンジ</t>
  </si>
  <si>
    <t>関西電力送配電株式会社</t>
  </si>
  <si>
    <t>住友電気工業〈作業服〉</t>
  </si>
  <si>
    <t>住友電気工業株式会社</t>
  </si>
  <si>
    <t>おおさかパルコープ〈配送UN〉</t>
  </si>
  <si>
    <t>生活協同組合おおさかパルコープ</t>
  </si>
  <si>
    <t>【SUBARU】2024　成約プレミア</t>
  </si>
  <si>
    <t>【エランコジャパン】2025年　看護師向けノベルティ</t>
  </si>
  <si>
    <t>MEBS25年3月～MC</t>
  </si>
  <si>
    <t>三菱電機ビルソリューションズ株式会社</t>
  </si>
  <si>
    <t>【三井住友トラストクラブ】2025年度 ダイナース銀座プレミアムラウンジ_ドリンクカウンター</t>
  </si>
  <si>
    <t>男女統合パンツマイナーチェンジ</t>
  </si>
  <si>
    <t>社会福祉法人三篠会特別養護老人ホーム介護老人保健施設ひうな荘</t>
  </si>
  <si>
    <t>【フェリシモ】もしもしもきほんのき追加</t>
  </si>
  <si>
    <t>株式会社フェリシモ</t>
  </si>
  <si>
    <t>佐世保共済病院MC</t>
  </si>
  <si>
    <t>佐世保共済病院</t>
  </si>
  <si>
    <t>【むさしの森珈琲】2025春福袋</t>
  </si>
  <si>
    <t>【花王】メリーズ2025フロッキー人形＆ブランケット</t>
  </si>
  <si>
    <t>アプリポイント交換グッズ</t>
  </si>
  <si>
    <t>【JNTL】2025年度 25年CL4,5月号</t>
  </si>
  <si>
    <t>【ファーマフーズ】GWP企画</t>
  </si>
  <si>
    <t>株式会社ファーマフーズ</t>
  </si>
  <si>
    <t>【フェリシモ】2025もしもしも　車防災</t>
  </si>
  <si>
    <t>牟田病院MC</t>
  </si>
  <si>
    <t>誠和会　牟田病院</t>
  </si>
  <si>
    <t>油山病院MC</t>
  </si>
  <si>
    <t>油山病院</t>
  </si>
  <si>
    <t>中国電力〈防寒着/雨衣〉</t>
  </si>
  <si>
    <t>中国電力株式会社</t>
  </si>
  <si>
    <t>【日清食品チルド】2024年_べた付け用保冷バッグ</t>
  </si>
  <si>
    <t>日清食品チルド株式会社</t>
  </si>
  <si>
    <t>【ディーエイチシー】2025年2月化粧品施策_ヘアケア</t>
  </si>
  <si>
    <t>【ココス】2025年夏福袋</t>
  </si>
  <si>
    <t>【施工管理】24年12月末MC</t>
  </si>
  <si>
    <t>住友林業ホームエンジニアリング株式会社</t>
  </si>
  <si>
    <t>【アワーズ】アドベンチャーワールド2025年福袋</t>
  </si>
  <si>
    <t>株式会社アワーズ</t>
  </si>
  <si>
    <t>インナーシグナル・サクラエ　ブルゾン</t>
  </si>
  <si>
    <t>中華祭り、クリスマス購入特典</t>
  </si>
  <si>
    <t>2026年　SMILEBOX【福袋】</t>
  </si>
  <si>
    <t>株式会社すき家</t>
  </si>
  <si>
    <t>【キャメル珈琲】2025年 夏のコーヒーバッグ</t>
  </si>
  <si>
    <t>【キャメル珈琲】2025年 レモンバッグ</t>
  </si>
  <si>
    <t>【キャメル珈琲】2025年 スパイスバッグ</t>
  </si>
  <si>
    <t>【日清食品】阪神タイガース応援CP2024</t>
  </si>
  <si>
    <t>日清食品株式会社</t>
  </si>
  <si>
    <t>【POLA】BA2024年6月キャンペーン</t>
  </si>
  <si>
    <t>【JNTL】2024年度 24年CL5,6月号</t>
  </si>
  <si>
    <t>【SBJ】FY24　SUMMER２　Promotion サステナ雑貨</t>
  </si>
  <si>
    <t>【SBJ】SUMMER　Promotion　Tシャツ</t>
  </si>
  <si>
    <t>【JNTL】2024年度 24年CL8,9,10月号</t>
  </si>
  <si>
    <t>【ファンケル通販】販売ODM 8月号</t>
  </si>
  <si>
    <t>【日清食品】8月CVS店頭施策</t>
  </si>
  <si>
    <t>【ファンケル店舗】2024年度スタンプラリー企画</t>
  </si>
  <si>
    <t>【ディーエイチシー】2024年 全会員向け施策</t>
  </si>
  <si>
    <t>【ウォータースタンド】AIロボット（Romi）衣装</t>
  </si>
  <si>
    <t>ウォータースタンド株式会社</t>
  </si>
  <si>
    <t>【ファンケル通店合同】健康食品30周年ご愛顧CP</t>
  </si>
  <si>
    <t>【カネボウ化粧品】リサージご購入者プレゼント</t>
  </si>
  <si>
    <t>株式会社カネボウ化粧品</t>
  </si>
  <si>
    <t>【ANA】2024機内玩具</t>
  </si>
  <si>
    <t>【イオン】2024年イオン超春トク祭り</t>
  </si>
  <si>
    <t>イオンリテール株式会社</t>
  </si>
  <si>
    <t>【イオン】2024年BLACK FRIDAY</t>
  </si>
  <si>
    <t>【イオン】2025年トップバリュ福袋</t>
  </si>
  <si>
    <t>【ECC】　紹介キャンペーン</t>
  </si>
  <si>
    <t>【鎌倉パスタ】25年バースデーギフト</t>
  </si>
  <si>
    <t>【ココス】25年夏福袋</t>
  </si>
  <si>
    <t>【物語コーポレーション】アプリ特典</t>
  </si>
  <si>
    <t>暑さ対策アイテム提案</t>
  </si>
  <si>
    <t>三菱地所コミュニティ株式会社</t>
  </si>
  <si>
    <t>作業服</t>
  </si>
  <si>
    <t>株式会社JR東日本環境アクセス</t>
  </si>
  <si>
    <t>店舗制服リニューアル</t>
  </si>
  <si>
    <t>フルラジャパン株式会社</t>
  </si>
  <si>
    <t>ゲラン制服リニューアル</t>
  </si>
  <si>
    <t>防災関連</t>
  </si>
  <si>
    <t>日本赤十字社</t>
  </si>
  <si>
    <t>一般社団法人日本自動車連盟</t>
  </si>
  <si>
    <t>店舗制服（既製品）</t>
  </si>
  <si>
    <t>株式会社タックルベリー</t>
  </si>
  <si>
    <t>株式会社ヤマダホームズ</t>
  </si>
  <si>
    <t>百貨店店舗制服</t>
  </si>
  <si>
    <t>キーコーヒー株式会社</t>
  </si>
  <si>
    <t>株式会社メッセ</t>
  </si>
  <si>
    <t>レインウェア</t>
  </si>
  <si>
    <t>株式会社読売新聞グループ本社</t>
  </si>
  <si>
    <t>EFウェア</t>
  </si>
  <si>
    <t>ドレス事業制服（既製品）</t>
  </si>
  <si>
    <t>株式会社ノバレーゼ</t>
  </si>
  <si>
    <t>作業服（夏服）</t>
  </si>
  <si>
    <t>東日本電信電話株式会社</t>
  </si>
  <si>
    <t>株式会社ペッパーフードサービス</t>
  </si>
  <si>
    <t>介護施設制服リニューアル</t>
  </si>
  <si>
    <t>SOMPOケア株式会社</t>
  </si>
  <si>
    <t>実践学園制服</t>
  </si>
  <si>
    <t>実践学園中学・高等学校</t>
  </si>
  <si>
    <t>霞ヶ浦制服</t>
  </si>
  <si>
    <t>学校法人霞ヶ浦高等学校</t>
  </si>
  <si>
    <t>桐朋女子制服</t>
  </si>
  <si>
    <t>学校法人桐朋学園女子部門桐朋女子中・高等学校</t>
  </si>
  <si>
    <t>西武学園文理制服</t>
  </si>
  <si>
    <t>西武学園文理中学・高等学校</t>
  </si>
  <si>
    <t>星野制服</t>
  </si>
  <si>
    <t>星野高等学校</t>
  </si>
  <si>
    <t>ラーニングコモンズ空間デザイン</t>
  </si>
  <si>
    <t>東京農業大学第三中学高等学校</t>
  </si>
  <si>
    <t>獨協制服</t>
  </si>
  <si>
    <t>食堂空間デザイン</t>
  </si>
  <si>
    <t>学校法人翔光学園横浜創学館高等学校</t>
  </si>
  <si>
    <t>大泉制服</t>
  </si>
  <si>
    <t>東京都立大泉高等学校・高等学校附属中学校</t>
  </si>
  <si>
    <t>渋谷本町こども園制服</t>
  </si>
  <si>
    <t>渋谷教育学園渋谷本町こども園</t>
  </si>
  <si>
    <t>跡見体操着</t>
  </si>
  <si>
    <t>跡見学園高等学校</t>
  </si>
  <si>
    <t>跡見ポロシャツ</t>
  </si>
  <si>
    <t>成徳ポロシャツ</t>
  </si>
  <si>
    <t>東京成徳大学中学・高等学校</t>
  </si>
  <si>
    <t>国立印刷局　作業服</t>
  </si>
  <si>
    <t>独立行政法人国立印刷局</t>
  </si>
  <si>
    <t>あおもり国スポ・障スポ</t>
  </si>
  <si>
    <t>青森県</t>
  </si>
  <si>
    <t>岐阜信用金庫　事務服</t>
  </si>
  <si>
    <t>岐阜信用金庫</t>
  </si>
  <si>
    <t>ソニー　作業服</t>
  </si>
  <si>
    <t>ソニー株式会社</t>
  </si>
  <si>
    <t>つばめ自動車　乗務員制服</t>
  </si>
  <si>
    <t>つばめ自動車株式会社</t>
  </si>
  <si>
    <t>SUBARU　工場作業服</t>
  </si>
  <si>
    <t>SUBARU　メカニック用ユニフォーム</t>
  </si>
  <si>
    <t>浜松ホトニクス　工場作業服</t>
  </si>
  <si>
    <t>浜松ホトニクス株式会社</t>
  </si>
  <si>
    <t>デクセリアルズ</t>
  </si>
  <si>
    <t>デクセリアルズ株式会社</t>
  </si>
  <si>
    <t>紅屋商事</t>
  </si>
  <si>
    <t>紅屋商事株式会社</t>
  </si>
  <si>
    <t>コープサンネット東北</t>
  </si>
  <si>
    <t>生活協同組合連合会コープ東北サンネット事業連合</t>
  </si>
  <si>
    <t>盛岡信用金庫</t>
  </si>
  <si>
    <t>JA津軽みらい</t>
  </si>
  <si>
    <t>津軽みらい農業協同組合</t>
  </si>
  <si>
    <t>JR北海道バス</t>
  </si>
  <si>
    <t>ジェイ・アール北海道バス株式会社</t>
  </si>
  <si>
    <t>サトー商会</t>
  </si>
  <si>
    <t>株式会社サトー商会</t>
  </si>
  <si>
    <t>トスネット</t>
  </si>
  <si>
    <t>株式会社トスネット</t>
  </si>
  <si>
    <t>2027MC/防寒・レイン</t>
  </si>
  <si>
    <t>関東エリアクリーン</t>
  </si>
  <si>
    <t>株式会社関東エリアクリーン</t>
  </si>
  <si>
    <t>トヨタレンタリース茨城</t>
  </si>
  <si>
    <t>株式会社トヨタレンタリース茨城</t>
  </si>
  <si>
    <t>カメイ</t>
  </si>
  <si>
    <t>カメイ株式会社</t>
  </si>
  <si>
    <t>九里学園高校</t>
  </si>
  <si>
    <t>九里学園高等学校</t>
  </si>
  <si>
    <t>仙台西高校</t>
  </si>
  <si>
    <t>仙台西高等学校</t>
  </si>
  <si>
    <t>迫桜高校</t>
  </si>
  <si>
    <t>宮城県迫桜高等学校</t>
  </si>
  <si>
    <t>聖和学園高校</t>
  </si>
  <si>
    <t>聖和学園高等学校</t>
  </si>
  <si>
    <t>公立置賜総合病院</t>
  </si>
  <si>
    <t>大原綜合病院</t>
  </si>
  <si>
    <t>一般財団法人大原記念財団大原綜合病院</t>
  </si>
  <si>
    <t>JA福島厚生連</t>
  </si>
  <si>
    <t>ＪＡ福島厚生連業務部（本部）</t>
  </si>
  <si>
    <t>栗原市統一</t>
  </si>
  <si>
    <t>栗原中央病院</t>
  </si>
  <si>
    <t>カレス記念病院</t>
  </si>
  <si>
    <t>社会医療法人社団カレスサッポロカレス記念病院</t>
  </si>
  <si>
    <t>総合南東北病院（岩沼）</t>
  </si>
  <si>
    <t>将道会　総合南東北病院</t>
  </si>
  <si>
    <t>健生病院</t>
  </si>
  <si>
    <t>津軽保健生活協同組合健生病院</t>
  </si>
  <si>
    <t>東北医科薬科大学病院</t>
  </si>
  <si>
    <t>太田綜合病院</t>
  </si>
  <si>
    <t>一般財団法人太田綜合病院</t>
  </si>
  <si>
    <t>総合南東北病院（郡山）</t>
  </si>
  <si>
    <t>石巻赤十字病院</t>
  </si>
  <si>
    <t>函館中央病院</t>
  </si>
  <si>
    <t>山形済生病院</t>
  </si>
  <si>
    <t>山形県立統一</t>
  </si>
  <si>
    <t>山形県立中央病院</t>
  </si>
  <si>
    <t>手稲渓仁会病院</t>
  </si>
  <si>
    <t>医療法人渓仁会手稲渓仁会病院</t>
  </si>
  <si>
    <t>仙台オープン病院</t>
  </si>
  <si>
    <t>仙台徳洲会病院</t>
  </si>
  <si>
    <t>公立岩瀬病院</t>
  </si>
  <si>
    <t>あづま脳神経外科病院</t>
  </si>
  <si>
    <t>岩見沢市立総合病院</t>
  </si>
  <si>
    <t>市立札幌病院</t>
  </si>
  <si>
    <t>札幌市病院局市立札幌病院</t>
  </si>
  <si>
    <t>JA北海道厚生連</t>
  </si>
  <si>
    <t>北海道厚生農業協同組合連合会</t>
  </si>
  <si>
    <t>仙台市立病院</t>
  </si>
  <si>
    <t>旭川医科大学病院</t>
  </si>
  <si>
    <t>がん研有明病院</t>
  </si>
  <si>
    <t>山梨厚生病院</t>
  </si>
  <si>
    <t>公立藤岡総合病院</t>
  </si>
  <si>
    <t>平塚市民病院</t>
  </si>
  <si>
    <t>新小山市民病院</t>
  </si>
  <si>
    <t>地方独立行政法人新小山市民病院</t>
  </si>
  <si>
    <t>田中脳神経外科病院</t>
  </si>
  <si>
    <t>九段坂病院</t>
  </si>
  <si>
    <t>総合相模更生病院</t>
  </si>
  <si>
    <t>水戸医療センター</t>
  </si>
  <si>
    <t>さいたま市立看護学院</t>
  </si>
  <si>
    <t>さいたま市立高等看護学院</t>
  </si>
  <si>
    <t>アルフレッサメディカルサービス株式会社</t>
  </si>
  <si>
    <t>順天堂越谷病院</t>
  </si>
  <si>
    <t>順天堂大学医学部附属順天堂越谷病院</t>
  </si>
  <si>
    <t>さやま総合クリニック</t>
  </si>
  <si>
    <t>社会医療法人財団　石心会　さやま総合クリニック</t>
  </si>
  <si>
    <t>山梨県立中央病院</t>
  </si>
  <si>
    <t>国立病院機構関東信越ブロック</t>
  </si>
  <si>
    <t>同愛記念病院</t>
  </si>
  <si>
    <t>社会福祉法人同愛記念病院財団</t>
  </si>
  <si>
    <t>安曇野赤十字</t>
  </si>
  <si>
    <t>安曇野赤十字病院</t>
  </si>
  <si>
    <t>墨東病院</t>
  </si>
  <si>
    <t>東京都立墨東病院</t>
  </si>
  <si>
    <t>真岡病院</t>
  </si>
  <si>
    <t>大栄病院</t>
  </si>
  <si>
    <t>白十字総合病院</t>
  </si>
  <si>
    <t>東京家政大学</t>
  </si>
  <si>
    <t>防衛医科大学病院</t>
  </si>
  <si>
    <t>牛久愛和総合病院</t>
  </si>
  <si>
    <t>JA新潟県厚生連</t>
  </si>
  <si>
    <t>新潟県厚生農業協同組合連合会</t>
  </si>
  <si>
    <t>根岸病院</t>
  </si>
  <si>
    <t>医療法人社団根岸病院</t>
  </si>
  <si>
    <t>ひたち医療センター</t>
  </si>
  <si>
    <t>石和温泉病院</t>
  </si>
  <si>
    <t>医療法人石和温泉病院</t>
  </si>
  <si>
    <t>鹿嶋病院</t>
  </si>
  <si>
    <t>慈誠会　光が丘病院</t>
  </si>
  <si>
    <t>練馬光が丘病院</t>
  </si>
  <si>
    <t>入間川病院</t>
  </si>
  <si>
    <t>社会医療法人入間川病院</t>
  </si>
  <si>
    <t>春日部市立医療センター</t>
  </si>
  <si>
    <t>成田赤十字病院</t>
  </si>
  <si>
    <t>聖隷横浜病院</t>
  </si>
  <si>
    <t>川崎市立川崎病院</t>
  </si>
  <si>
    <t>筑波メディカルセンター</t>
  </si>
  <si>
    <t>公益財団法人筑波メディカルセンター</t>
  </si>
  <si>
    <t>獨協医科大学埼玉医療センター</t>
  </si>
  <si>
    <t>陵北病院</t>
  </si>
  <si>
    <t>東名厚木病院</t>
  </si>
  <si>
    <t>深谷赤十字病院</t>
  </si>
  <si>
    <t>済生会川口総合病院</t>
  </si>
  <si>
    <t>飯能老年病センター</t>
  </si>
  <si>
    <t>千葉しすい病院</t>
  </si>
  <si>
    <t>医療法人社団千葉光徳会千葉しすい病院</t>
  </si>
  <si>
    <t>土浦厚生病院</t>
  </si>
  <si>
    <t>健昌会</t>
  </si>
  <si>
    <t>医療法人健昌会</t>
  </si>
  <si>
    <t>新潟県けんこう財団</t>
  </si>
  <si>
    <t>一般財団法人新潟県けんこう財団</t>
  </si>
  <si>
    <t>河北総合病院</t>
  </si>
  <si>
    <t>日本医科大学付属病院</t>
  </si>
  <si>
    <t>関大一高MC</t>
  </si>
  <si>
    <t>関西大学第一高等学校</t>
  </si>
  <si>
    <t>空間デザイン</t>
  </si>
  <si>
    <t>大阪学院大学高等学校</t>
  </si>
  <si>
    <t>大手町病院MC</t>
  </si>
  <si>
    <t>大手町病院</t>
  </si>
  <si>
    <t>セカンドユニフォーム</t>
  </si>
  <si>
    <t>帝塚山学院泉ヶ丘中学校高等学校</t>
  </si>
  <si>
    <t>制服MC</t>
  </si>
  <si>
    <t>マイナーチェンジ</t>
  </si>
  <si>
    <t>学校法人大隈記念早稲田佐賀学園早稲田佐賀中学校・高等学校</t>
  </si>
  <si>
    <t>甲南高等学校・中学校</t>
  </si>
  <si>
    <t>学校法人三田学園三田学園中学校・高等学校</t>
  </si>
  <si>
    <t>広島市立病院機構</t>
  </si>
  <si>
    <t>地方独立行政法人広島市立病院機構</t>
  </si>
  <si>
    <t>春海会</t>
  </si>
  <si>
    <t>社会福祉法人春海会</t>
  </si>
  <si>
    <t>小泉病院</t>
  </si>
  <si>
    <t>特定医療法人仁康会小泉病院</t>
  </si>
  <si>
    <t>本郷中央病院</t>
  </si>
  <si>
    <t>新南陽市民病院</t>
  </si>
  <si>
    <t>公益財団法人周南市医療公社周南市立新南陽市民病院</t>
  </si>
  <si>
    <t>佐伯中央病院</t>
  </si>
  <si>
    <t>医療法人社団貴和会　佐伯中央病院</t>
  </si>
  <si>
    <t>興生総合病院</t>
  </si>
  <si>
    <t>社会医療法人里仁会興生総合病院</t>
  </si>
  <si>
    <t>三原病院</t>
  </si>
  <si>
    <t>特定医療法人大慈会三原病院</t>
  </si>
  <si>
    <t>倉敷老健</t>
  </si>
  <si>
    <t>社会医療法人全仁会倉敷老健倉敷在宅総合ケアセンター</t>
  </si>
  <si>
    <t>渡辺病院</t>
  </si>
  <si>
    <t>医療法人思誠会　渡辺病院</t>
  </si>
  <si>
    <t>山口大学医学部附属病院</t>
  </si>
  <si>
    <t>福山市民病院</t>
  </si>
  <si>
    <t>岐阜厚生サービス</t>
  </si>
  <si>
    <t>株式会社岐阜厚生サービス</t>
  </si>
  <si>
    <t>刈谷豊田総合病院</t>
  </si>
  <si>
    <t>医療法人豊田会刈谷豊田総合病院</t>
  </si>
  <si>
    <t>三重大学病院</t>
  </si>
  <si>
    <t>国立大学法人　三重大学医学部附属病院</t>
  </si>
  <si>
    <t>福井大学病院</t>
  </si>
  <si>
    <t>国立大学法人　福井大学医学部附属病院</t>
  </si>
  <si>
    <t>江南厚生病院</t>
  </si>
  <si>
    <t>ＪＡ愛知厚生連　江南厚生病院</t>
  </si>
  <si>
    <t>海南厚生病院</t>
  </si>
  <si>
    <t>愛知県厚生農業協同組合連合会海南病院</t>
  </si>
  <si>
    <t>稲沢厚生病院</t>
  </si>
  <si>
    <t>足助厚生病院</t>
  </si>
  <si>
    <t>JA愛知厚生連足助病院</t>
  </si>
  <si>
    <t>小山田記念温泉病院</t>
  </si>
  <si>
    <t>医療法人社団主体会小山田記念温泉病院</t>
  </si>
  <si>
    <t>桑名総合医療センター</t>
  </si>
  <si>
    <t>地方独立行政法人桑名市総合医療センター</t>
  </si>
  <si>
    <t>市立長浜病院</t>
  </si>
  <si>
    <t>大津市民病院</t>
  </si>
  <si>
    <t>地方独立行政法人市立大津市民病院</t>
  </si>
  <si>
    <t>滋賀県立総合病院</t>
  </si>
  <si>
    <t>済生会奈良病院</t>
  </si>
  <si>
    <t>京都ルネス病院</t>
  </si>
  <si>
    <t>大阪南医療センター</t>
  </si>
  <si>
    <t>京都府立医科大学附属病院</t>
  </si>
  <si>
    <t>京都府立医科大学付属病院</t>
  </si>
  <si>
    <t>宝塚市立病院</t>
  </si>
  <si>
    <t>美原病院</t>
  </si>
  <si>
    <t>医療法人好寿会美原病院</t>
  </si>
  <si>
    <t>姫路第一病院</t>
  </si>
  <si>
    <t>浜寺病院</t>
  </si>
  <si>
    <t>医療法人微風会浜寺病院</t>
  </si>
  <si>
    <t>有馬病院</t>
  </si>
  <si>
    <t>医療法人内海慈仁会有馬病院</t>
  </si>
  <si>
    <t>神戸大学医学部附属病院</t>
  </si>
  <si>
    <t>大阪医科薬科大学病院</t>
  </si>
  <si>
    <t>湘南　大野支店</t>
  </si>
  <si>
    <t>湘南農業協同組合</t>
  </si>
  <si>
    <t>メガネのハラダ</t>
  </si>
  <si>
    <t>株式会社メガネのハラダ</t>
  </si>
  <si>
    <t>丹波ささやま</t>
  </si>
  <si>
    <t>丹波ささやま農業協同組合</t>
  </si>
  <si>
    <t>前橋市</t>
  </si>
  <si>
    <t>前橋市農業協同組合</t>
  </si>
  <si>
    <t>北総産業　春</t>
  </si>
  <si>
    <t>北総産業株式会社</t>
  </si>
  <si>
    <t>ふじ伊豆　富士宮地区</t>
  </si>
  <si>
    <t>JAふじ伊豆</t>
  </si>
  <si>
    <t>佐波伊勢崎</t>
  </si>
  <si>
    <t>佐波伊勢崎農業協同組合</t>
  </si>
  <si>
    <t>ユニフォームニシジマ春</t>
  </si>
  <si>
    <t>株式会社ユニフォームニシジマ</t>
  </si>
  <si>
    <t>全農本所　採寸会</t>
  </si>
  <si>
    <t>全国農業協同組合連合会</t>
  </si>
  <si>
    <t>ふじ伊豆　富士地区</t>
  </si>
  <si>
    <t>東京むさし</t>
  </si>
  <si>
    <t>東京むさし農業協同組合</t>
  </si>
  <si>
    <t>安房（クールビズ）</t>
  </si>
  <si>
    <t>安房農業協同組合</t>
  </si>
  <si>
    <t>北つくば（買取）</t>
  </si>
  <si>
    <t>北つくば農業協同組合</t>
  </si>
  <si>
    <t>多野藤岡</t>
  </si>
  <si>
    <t>多野藤岡医療事務市町村組合立藤岡総合病院</t>
  </si>
  <si>
    <t>POコレクション</t>
  </si>
  <si>
    <t>茨城むつみ（前売り）</t>
  </si>
  <si>
    <t>茨城むつみ農業協同組合</t>
  </si>
  <si>
    <t>多気郡　春夏</t>
  </si>
  <si>
    <t>多気郡農業協同組合</t>
  </si>
  <si>
    <t>ふじ伊豆　御殿場地区本部</t>
  </si>
  <si>
    <t>氷見市　６月</t>
  </si>
  <si>
    <t>氷見市農業協同組合</t>
  </si>
  <si>
    <t>福島さくら　いわき・ふたば</t>
  </si>
  <si>
    <t>福島さくら農業協同組合</t>
  </si>
  <si>
    <t>成田市</t>
  </si>
  <si>
    <t>成田市農業協同組合</t>
  </si>
  <si>
    <t>ふじ伊豆（あいら伊豆 地区）</t>
  </si>
  <si>
    <t>伊勢　南紀</t>
  </si>
  <si>
    <t>伊勢農業協同組合</t>
  </si>
  <si>
    <t>Ｈｏｓａｋａ</t>
  </si>
  <si>
    <t>株式会社Hosaka</t>
  </si>
  <si>
    <t>会津よつば　いいで地区</t>
  </si>
  <si>
    <t>会津よつば農業協同組合</t>
  </si>
  <si>
    <t>茨城みなみ</t>
  </si>
  <si>
    <t>茨城みなみ農業協同組合</t>
  </si>
  <si>
    <t>いしのまき　夏（６月）</t>
  </si>
  <si>
    <t>いしのまき農業協同組合</t>
  </si>
  <si>
    <t>関東自動車（株）</t>
  </si>
  <si>
    <t>関東自動車株式会社</t>
  </si>
  <si>
    <t>たじま</t>
  </si>
  <si>
    <t>きたじま田岡病院</t>
  </si>
  <si>
    <t>東西しらかわ</t>
  </si>
  <si>
    <t>東西しらかわ農業協同組合</t>
  </si>
  <si>
    <t>西三河買取イベント</t>
  </si>
  <si>
    <t>西三河農業協同組合</t>
  </si>
  <si>
    <t>福島さくら　郡山</t>
  </si>
  <si>
    <t>朝日ガスエナジー</t>
  </si>
  <si>
    <t>朝日ガスエナジー株式会社</t>
  </si>
  <si>
    <t>コープ魚沼</t>
  </si>
  <si>
    <t>長正</t>
  </si>
  <si>
    <t>長生農業協同組合</t>
  </si>
  <si>
    <t>大阪宴</t>
  </si>
  <si>
    <t>JAジュエリー統合店</t>
  </si>
  <si>
    <t>はが野</t>
  </si>
  <si>
    <t>はが野農業協同組合</t>
  </si>
  <si>
    <t>庄内みどり</t>
  </si>
  <si>
    <t>JA庄内みどり</t>
  </si>
  <si>
    <t>埼玉中央</t>
  </si>
  <si>
    <t>静岡経済連　本所</t>
  </si>
  <si>
    <t>静岡県経済農業協同組合連合会</t>
  </si>
  <si>
    <t>北つくば</t>
  </si>
  <si>
    <t>北つくば農協葬祭株式会社</t>
  </si>
  <si>
    <t>角弘　本社　M</t>
  </si>
  <si>
    <t>株式会社角弘</t>
  </si>
  <si>
    <t>㈱富士野</t>
  </si>
  <si>
    <t>株式会社富士野</t>
  </si>
  <si>
    <t>ネクスト・ワン</t>
  </si>
  <si>
    <t>ネクスト・ワン株式会社</t>
  </si>
  <si>
    <t>ボンド商事</t>
  </si>
  <si>
    <t>ボンド商事株式会社</t>
  </si>
  <si>
    <t>茨城むつみ</t>
  </si>
  <si>
    <t>野川商事</t>
  </si>
  <si>
    <t>野川商事株式会社</t>
  </si>
  <si>
    <t>いちかわ</t>
  </si>
  <si>
    <t>市川市農業協同組合</t>
  </si>
  <si>
    <t>たかさき</t>
  </si>
  <si>
    <t>高崎市農業協同組合</t>
  </si>
  <si>
    <t>さいた南部ま（戸田支店）</t>
  </si>
  <si>
    <t>伊勢　本店・鳥羽志摩地区</t>
  </si>
  <si>
    <t>山武郡市</t>
  </si>
  <si>
    <t>山武郡市農業協同組合</t>
  </si>
  <si>
    <t>さいた南部ま（新田支店）</t>
  </si>
  <si>
    <t>さいた南部ま（新郷支店）</t>
  </si>
  <si>
    <t>全農兵庫</t>
  </si>
  <si>
    <t>角弘　拠点　M</t>
  </si>
  <si>
    <t>ユニフォームニシジマ秋</t>
  </si>
  <si>
    <t>土田商店　秋</t>
  </si>
  <si>
    <t>越谷市　M</t>
  </si>
  <si>
    <t>北総産業　秋</t>
  </si>
  <si>
    <t>甘楽富岡J</t>
  </si>
  <si>
    <t>甘楽富岡農業協同組合</t>
  </si>
  <si>
    <t>多気郡　秋冬</t>
  </si>
  <si>
    <t>あさか野（和光支店）</t>
  </si>
  <si>
    <t>南関東東京日野自動車（下期）</t>
  </si>
  <si>
    <t>南関東日野自動車株式会社</t>
  </si>
  <si>
    <t>あさか野（新座支店）昨年志木支店</t>
  </si>
  <si>
    <t>近新家具</t>
  </si>
  <si>
    <t>株式会社近新</t>
  </si>
  <si>
    <t>はぐくみ</t>
  </si>
  <si>
    <t>はぐくみ農業協同組合</t>
  </si>
  <si>
    <t>サンディミカミ</t>
  </si>
  <si>
    <t>株式会社サンディ</t>
  </si>
  <si>
    <t>北河内</t>
  </si>
  <si>
    <t>北河内農業協同組合</t>
  </si>
  <si>
    <t>あがつま</t>
  </si>
  <si>
    <t>あがつま農業協同組合</t>
  </si>
  <si>
    <t>ちばみどり（旭、そうさ）</t>
  </si>
  <si>
    <t>ちばみどり農業協同組合</t>
  </si>
  <si>
    <t>なのはな　秋</t>
  </si>
  <si>
    <t>なのはな農業協同組合</t>
  </si>
  <si>
    <t>ふじ伊豆御殿場地区ファッションふれあい広場</t>
  </si>
  <si>
    <t>炭平　東京</t>
  </si>
  <si>
    <t>ちちぶ</t>
  </si>
  <si>
    <t>ＪＡ高知県　香美地区</t>
  </si>
  <si>
    <t>JA高知県　香美地区</t>
  </si>
  <si>
    <t>おおいがわ　大富</t>
  </si>
  <si>
    <t>ふたば</t>
  </si>
  <si>
    <t>医療法人社団和恒会　ふたば病院</t>
  </si>
  <si>
    <t>大阪市</t>
  </si>
  <si>
    <t>JA津安芸</t>
  </si>
  <si>
    <t>安房</t>
  </si>
  <si>
    <t>安房地域医療センター</t>
  </si>
  <si>
    <t>越谷市　J</t>
  </si>
  <si>
    <t>おおいがわ　本店</t>
  </si>
  <si>
    <t>ふかや</t>
  </si>
  <si>
    <t>ＪＡ高知県　土長地区</t>
  </si>
  <si>
    <t>JA高知県　土長地区</t>
  </si>
  <si>
    <t>氷見市　１１月</t>
  </si>
  <si>
    <t>おおいがわ　島田</t>
  </si>
  <si>
    <t>㈱アサダ　11月</t>
  </si>
  <si>
    <t>アサダ株式会社</t>
  </si>
  <si>
    <t>いすみ</t>
  </si>
  <si>
    <t>いすみ医療センター</t>
  </si>
  <si>
    <t>いしのまき　秋（11月）</t>
  </si>
  <si>
    <t>おおいがわ　川根</t>
  </si>
  <si>
    <t>埼玉みずほ</t>
  </si>
  <si>
    <t>グリーン大阪</t>
  </si>
  <si>
    <t>グリーン大阪農業協同組合</t>
  </si>
  <si>
    <t>イワセキ</t>
  </si>
  <si>
    <t>イワセキ株式会社</t>
  </si>
  <si>
    <t>ＪＡ高知県　安芸地区</t>
  </si>
  <si>
    <t>高知県厚生農業協同組合連合会　ＪＡ高知病院</t>
  </si>
  <si>
    <t>エイコウ（よねおり）</t>
  </si>
  <si>
    <t>よねおりかんこうセンター</t>
  </si>
  <si>
    <t>新川ブロック展</t>
  </si>
  <si>
    <t>魚津市農業協同組合</t>
  </si>
  <si>
    <t>いみず野紳士オーダー展示会</t>
  </si>
  <si>
    <t>いみず野農業協同組合</t>
  </si>
  <si>
    <t>ふくしま未来（そうま）</t>
  </si>
  <si>
    <t>ふくしま未来農業協同組合</t>
  </si>
  <si>
    <t>北大阪</t>
  </si>
  <si>
    <t>医療法人成和会　北大阪ほうせんか病院</t>
  </si>
  <si>
    <t>【ジョナサン】2025春夏キャンペーン</t>
  </si>
  <si>
    <t>【フジオフード】SAM’S販売品バッグ</t>
  </si>
  <si>
    <t>株式会社フジオフードシステム</t>
  </si>
  <si>
    <t>【SBJ】2025年度 グリーンエプロン</t>
  </si>
  <si>
    <t>太平ビル　２３区ポロシャツ　Bマーク入れ</t>
  </si>
  <si>
    <t>太平ビルサービス株式会社</t>
  </si>
  <si>
    <t>常総ひかり事務服</t>
  </si>
  <si>
    <t>常総ひかり農業協同組合</t>
  </si>
  <si>
    <t>ちばみどり事務服</t>
  </si>
  <si>
    <t>2024-11-08 09:20:32 medical-総合カタログ</t>
  </si>
  <si>
    <t>レコードタイプなし</t>
  </si>
  <si>
    <t>株式会社廣瀬商会</t>
  </si>
  <si>
    <t>【ヤマナカ】Franteオリジナルバッグ</t>
  </si>
  <si>
    <t>株式会社ヤマナカ</t>
  </si>
  <si>
    <t>【スズキ】2025年　スイフトスポーツ成約記念品</t>
  </si>
  <si>
    <t>スズキ株式会社</t>
  </si>
  <si>
    <t>【ACRO】THREEポイントプログラム（ボトル）</t>
  </si>
  <si>
    <t>【ANA X】Diamond+more会員向け特典</t>
  </si>
  <si>
    <t>ANAX株式会社</t>
  </si>
  <si>
    <t>【いなげや】25年冬セルリキ企画</t>
  </si>
  <si>
    <t>株式会社いなげや</t>
  </si>
  <si>
    <t>【SBJ】勤続表彰リニューアル企画</t>
  </si>
  <si>
    <t>【事前】日本生命2025ニッセイグランプリ</t>
  </si>
  <si>
    <t>【キリン】スプリングバレー　ジャンバー</t>
  </si>
  <si>
    <t>キリンビール株式会社</t>
  </si>
  <si>
    <t>【トップス】26年4月導入MC</t>
  </si>
  <si>
    <t>株式会社トップス</t>
  </si>
  <si>
    <t>【ディーエイチシー】2025年5月エクオールCP</t>
  </si>
  <si>
    <t>DMノベルティ</t>
  </si>
  <si>
    <t>株式会社ケーズホールディングス</t>
  </si>
  <si>
    <t>2026福袋</t>
  </si>
  <si>
    <t>25夏福袋</t>
  </si>
  <si>
    <t>株式会社ゼンショーグローバルレストランホールディングス</t>
  </si>
  <si>
    <t>アルビオン：DR26SS制服</t>
  </si>
  <si>
    <t>【キャメル珈琲】2025年度いぬのお散歩バッグ</t>
  </si>
  <si>
    <t>メニュー修正</t>
  </si>
  <si>
    <t>【三井住友トラストクラブ】2026年度 26年BDギフト</t>
  </si>
  <si>
    <t>【BLIZZAK】2025年度リニューアル各種ウェア提案</t>
  </si>
  <si>
    <t>ブリヂストンタイヤソリューションジャパン株式会社</t>
  </si>
  <si>
    <t>【ファンケル店舗】2024年リニューアル店舗配布ノベルティ</t>
  </si>
  <si>
    <t>WAT2025年6月作業服MC</t>
  </si>
  <si>
    <t>【POLA】2025年度7月CP</t>
  </si>
  <si>
    <t>【パーソルテンプスタッフ】2026テンプの日</t>
  </si>
  <si>
    <t>【明治】VAAM　ガチャピンコラボタオル</t>
  </si>
  <si>
    <t>株式会社明治</t>
  </si>
  <si>
    <t>MAZAK：作業服マイナーチェンジ</t>
  </si>
  <si>
    <t>ヤマザキマザック株式会社</t>
  </si>
  <si>
    <t>店舗コスチュームリニューアル</t>
  </si>
  <si>
    <t>株式会社モスフードサービス</t>
  </si>
  <si>
    <t>【鎌倉製作所】休憩所改修</t>
  </si>
  <si>
    <t>【ジョリーパスタ】2026年　冬福袋</t>
  </si>
  <si>
    <t>【ジョリーパスタ】2025年　閑散期来店促進CP</t>
  </si>
  <si>
    <t>いがふるさと紳士展示会</t>
  </si>
  <si>
    <t>伊賀ふるさと農業協同組合</t>
  </si>
  <si>
    <t>みな穂農業協同組合</t>
  </si>
  <si>
    <t>アルプス農業協同組合</t>
  </si>
  <si>
    <t>日産株式会社</t>
  </si>
  <si>
    <t>[シャトレーゼ]25年サマーバッグ</t>
  </si>
  <si>
    <t>2026年ファンクラブ入会特典品</t>
  </si>
  <si>
    <t>株式会社ファイターズスポーツ&amp;エンターテイメント</t>
  </si>
  <si>
    <t>【パナソニック】2025年度 ハヤワザリニューアルポロシャツ</t>
  </si>
  <si>
    <t>パナソニック株式会社</t>
  </si>
  <si>
    <t>【SBJ】SAKURAテラスノベルティ</t>
  </si>
  <si>
    <t>【オリーブの丘】2025　母の日福袋</t>
  </si>
  <si>
    <t>株式会社オリーブの丘</t>
  </si>
  <si>
    <t>【シミズオクト】2025年秋冬スタッフ向けブルゾン</t>
  </si>
  <si>
    <t>株式会社シミズオクト</t>
  </si>
  <si>
    <t>【キャメル珈琲】2025年度 りんごバッグ</t>
  </si>
  <si>
    <t>【キャメル珈琲】2025年度 コーヒーの日</t>
  </si>
  <si>
    <t>【アサヒ飲料】新WONDAスタッフブルゾン（25年3月納品）</t>
  </si>
  <si>
    <t>アサヒ飲料株式会社</t>
  </si>
  <si>
    <t>【河合楽器】カワイ音楽教室70周年レッスンバッグモデルチェンジ(26年1月納品)</t>
  </si>
  <si>
    <t>株式会社河合楽器製作所</t>
  </si>
  <si>
    <t>【なか卯】2025年　夏福袋</t>
  </si>
  <si>
    <t>株式会社なか卯</t>
  </si>
  <si>
    <t>銀座ライオン　2026MC</t>
  </si>
  <si>
    <t>株式会社サッポロライオン</t>
  </si>
  <si>
    <t>【ファンケル通販】2025年6月アクネケアプレゼント品</t>
  </si>
  <si>
    <t>【壱番屋】2026年度　福袋</t>
  </si>
  <si>
    <t>株式会社壱番屋</t>
  </si>
  <si>
    <t>【キャメル珈琲】2026年度　コーヒー福袋</t>
  </si>
  <si>
    <t>auショップ タブレット端末ケースリニューアル</t>
  </si>
  <si>
    <t>インバウンド向け</t>
  </si>
  <si>
    <t>株式会社オンデーズ</t>
  </si>
  <si>
    <t>既製品ハット</t>
  </si>
  <si>
    <t>アイケイケイMC</t>
  </si>
  <si>
    <t>秦病院MC</t>
  </si>
  <si>
    <t>医療法人社団秦病院</t>
  </si>
  <si>
    <t>福岡青洲会病院</t>
  </si>
  <si>
    <t>【SBJ】営業インセンティブ企画</t>
  </si>
  <si>
    <t>【キリンビバレッジ】2025年_生茶営業用JR案件</t>
  </si>
  <si>
    <t>25年9月MC案件</t>
  </si>
  <si>
    <t>電気興業株式会社</t>
  </si>
  <si>
    <t>防寒ブルゾンリニューアル</t>
  </si>
  <si>
    <t>B-Rサーティワンアイスクリーム株式会社</t>
  </si>
  <si>
    <t>【ビッグボーイ】2025年　夏福袋</t>
  </si>
  <si>
    <t>株式会社ビッグボーイジャパン</t>
  </si>
  <si>
    <t>[シャトレーゼ]25年工場用包材（ハロウィン向け）</t>
  </si>
  <si>
    <t>【コストコ】2025年_スタッフ用ベスト</t>
  </si>
  <si>
    <t>コストコホールセールジャパン株式会社</t>
  </si>
  <si>
    <t>【ハーバー研究所】福袋2026</t>
  </si>
  <si>
    <t>【アテニア】2025冬キャンペーン</t>
  </si>
  <si>
    <t>【ファンケル通販】2025年8月号ホワイトニングCP</t>
  </si>
  <si>
    <t>【天下一品】2025　天一祭り</t>
  </si>
  <si>
    <t>【TBC】従業員UN</t>
  </si>
  <si>
    <t>【ハーバー研究所】2025年ハッピーハーバー</t>
  </si>
  <si>
    <t>【イオン】2025年 超ナツ夏祭り</t>
  </si>
  <si>
    <t>【POLA】2025年 外商用ノベルティ</t>
  </si>
  <si>
    <t>エルダープログラム会員ノベルティ</t>
  </si>
  <si>
    <t>株式会社三井住友銀行</t>
  </si>
  <si>
    <t>【HABA】2026年4月導入MC</t>
  </si>
  <si>
    <t>株式会社北海道日本ハムファイターズ</t>
  </si>
  <si>
    <t>【JNTL】2025年度 25年CL6月号</t>
  </si>
  <si>
    <t>積水化学工業〈作業服〉</t>
  </si>
  <si>
    <t>積水化学工業株式会社</t>
  </si>
  <si>
    <t>【阪神タイガース】2026年ファンクラブ特典品</t>
  </si>
  <si>
    <t>車いす制服</t>
  </si>
  <si>
    <t>セントラル警備保障株式会社</t>
  </si>
  <si>
    <t>【キャメル珈琲】2025年度 ウィンターバッグ</t>
  </si>
  <si>
    <t>伊藤園　男性用（ベンダー）制服リニューアル</t>
  </si>
  <si>
    <t>株式会社伊藤園</t>
  </si>
  <si>
    <t>【SBJ】ROASTERY TOKYO FALL</t>
  </si>
  <si>
    <t>【ACRO】THREE 25年度冬GWP</t>
  </si>
  <si>
    <t>26　焼肉きんぐ福袋</t>
  </si>
  <si>
    <t>株式会社レインズインターナショナル</t>
  </si>
  <si>
    <t>【イオンサヴール】NEW保冷バッグ</t>
  </si>
  <si>
    <t>イオンサヴール株式会社</t>
  </si>
  <si>
    <t>【ヒューマンアカデミー】ロボット教室入会特典</t>
  </si>
  <si>
    <t>ヒューマンアカデミー株式会社</t>
  </si>
  <si>
    <t>【TOTO】2025SR向けノベルティ</t>
  </si>
  <si>
    <t>作業服（冬服）</t>
  </si>
  <si>
    <t>作業服MC</t>
  </si>
  <si>
    <t>株式会社長谷工コーポレーション</t>
  </si>
  <si>
    <t>【ヤクルト球団】2025年6月‗レディースデイ</t>
  </si>
  <si>
    <t>株式会社ヤクルト球団</t>
  </si>
  <si>
    <t>[シャトレーゼ]25年おいもバッグ</t>
  </si>
  <si>
    <t>長尾病院看護部、看護助手MC</t>
  </si>
  <si>
    <t>長尾病院</t>
  </si>
  <si>
    <t>【JNTL】2025年度 25年CL7,8,9月号</t>
  </si>
  <si>
    <t>【キャメル珈琲】2025年 モンスターポーチ</t>
  </si>
  <si>
    <t>キッチン上位スタッフキャップ</t>
  </si>
  <si>
    <t>【TBC】2025年　50周年お年賀</t>
  </si>
  <si>
    <t>【ベイスターズ】2026年　ファンクラブ入会特典</t>
  </si>
  <si>
    <t>株式会社横浜DeNAベイスターズ</t>
  </si>
  <si>
    <t>【リーガル】2025　テディベア</t>
  </si>
  <si>
    <t>【SBJ】ベアリスタ</t>
  </si>
  <si>
    <t>【ヤクルト球団】2026年ファンクラブ</t>
  </si>
  <si>
    <t>エアクロ新規登録促進施策　福岡トライアル</t>
  </si>
  <si>
    <t>アデコ株式会社</t>
  </si>
  <si>
    <t>【ドラゴンズ】2026年FC入会特典</t>
  </si>
  <si>
    <t>株式会社中日ドラゴンズ</t>
  </si>
  <si>
    <t>キャンディボックス(CB)</t>
  </si>
  <si>
    <t>富国生命保険相互会社</t>
  </si>
  <si>
    <t>リブランディング改定メニュー</t>
  </si>
  <si>
    <t>【SBJ】2025年度 ミニカップギフト</t>
  </si>
  <si>
    <t>【サントリーウエルネス】トライアルポーチ</t>
  </si>
  <si>
    <t>サントリーウエルネス株式会社</t>
  </si>
  <si>
    <t>【タカベーカリー】2025年度 ダークチェリーパイエコバッグ</t>
  </si>
  <si>
    <t>株式会社タカキベーカリー</t>
  </si>
  <si>
    <t>【アムウェイ】2025年12月_クリスマスギフト</t>
  </si>
  <si>
    <t>日本アムウェイ合同会社</t>
  </si>
  <si>
    <t>【アトム】2026年度 福袋</t>
  </si>
  <si>
    <t>アトム株式会社</t>
  </si>
  <si>
    <t>【ハーバー研究所】2025年夏キャンペーン</t>
  </si>
  <si>
    <t>【キリンビバレッジ】2025年5月_スタッフ向けジャンバー</t>
  </si>
  <si>
    <t>中国電力〈作業服〉</t>
  </si>
  <si>
    <t>【第一興商】2026年福袋</t>
  </si>
  <si>
    <t>株式会社第一興商</t>
  </si>
  <si>
    <t>2025年販売品自主提案</t>
  </si>
  <si>
    <t>株式会社セコマ</t>
  </si>
  <si>
    <t>【日清食品】2025年11月_中本抽選CP_スカジャン</t>
  </si>
  <si>
    <t>改訂版リブランディングメニュー</t>
  </si>
  <si>
    <t>2025（ASTALIFT）VIP向けノベルティ</t>
  </si>
  <si>
    <t>株式会社富士フィルムラボラトリー</t>
  </si>
  <si>
    <t>2025（ASTALIFT）トライアルキット用ノベルティ</t>
  </si>
  <si>
    <t>2025-03-12 11:31:08 medical-総合カタログ</t>
  </si>
  <si>
    <t>大和徳洲会病院</t>
  </si>
  <si>
    <t>【アサヒ飲料】自販機部隊営業用ブルゾン（8月）</t>
  </si>
  <si>
    <t>【イオンペット】2026年度 PETEMO福袋</t>
  </si>
  <si>
    <t>イオンペット株式会社</t>
  </si>
  <si>
    <t>【アイビーカンパニー】2026アフタヌーンティー福袋</t>
  </si>
  <si>
    <t>アイビーカンパニー株式会社</t>
  </si>
  <si>
    <t>北九州総合病院、上のみMC</t>
  </si>
  <si>
    <t>北九州総合病院</t>
  </si>
  <si>
    <t>長崎みなとメディカルMC</t>
  </si>
  <si>
    <t>長崎みなとメディカルセンター</t>
  </si>
  <si>
    <t>福岡リハビリテーション病院MC</t>
  </si>
  <si>
    <t>福岡リハビリテーション病院</t>
  </si>
  <si>
    <t>白十字病院MC</t>
  </si>
  <si>
    <t>社会医療法人財団白十字会　白十字病院</t>
  </si>
  <si>
    <t>【ハーバー研究所】2025年_冬キャンペーン</t>
  </si>
  <si>
    <t>近畿車輛</t>
  </si>
  <si>
    <t>【SBJ】FY26 HOL2_ボトルショルダーバッグ</t>
  </si>
  <si>
    <t>【SBJ】26年福袋バッグ＆グッズ</t>
  </si>
  <si>
    <t>【キャメル珈琲】2026年度 いちごバッグ</t>
  </si>
  <si>
    <t>【JNTL】2025年度 25年CL10,11,12,1月号</t>
  </si>
  <si>
    <t>【ファンケル通販】2025年ベースメイクフェア</t>
  </si>
  <si>
    <t>【フジオフード】　2026年福袋</t>
  </si>
  <si>
    <t>【TOTO】2025年施工店向けポロシャツ</t>
  </si>
  <si>
    <t>【LIXIL】2025エクステリアジャンパーCP</t>
  </si>
  <si>
    <t>株式会社LIXIL</t>
  </si>
  <si>
    <t>【LIXIL】2025exsior社員用ジャンパー</t>
  </si>
  <si>
    <t>【JNTL】2025年度 25年クリスマスコフレ</t>
  </si>
  <si>
    <t>【SBJ】4Q営業インセンティブグッズ</t>
  </si>
  <si>
    <t>【メガネトップ】眼鏡市場2026福袋</t>
  </si>
  <si>
    <t>株式会社メガネトップ</t>
  </si>
  <si>
    <t>【サンリオ/三井住友カード】2025キティサンクスクリスマス</t>
  </si>
  <si>
    <t>株式会社サンリオ</t>
  </si>
  <si>
    <t>【タリーズ】26HB</t>
  </si>
  <si>
    <t>タリーズコーヒージャパン株式会社</t>
  </si>
  <si>
    <t>26年10月MC</t>
  </si>
  <si>
    <t>【七葉】2026nana's福袋</t>
  </si>
  <si>
    <t>株式会社七葉</t>
  </si>
  <si>
    <t>【読売巨人軍】26年FC入会特典</t>
  </si>
  <si>
    <t>株式会社読売巨人軍</t>
  </si>
  <si>
    <t>体育スクール　販売用体操服</t>
  </si>
  <si>
    <t>山九グループユニフォームMC</t>
  </si>
  <si>
    <t>山九株式会社</t>
  </si>
  <si>
    <t>株式会社不動テトラ</t>
  </si>
  <si>
    <t>26年度sakura club入会特典品</t>
  </si>
  <si>
    <t>ジャパンラグビーマーケティング株式会社</t>
  </si>
  <si>
    <t>26年度来場特典品</t>
  </si>
  <si>
    <t>【リンガーハット】26年冬福袋</t>
  </si>
  <si>
    <t>株式会社リンガーハット</t>
  </si>
  <si>
    <t>VIマニュアル</t>
  </si>
  <si>
    <t>2025年秋冬　販売会社向け斡旋グッズ</t>
  </si>
  <si>
    <t>【 LINDT】2025年度 ホリデーバッグ</t>
  </si>
  <si>
    <t>LINDT &amp; SPRUNGLI JAPAN株式会社</t>
  </si>
  <si>
    <t>【ビッグボーイジャパン】2026年　冬福袋</t>
  </si>
  <si>
    <t>【なか卯】2026年　冬福袋</t>
  </si>
  <si>
    <t>【読売巨人軍】2026年ファンクラブ早期入会</t>
  </si>
  <si>
    <t>【ECC】2026年　入学進級CP</t>
  </si>
  <si>
    <t>【しまむら】2025年 下期ノベルティ</t>
  </si>
  <si>
    <t>株式会社しまむら</t>
  </si>
  <si>
    <t>【LINDT】2026年度_福袋</t>
  </si>
  <si>
    <t>【SBJ】2026年度 グリーンエプロン（再）※25年10月発注</t>
  </si>
  <si>
    <t>【SBJ】2025年度 オンラインギフトバッグ</t>
  </si>
  <si>
    <t>【SBJ】2025年度 FY26 Afterwaord コーヒーグラウンズ</t>
  </si>
  <si>
    <t>27年10月サービスガイド制服MC</t>
  </si>
  <si>
    <t>タイムズサービス株式会社</t>
  </si>
  <si>
    <t>【イオン】2025年ブラックフライデー</t>
  </si>
  <si>
    <t>【ココス】2026年冬福袋</t>
  </si>
  <si>
    <t>【タリーズ】25ハグミーボトル</t>
  </si>
  <si>
    <t>26年バースデーＤＭプレゼント</t>
  </si>
  <si>
    <t>2025　秋のsmilebox企画</t>
  </si>
  <si>
    <t>【カーブス】26年お誕生日グッズ</t>
  </si>
  <si>
    <t>株式会社カーブスジャパン</t>
  </si>
  <si>
    <t>26年4月信州大学医学部附属病院</t>
  </si>
  <si>
    <t>信州大学医学部附属病院</t>
  </si>
  <si>
    <t>体操教室　販売レオタード</t>
  </si>
  <si>
    <t>パーソナルトレーナー用　ポロシャツ　リニューアル</t>
  </si>
  <si>
    <t>【鹿島アントラーズ】26年FC入会特典</t>
  </si>
  <si>
    <t>株式会社鹿島アントラーズ・エフ・シー</t>
  </si>
  <si>
    <t>【ドトールコーヒー】2026年初荷</t>
  </si>
  <si>
    <t>ご挨拶、お打合せ</t>
  </si>
  <si>
    <t>10.SC</t>
  </si>
  <si>
    <t>テスト株式会社</t>
  </si>
  <si>
    <t>2026MC/ブルゾン・パンツ・キャップ</t>
  </si>
  <si>
    <t>23区　幕張アウトレット</t>
  </si>
  <si>
    <t>株式会社オンワード樫山</t>
  </si>
  <si>
    <t>テスト案件</t>
  </si>
  <si>
    <t>株式会社オンワードホールディングス</t>
  </si>
  <si>
    <t>23区</t>
  </si>
  <si>
    <t>福屋本店　オンワードクローゼットセレクト 改装工事</t>
  </si>
  <si>
    <t>【アテニア】26年春CP</t>
  </si>
  <si>
    <t>2026年感謝ギフト</t>
  </si>
  <si>
    <t>株式会社ダスキン</t>
  </si>
  <si>
    <t>【アンデルセン】2026年度 お楽しみ袋</t>
  </si>
  <si>
    <t>株式会社アンデルセン</t>
  </si>
  <si>
    <t>25年‐26年　年末年始福袋</t>
  </si>
  <si>
    <t>【タカキベーカリー】2026年 リトマの日</t>
  </si>
  <si>
    <t>東京地区社員販売会</t>
  </si>
  <si>
    <t>キッズスペース　の追加工事</t>
  </si>
  <si>
    <t>ゆうなぎ歯科こども歯科</t>
  </si>
  <si>
    <t>23区aoyama</t>
  </si>
  <si>
    <t>ファンケル_2026年3月ご愛顧感謝CP</t>
  </si>
  <si>
    <t>【東急】東急ホテルズユニフォーム</t>
  </si>
  <si>
    <t>東急ホテルズ＆リゾーツ株式会社</t>
  </si>
  <si>
    <t>【キャメル珈琲】2026年度 カカオの森のペンケース</t>
  </si>
  <si>
    <t>【文理】2026年　ワークケース、付録</t>
  </si>
  <si>
    <t>株式会社文理</t>
  </si>
  <si>
    <t>【トーヨータイヤ】2025年　冬タイヤ（OBZERVE）販促ノベルティ</t>
  </si>
  <si>
    <t>株式会社トーヨータイヤジャパン</t>
  </si>
  <si>
    <t>ポロシャツデザイン変え</t>
  </si>
  <si>
    <t>【SBJ】2025年度 FY26HOLベアリスタギフト</t>
  </si>
  <si>
    <t>【POLA】銀座店販売用トート</t>
  </si>
  <si>
    <t>【森永乳業】25年マウントレーニアマイレージCP</t>
  </si>
  <si>
    <t>森永乳業株式会社</t>
  </si>
  <si>
    <t>大和ギフトSHOP</t>
  </si>
  <si>
    <t>株式会社大和</t>
  </si>
  <si>
    <t>販促キャンペーン</t>
  </si>
  <si>
    <t>関西ペイント株式会社</t>
  </si>
  <si>
    <t>2026年福袋</t>
  </si>
  <si>
    <t>【関東マツダ（マツダ）】2026年福袋</t>
  </si>
  <si>
    <t>エアクロ施策　名古屋</t>
  </si>
  <si>
    <t>TOTO2028年1月更新ショールーム制服</t>
  </si>
  <si>
    <t>阪急メンズ館JOSEPH</t>
  </si>
  <si>
    <t>イオンモール福岡</t>
  </si>
  <si>
    <t>株式会社オンワードパーソナルスタイル</t>
  </si>
  <si>
    <t>イオンモール広島府中</t>
  </si>
  <si>
    <t>阪急本店JOSEPH</t>
  </si>
  <si>
    <t>神戸ハーバーランド</t>
  </si>
  <si>
    <t>西宮ガーデンズUNFILO</t>
  </si>
  <si>
    <t>池袋東武カステルバジャック</t>
  </si>
  <si>
    <t>株式会社レナウン</t>
  </si>
  <si>
    <t>J.PRESS　幕張アウトレット</t>
  </si>
  <si>
    <t>J.PRESS　御殿場アウトレット</t>
  </si>
  <si>
    <t>阪急本店　LEONARD</t>
  </si>
  <si>
    <t>三共生興ファッションサービス株式会社</t>
  </si>
  <si>
    <t>京都高島屋　LEONARD</t>
  </si>
  <si>
    <t>【ACRO】THREE梱包資材（リピート）変更⇒レザー巾着</t>
  </si>
  <si>
    <t>ファンケル2026年2月CP</t>
  </si>
  <si>
    <t>ゆめタウン廿日市　オンワードクローゼットセレクト改装工事</t>
  </si>
  <si>
    <t>サンメッセ香川オンワードファミリーセール</t>
  </si>
  <si>
    <t>福屋駅前店　オンワードクローゼットセレクト改装工事</t>
  </si>
  <si>
    <t>[シャトレーゼ]25年クリスマスバッグ</t>
  </si>
  <si>
    <t>[シャトレーゼ]　ギフト包材自主提案</t>
  </si>
  <si>
    <t>阪急本店JOSEPH仮設売場</t>
  </si>
  <si>
    <t>Joseph Joseph株式会社</t>
  </si>
  <si>
    <t>【日本郵政】外務服MC</t>
  </si>
  <si>
    <t>日本郵政株式会社</t>
  </si>
  <si>
    <t>2026ファンクラブ会員特典～タオル～</t>
  </si>
  <si>
    <t>オリックス野球クラブ株式会社</t>
  </si>
  <si>
    <t>仙台地区社員販売会</t>
  </si>
  <si>
    <t>京都高島屋アクアスキュータム</t>
  </si>
  <si>
    <t>引渡し</t>
  </si>
  <si>
    <t>三菱地所・サイモン株式会社</t>
  </si>
  <si>
    <t>【メナード化粧品】2026年オータムキャンペーン</t>
  </si>
  <si>
    <t>日本メナード化粧品株式会社</t>
  </si>
  <si>
    <t>【ブロンコビリー】2026年冬福袋</t>
  </si>
  <si>
    <t>大和　dozo什器</t>
  </si>
  <si>
    <t>アイシティ井上　改装</t>
  </si>
  <si>
    <t>OCS　亀戸クロック改装工事</t>
  </si>
  <si>
    <t>宗永歯科</t>
  </si>
  <si>
    <t>【キャメル珈琲】2026年度 春のコーヒーバッグ</t>
  </si>
  <si>
    <t>【西武・プリンスホテルズワールドワイド】新ホテルUN</t>
  </si>
  <si>
    <t>株式会社プリンスホテル</t>
  </si>
  <si>
    <t>2026年継続特典ノベルティ</t>
  </si>
  <si>
    <t>株式会社ハルメク</t>
  </si>
  <si>
    <t>2026冬キャッシュバックノベルティCP</t>
  </si>
  <si>
    <t>株式会社イエローハット</t>
  </si>
  <si>
    <t>【SBS】安全運転ジャンパー</t>
  </si>
  <si>
    <t>サントリービバレッジソリューション株式会社</t>
  </si>
  <si>
    <t>２３区　青山・梅田阪急</t>
  </si>
  <si>
    <t>チャコット既存店ロゴ交換</t>
  </si>
  <si>
    <t>チャコット株式会社</t>
  </si>
  <si>
    <t>UNFILOザッカ展開</t>
  </si>
  <si>
    <t>uncravePOPUP</t>
  </si>
  <si>
    <t>東筑病院　看護師制服MC</t>
  </si>
  <si>
    <t>東筑病院</t>
  </si>
  <si>
    <t>行橋厚生病院　看護師制服MC</t>
  </si>
  <si>
    <t>医療法人財団つばさ行橋厚生病院</t>
  </si>
  <si>
    <t>看護師制服MC</t>
  </si>
  <si>
    <t>和仁会病院</t>
  </si>
  <si>
    <t>社会医療法人長崎記念病院</t>
  </si>
  <si>
    <t>幕張アウトレット</t>
  </si>
  <si>
    <t>大和高輪ゲートウェイ出店</t>
  </si>
  <si>
    <t>ONWARD CROSSET Select</t>
  </si>
  <si>
    <t>阪急本店アクアスキュータム</t>
  </si>
  <si>
    <t>倉敷天満屋オンワードショップ</t>
  </si>
  <si>
    <t>DAKS　POP-UPSHOP　AW</t>
  </si>
  <si>
    <t>第三カンパニー展示会</t>
  </si>
  <si>
    <t>テスト案件01</t>
  </si>
  <si>
    <t>テスト案件02</t>
  </si>
  <si>
    <t>フロント制服MC</t>
  </si>
  <si>
    <t>アパホテル株式会社</t>
  </si>
  <si>
    <t>【キャメル珈琲】2026年度 レモンバッグ</t>
  </si>
  <si>
    <t>藤井歯科</t>
  </si>
  <si>
    <t>【SBJ】FY26 WIN2 猫ポーチ</t>
  </si>
  <si>
    <t>【SBJ】FY26 SUM2 47都道府県バック＆ステッカー</t>
  </si>
  <si>
    <t>【SBJ】FY26 SUM1 30周年記念セット</t>
  </si>
  <si>
    <t>【SBJ】FY26 コーヒーマストバイ・アソート資材</t>
  </si>
  <si>
    <t>【SBJ】FY26 ホリデーTシャツ</t>
  </si>
  <si>
    <t>【三井化学】コストダウン　事前取組</t>
  </si>
  <si>
    <t>三井化学株式会社</t>
  </si>
  <si>
    <t>ファンケル_通販2026年2月号メンラインプレゼント施策</t>
  </si>
  <si>
    <t>【なか卯】2026冬福袋</t>
  </si>
  <si>
    <t>リケンNPR柏崎事業所　オフィス空間</t>
  </si>
  <si>
    <t>リケンＮＰＲ株式会社</t>
  </si>
  <si>
    <t>2027年福袋</t>
  </si>
  <si>
    <t>株式会社サンクゼール</t>
  </si>
  <si>
    <t>阪急本店SALON 23区</t>
  </si>
  <si>
    <t>26年4月MC案件</t>
  </si>
  <si>
    <t>株式会社マルハニチロ物流</t>
  </si>
  <si>
    <t>北海道旅客鉄道　接客制服</t>
  </si>
  <si>
    <t>北海道旅客鉄道株式会社</t>
  </si>
  <si>
    <t>【HOYA株式会社】年末ケア用品福袋</t>
  </si>
  <si>
    <t>HOYA株式会社</t>
  </si>
  <si>
    <t>国際事業部　社員、販売店用アパレル</t>
  </si>
  <si>
    <t>【日清食品】2025年_カップヌードルJR</t>
  </si>
  <si>
    <t>【POLA】27年百貨店ユニフォーム</t>
  </si>
  <si>
    <t>【東邦HD】26年　作業服</t>
  </si>
  <si>
    <t>東邦ホールディングス株式会社</t>
  </si>
  <si>
    <t>レナウン株式会社</t>
  </si>
  <si>
    <t>全農兵庫引継ぎ</t>
  </si>
  <si>
    <t>オンワード福岡社販設営</t>
  </si>
  <si>
    <t>オンワード福岡社販</t>
  </si>
  <si>
    <t>【リーガル】2026春キャンペーン</t>
  </si>
  <si>
    <t>2026春キャッシュバックノベルティCP</t>
  </si>
  <si>
    <t>【花王】撮影スポット用ビッグうさちゃん</t>
  </si>
  <si>
    <t>【コストコHSJ】2026年_会員向け継続特典</t>
  </si>
  <si>
    <t>【ハーバー研究所】2025年_年末キャンペーン</t>
  </si>
  <si>
    <t>【ハーバー研究所】2025年3月GWP</t>
  </si>
  <si>
    <t>【ディーエイチシー】2025年11月コスメ施策</t>
  </si>
  <si>
    <t>【SBJ】FY26営業インセンティブグッズ</t>
  </si>
  <si>
    <t>【SBJ】FY26  SAKURA</t>
  </si>
  <si>
    <t>【TOHOシネマズ】帽子・エプロン　モデルチェンジ</t>
  </si>
  <si>
    <t>テスト案件03</t>
  </si>
  <si>
    <t>26年　BDギフト</t>
  </si>
  <si>
    <t>株式会社パソナハートフル</t>
  </si>
  <si>
    <t>26年　ギブアウェイ</t>
  </si>
  <si>
    <t>株式会社西武ライオンズ</t>
  </si>
  <si>
    <t>【淀川製鋼所】2025キャンペーンジャンパー</t>
  </si>
  <si>
    <t>株式会社淀川製鋼所</t>
  </si>
  <si>
    <t>CIマニュアル</t>
  </si>
  <si>
    <t>【はま寿司】はまっこセットキャンペーン</t>
  </si>
  <si>
    <t>【阪神タイガース】2026年TORACO</t>
  </si>
  <si>
    <t>【エランコジャパン】2026年処方サポートグッズ</t>
  </si>
  <si>
    <t>イオンモール仙台上杉</t>
  </si>
  <si>
    <t>【エスビック】2025冬セール</t>
  </si>
  <si>
    <t>エスビック株式会社</t>
  </si>
  <si>
    <t>25‐26アプリスタンプキャンペーン</t>
  </si>
  <si>
    <t>消防検査</t>
  </si>
  <si>
    <t>ジュンク堂50周年企画</t>
  </si>
  <si>
    <t>株式会社丸善ジュンク堂書店</t>
  </si>
  <si>
    <t>全農大阪</t>
  </si>
  <si>
    <t>オンワード　大阪社販</t>
  </si>
  <si>
    <t>【SBJ】FY26WIN2ベアリスタメッセージギフト</t>
  </si>
  <si>
    <t>【SBJ】ロースタリーギフトバッグ</t>
  </si>
  <si>
    <t>【NEWART】銀座ダイヤモンドシライシ_今治タオルお年賀ギフト</t>
  </si>
  <si>
    <t>【NEWART】銀座ダイヤモンドシライシご来店＆ご成約特典2026~</t>
  </si>
  <si>
    <t>【東横イン】40周年式典記念品</t>
  </si>
  <si>
    <t>株式会社東横イン</t>
  </si>
  <si>
    <t>乗務員ユニフォーム</t>
  </si>
  <si>
    <t>スカイマーク株式会社</t>
  </si>
  <si>
    <t>仲川歯科</t>
  </si>
  <si>
    <t>株式会社モリタ</t>
  </si>
  <si>
    <t>【キャメル珈琲】2026年度 夏のコーヒーバッグ</t>
  </si>
  <si>
    <t>【JNTL】2025年度 26年CL3,4月号</t>
  </si>
  <si>
    <t>【楽天モバイル】ポロシャツリニューアル</t>
  </si>
  <si>
    <t>楽天モバイル株式会社</t>
  </si>
  <si>
    <t>11-12月CP</t>
  </si>
  <si>
    <t>銀座ステファニー化粧品株式会社</t>
  </si>
  <si>
    <t>2026年1Q営業支援グッズ</t>
  </si>
  <si>
    <t>住友生命保険相互会社</t>
  </si>
  <si>
    <t>2026年未来応援サービス</t>
  </si>
  <si>
    <t>【ロピア】2025ポイント交換ノベルティ</t>
  </si>
  <si>
    <t>株式会社ロピア</t>
  </si>
  <si>
    <t>AQUA店舗制服</t>
  </si>
  <si>
    <t>株式会社AQUA</t>
  </si>
  <si>
    <t>三井不動産商業マネジメント</t>
  </si>
  <si>
    <t>三井不動産商業マネジメント株式会社</t>
  </si>
  <si>
    <t>長崎浜屋KASHIYAMA</t>
  </si>
  <si>
    <t>2026　春夏キャップ</t>
  </si>
  <si>
    <t>2026年福箱</t>
  </si>
  <si>
    <t>【アイビーカンパニー】2026アフタヌーンティ夏福袋</t>
  </si>
  <si>
    <t>アルビオン：IG26SS</t>
  </si>
  <si>
    <t>アルビオン：AL26AW</t>
  </si>
  <si>
    <t>IG26AW</t>
  </si>
  <si>
    <t>【ACRO】THREEポイントプログラム（追加アイテム）</t>
  </si>
  <si>
    <t>2025年ファンクラブ会員向け優勝記念品</t>
  </si>
  <si>
    <t>【ファンケル通販】26年7月ご愛顧感謝CP</t>
  </si>
  <si>
    <t>26フレッシュネスバーガー福袋</t>
  </si>
  <si>
    <t>株式会社フレッシュネス</t>
  </si>
  <si>
    <t>判断用 - 事業部</t>
  </si>
  <si>
    <t>初回コンバージョン</t>
  </si>
  <si>
    <t>初回コンバージョン日</t>
  </si>
  <si>
    <t>着用予定人数</t>
  </si>
  <si>
    <t>会社名</t>
  </si>
  <si>
    <t>Eメール</t>
  </si>
  <si>
    <t>CTA</t>
  </si>
  <si>
    <t>オリジナル トラフィック ソース</t>
  </si>
  <si>
    <t>オリジナル トラフィック ソース ドリルダウン1</t>
  </si>
  <si>
    <t>オリジナル トラフィック ソース ドリルダウン2</t>
  </si>
  <si>
    <t>初回閲覧ページ</t>
  </si>
  <si>
    <t>前回閲覧ページ</t>
  </si>
  <si>
    <t>マーケティング コンタクト ステータス ソース タイプ</t>
  </si>
  <si>
    <t>得意先担当者 所有者</t>
  </si>
  <si>
    <t>コンタクト ID</t>
  </si>
  <si>
    <t>object_id</t>
  </si>
  <si>
    <t>タスク ID</t>
  </si>
  <si>
    <t>マーケティングEメール ID</t>
  </si>
  <si>
    <t>キャンペーン ID</t>
  </si>
  <si>
    <t>セグメント（リスト） ID</t>
  </si>
  <si>
    <t>MED; UN</t>
  </si>
  <si>
    <t>アンケート｜オンワードの白衣ラフィーリア: MED‗2025展示会アンケートフォーム</t>
  </si>
  <si>
    <t>（値なし）</t>
  </si>
  <si>
    <t>一般財団法人筑波麓仁会筑波学園病院</t>
  </si>
  <si>
    <t>小林 弘美</t>
  </si>
  <si>
    <t>tg-kangobu@gakuen-hospital.or.jp</t>
  </si>
  <si>
    <t>med-exhi-2025-booth-staff-form</t>
  </si>
  <si>
    <t>form / booth-staff</t>
  </si>
  <si>
    <t>https://smart2.onward-cd.co.jp/med-exhibition-qre?utm_source=form&amp;utm_medium=booth-staff&amp;utm_campaign=med-exhi-2025-booth-staff-form&amp;utm_content=qr</t>
  </si>
  <si>
    <t>https://smart2.onward-cd.co.jp/uniform_service_guide?utm_content=cta3&amp;utm_source=hubspot&amp;utm_campaign=un5re&amp;utm_medium=email&amp;_hsenc=p2ANqtz--bDgW7vdpSgnUqX6t9iOTJ4ykTvF9pkrU1v8hpZ2_reJ-G2rsIYWMrmQyzGkhu9AI5phyYbInAuTOclAaw-igWKSxMVze_HX1ASWmLcZauP_s0kIY&amp;_hsmi=22490132</t>
  </si>
  <si>
    <t>コンタクトのインポート</t>
  </si>
  <si>
    <t>242817747690</t>
  </si>
  <si>
    <t>地方独立行政法人三重県立総合医療センター</t>
  </si>
  <si>
    <t>奥田 美香</t>
  </si>
  <si>
    <t>mika-okuda@mie-gmc.jp</t>
  </si>
  <si>
    <t>242605753049</t>
  </si>
  <si>
    <t>490269346495</t>
  </si>
  <si>
    <t>医療法人社団森と海東京東京蒲田病院</t>
  </si>
  <si>
    <t>井上 早織</t>
  </si>
  <si>
    <t>s.inoue@t-kamata-hosp.or.jp</t>
  </si>
  <si>
    <t>smart2.onward-cd.co.jp/med-exhibition-qre</t>
  </si>
  <si>
    <t>https://smart2.onward-cd.co.jp/med-exhibition-qre</t>
  </si>
  <si>
    <t>242828788435</t>
  </si>
  <si>
    <t>523554622165</t>
  </si>
  <si>
    <t>医療法人社団木野記念会福田西病院</t>
  </si>
  <si>
    <t>杉山 由香</t>
  </si>
  <si>
    <t>sugiyama.y@kinokinenkai.com</t>
  </si>
  <si>
    <t>https://medical.onward-cd.co.jp/case/japanese_red_cross_narita_hospital/?utm_campaign=med42&amp;utm_medium=email&amp;_hsenc=p2ANqtz-8tTxUsCTxiHmr8dqo1GaAi7NuJHuVALoA9Oje7tVqjTRkGJ8OAwZ4wsrkXfry7PwzGG5225AhqfX5ufWytcU4OF_G1uMulP_m88MGGbRvze_m82ag&amp;_hsmi=20931413&amp;utm_content=cta1&amp;utm_source=hubspot</t>
  </si>
  <si>
    <t>242884510439</t>
  </si>
  <si>
    <t>577634708197</t>
  </si>
  <si>
    <t>577636607677</t>
  </si>
  <si>
    <t>633994651369</t>
  </si>
  <si>
    <t>690008535761</t>
  </si>
  <si>
    <t>523387379448</t>
  </si>
  <si>
    <t>633997242057</t>
  </si>
  <si>
    <t>smart2.onward-cd.co.jp/uniform_service_guide</t>
  </si>
  <si>
    <t>https://smart2.onward-cd.co.jp/uniform_service_guide?_bdrpf=1&amp;_bdsid=3Ytoth.pcapVal.1731314606228.1731314624&amp;_bd_prev_page=https%253A%252F%252Funiform.onward-cd.co.jp%252Fservice-document%252F</t>
  </si>
  <si>
    <t>https://smart2.onward-cd.co.jp/uniform_pre-preparation_checksheet</t>
  </si>
  <si>
    <t>フォーム送信</t>
  </si>
  <si>
    <t>425011302099</t>
  </si>
  <si>
    <t>585508282077</t>
  </si>
  <si>
    <t>490732508897</t>
  </si>
  <si>
    <t>643470555857</t>
  </si>
  <si>
    <t>SCH; UN</t>
  </si>
  <si>
    <t>入力画面: .bdash_form, .page-item-layout_vertical</t>
  </si>
  <si>
    <t>松原 達人</t>
  </si>
  <si>
    <t>service-list_contact_c</t>
  </si>
  <si>
    <t>corporate-site / referral</t>
  </si>
  <si>
    <t>https://smart.onward-cd.co.jp/contact_c?utm_source=corporate-site&amp;utm_medium=referral&amp;utm_campaign=service-list_contact_c</t>
  </si>
  <si>
    <t>https://smart.onward-cd.co.jp/contact_c/thanks?bdlic=&amp;bdmlc=&amp;bdpsc=&amp;bdsmc=&amp;utm_campaign=service-list_contact_c&amp;utm_medium=referral&amp;utm_source=corporate-site</t>
  </si>
  <si>
    <t>大沢　こころ</t>
  </si>
  <si>
    <t>129489701590</t>
  </si>
  <si>
    <t>483523228388</t>
  </si>
  <si>
    <t>480802850501</t>
  </si>
  <si>
    <t>523530296022</t>
  </si>
  <si>
    <t>489901968115</t>
  </si>
  <si>
    <t>480512881381</t>
  </si>
  <si>
    <t>UN</t>
  </si>
  <si>
    <t>uniform.onward-cd.co.jp/work</t>
  </si>
  <si>
    <t>https://uniform.onward-cd.co.jp/work/#our-solution-item03</t>
  </si>
  <si>
    <t>https://uniform.onward-cd.co.jp/office/</t>
  </si>
  <si>
    <t>455596007110</t>
  </si>
  <si>
    <t>498753595120</t>
  </si>
  <si>
    <t>Unknown keywords (SSL)</t>
  </si>
  <si>
    <t>GOOGLE</t>
  </si>
  <si>
    <t>https://uniform.onward-cd.co.jp/column/cool_work_clothes/</t>
  </si>
  <si>
    <t>https://uniform.onward-cd.co.jp/?utm_term=%E3%83%A6%E3%83%8B%E3%83%95%E3%82%A9%E3%83%BC%E3%83%A0%20%E5%88%B6%E4%BD%9C%20%E4%BC%9A%E7%A4%BE&amp;utm_campaign=1-1)+%E4%BC%81%E6%A5%ADUN_%E3%82%AA%E3%83%AA%E3%82%B8%E3%83%8A%E3%83%AB%E3%83%A6%E3%83%8B%E3%83%95%E3%82%A9%E3%83%BC%E3%83%A0&amp;utm_source=adwords&amp;utm_medium=ppc&amp;hsa_acc=1350021615&amp;hsa_cam=21739626435&amp;hsa_grp=164786146461&amp;hsa_ad=714833839358&amp;hsa_src=g&amp;hsa_tgt=kwd-434232459492&amp;hsa_kw=%E3%83%A6%E3%83%8B%E3%83%95%E3%82%A9%E3%83%BC%E3%83%A0%20%E5%88%B6%E4%BD%9C%20%E4%BC%9A%E7%A4%BE&amp;hsa_mt=b&amp;hsa_net=adwords&amp;hsa_ver=3&amp;gad_source=1&amp;gad_campaignid=21739626435&amp;gbraid=0AAAAA997okyFH0MEKr1Lqxbj-Imy-he2I&amp;gclid=CjwKCAjw_fnFBhB0EiwAH_MfZn072Ce7DnvaO5AJaK9jtGh5V9uJsT2vcjjbUEie3GG6gMGDaeeLRxoCapIQAvD_BwE</t>
  </si>
  <si>
    <t>239215109829</t>
  </si>
  <si>
    <t>uniform.onward-cd.co.jp/</t>
  </si>
  <si>
    <t>https://uniform.onward-cd.co.jp/</t>
  </si>
  <si>
    <t>https://smart2.onward-cd.co.jp/uniform_service_guide?_bd_prev_page=https%253A%252F%252Funiform.onward-cd.co.jp%252Fservice-document%252F&amp;_gl=1*1cdpam3*_gcl_au*Nzc1NTM2MTAyLjE3NTMxNDU1OTk.*_ga*MTA5MjE3NTQ3OC4xNzUzMTQ1NjAw*_ga_RLD9Y6J4JX*czE3NTMxNDU1OTkkbzEkZzAkdDE3NTMxNDU1OTkkajYwJGwwJGgw&amp;_bdsid=3Ytoth.pcapVal.1731314606228.1731314624&amp;_bdrpf=1</t>
  </si>
  <si>
    <t>177881739999</t>
  </si>
  <si>
    <t>福本 圭司</t>
  </si>
  <si>
    <t>1-1) 企業un_オリジナルユニフォーム</t>
  </si>
  <si>
    <t>企業 制服</t>
  </si>
  <si>
    <t>https://uniform.onward-cd.co.jp/?utm_term=%E4%BC%81%E6%A5%AD%20%E5%88%B6%E6%9C%8D&amp;utm_campaign=1-1)+%E4%BC%81%E6%A5%ADUN_%E3%82%AA%E3%83%AA%E3%82%B8%E3%83%8A%E3%83%AB%E3%83%A6%E3%83%8B%E3%83%95%E3%82%A9%E3%83%BC%E3%83%A0&amp;utm_source=adwords&amp;utm_medium=ppc&amp;hsa_acc=1350021615&amp;hsa_cam=21739626435&amp;hsa_grp=164786146461&amp;hsa_ad=714833839358&amp;hsa_src=g&amp;hsa_tgt=kwd-297888918854&amp;hsa_kw=%E4%BC%81%E6%A5%AD%20%E5%88%B6%E6%9C%8D&amp;hsa_mt=b&amp;hsa_net=adwords&amp;hsa_ver=3&amp;gad_source=1&amp;gad_campaignid=21739626435&amp;gbraid=0AAAAA997okw_II-qSusaALjEfs0Do3n22&amp;gclid=CjwKCAjwv5zEBhBwEiwAOg2YKOhmUqfmDbR5Qh8Buec2pvMpWox03IDJjfOG2m4xXGda4be0zj0nAxoC0NkQAvD_BwE</t>
  </si>
  <si>
    <t>https://smart2.onward-cd.co.jp/uniform_introduction_guide?_gl=1*1cqu9vq*_gcl_au*MTA1NzQ3ODIwMC4xNzUzNzY3OTEw*_ga*OTEzMzQ2MTEzLjE3NTM3Njc5MTE.*_ga_RLD9Y6J4JX*czE3NTM3Njc5MTAkbzEkZzEkdDE3NTM3NjgwMjEkajI4JGwwJGgw</t>
  </si>
  <si>
    <t>187947172583</t>
  </si>
  <si>
    <t>1-3) 企業un_飲食・接客</t>
  </si>
  <si>
    <t>飲食 店 ユニフォーム おしゃれ</t>
  </si>
  <si>
    <t>https://uniform.onward-cd.co.jp/service/?utm_term=%E9%A3%B2%E9%A3%9F%20%E5%BA%97%20%E3%83%A6%E3%83%8B%E3%83%95%E3%82%A9%E3%83%BC%E3%83%A0%20%E3%81%8A%E3%81%97%E3%82%83%E3%82%8C&amp;utm_campaign=1-3)+%E4%BC%81%E6%A5%ADUN_%E9%A3%B2%E9%A3%9F%E3%83%BB%E6%8E%A5%E5%AE%A2&amp;utm_source=adwords&amp;utm_medium=ppc&amp;hsa_acc=1350021615&amp;hsa_cam=22625120783&amp;hsa_grp=180014084629&amp;hsa_ad=755651351995&amp;hsa_src=g&amp;hsa_tgt=kwd-314818827733&amp;hsa_kw=%E9%A3%B2%E9%A3%9F%20%E5%BA%97%20%E3%83%A6%E3%83%8B%E3%83%95%E3%82%A9%E3%83%BC%E3%83%A0%20%E3%81%8A%E3%81%97%E3%82%83%E3%82%8C&amp;hsa_mt=b&amp;hsa_net=adwords&amp;hsa_ver=3&amp;gad_source=1&amp;gad_campaignid=22625120783&amp;gclid=EAIaIQobChMIo43Ny6LhjgMVc2wPAh00bQ1TEAAYASAAEgJWRvD_BwE</t>
  </si>
  <si>
    <t>187868724976</t>
  </si>
  <si>
    <t>https://solution.onward-cd.co.jp/column/</t>
  </si>
  <si>
    <t>251302587126</t>
  </si>
  <si>
    <t>飲食 店 制服</t>
  </si>
  <si>
    <t>https://uniform.onward-cd.co.jp/service/?utm_term=%E9%A3%B2%E9%A3%9F%20%E5%BA%97%20%E5%88%B6%E6%9C%8D&amp;utm_campaign=1-3)+%E4%BC%81%E6%A5%ADUN_%E9%A3%B2%E9%A3%9F%E3%83%BB%E6%8E%A5%E5%AE%A2&amp;utm_source=adwords&amp;utm_medium=ppc&amp;hsa_acc=1350021615&amp;hsa_cam=22625120783&amp;hsa_grp=180014084629&amp;hsa_ad=755651351995&amp;hsa_src=g&amp;hsa_tgt=kwd-301544122756&amp;hsa_kw=%E9%A3%B2%E9%A3%9F%20%E5%BA%97%20%E5%88%B6%E6%9C%8D&amp;hsa_mt=b&amp;hsa_net=adwords&amp;hsa_ver=3&amp;gad_source=1&amp;gad_campaignid=22625120783&amp;gbraid=0AAAAA997okwqB09XlQ541tG4xxQWKxtiJ&amp;gclid=Cj0KCQiAxJXJBhD_ARIsAH_JGjh0YdZsbGi9ArS26lSv3sgtZmRjec96NEJsCFLUtZbuYwuIy49hP9kaAiW_EALw_wcB</t>
  </si>
  <si>
    <t>334613769936</t>
  </si>
  <si>
    <t>solution.onward-cd.co.jp/</t>
  </si>
  <si>
    <t>https://solution.onward-cd.co.jp/</t>
  </si>
  <si>
    <t>https://school.onward-cd.co.jp/</t>
  </si>
  <si>
    <t>ユーザーにより設定</t>
  </si>
  <si>
    <t>110819658461</t>
  </si>
  <si>
    <t>https://smart2.onward-cd.co.jp/contact_c?_gl=1*duqkd4*_gcl_aw*R0NMLjE3NTk5ODYyODQuRUFJYUlRb2JDaE1Jb0s2a3lhdVdrQU1WNkd3UEFoMnhxVG5KRUFBWUFpQUFFZ0tjdmZEX0J3RQ..*_gcl_au*MTg1NDg0NTgwNy4xNzU5OTg2Mjgz*_ga*NDcwMTE4ODk0LjE3NTk5ODYyODQ.*_ga_RLD9Y6J4JX*czE3NTk5ODYyODMkbzEkZzAkdDE3NTk5ODYyODMkajYwJGwwJGgw</t>
  </si>
  <si>
    <t>279307363006</t>
  </si>
  <si>
    <t>uniform.onward-cd.co.jp/column/original_uniform_effect</t>
  </si>
  <si>
    <t>https://uniform.onward-cd.co.jp/column/original_uniform_effect</t>
  </si>
  <si>
    <t>https://smart2.onward-cd.co.jp/contact_c?_gl=1*1o7vn7k*_gcl_au*MTUyMDM2MzQxMi4xNzY1ODAyMDcz*_ga*MjIxNDE0Mzk4LjE3NjU4MDIwNzM.*_ga_RLD9Y6J4JX*czE3NjU5NDU0MjckbzIkZzAkdDE3NjU5NDU0MjckajYwJGwwJGgw</t>
  </si>
  <si>
    <t>354365364958</t>
  </si>
  <si>
    <t>枡澤 輝</t>
  </si>
  <si>
    <t>https://uniform.onward-cd.co.jp/?utm_term=%E4%BC%81%E6%A5%AD%20%E5%88%B6%E6%9C%8D&amp;utm_campaign=1-1)+%E4%BC%81%E6%A5%ADUN_%E3%82%AA%E3%83%AA%E3%82%B8%E3%83%8A%E3%83%AB%E3%83%A6%E3%83%8B%E3%83%95%E3%82%A9%E3%83%BC%E3%83%A0&amp;utm_source=adwords&amp;utm_medium=ppc&amp;hsa_acc=1350021615&amp;hsa_cam=21739626435&amp;hsa_grp=164786146461&amp;hsa_ad=714833839358&amp;hsa_src=g&amp;hsa_tgt=kwd-297888918854&amp;hsa_kw=%E4%BC%81%E6%A5%AD%20%E5%88%B6%E6%9C%8D&amp;hsa_mt=b&amp;hsa_net=adwords&amp;hsa_ver=3&amp;gad_source=1&amp;gad_campaignid=21739626435&amp;gbraid=0AAAAA997okwRffLByNtA_laCMu8M8Eoou&amp;gclid=Cj0KCQjwndHEBhDVARIsAGh0g3BRR1n3i-ZwSUsSDkuCRZyvcAL_bF_gOcR1qbEskc7KO9SrmzafMBQaAnlkEALw_wcB</t>
  </si>
  <si>
    <t>https://smart2.onward-cd.co.jp/uniform_service_guide?_gl=1*1t1uqgr*_gcl_aw*R0NMLjE3NTQ2MDc3MzcuQ2owS0NRanduZEhFQmhEVkFSSXNBR2gwZzNCUlIxbjNpLVp3U1VzU0RrdUNSWnl2Y0FMX2JGX2dPY1IxcWJFc2tjN0tPOVNybXphZk1CUWFBbmxrRUFMd193Y0I.*_gcl_au*MTkyOTIyMzIyMS4xNzU0NjA3Njg4LjE4MzMwMDIzMDMuMTc1NDYwNzgyNi4xNzU0NjA3ODI1*_ga*MTE4MTMzMzgyMy4xNzU0NjA3Njg4*_ga_RLD9Y6J4JX*czE3NTQ2MDc2ODgkbzEkZzEkdDE3NTQ2MDc4NjUkajYwJGwwJGgw</t>
  </si>
  <si>
    <t>199999120107</t>
  </si>
  <si>
    <t>YAHOO</t>
  </si>
  <si>
    <t>https://smart2.onward-cd.co.jp/uniform_service_guide?_bd_prev_page=https%253A%252F%252Funiform.onward-cd.co.jp%252Fservice-document%252F&amp;_gl=1*xl8vn5*_gcl_au*OTEwNzc2NzI2LjE3NTI3NjE0NzU.*_ga*OTgwNjE1MDQyLjE3NTI3NjE0NzU.*_ga_RLD9Y6J4JX*czE3NTI3NjE0NzUkbzEkZzAkdDE3NTI3NjE0NzUkajYwJGwwJGgw&amp;_bdsid=3Ytoth.pcapVal.1731314606228.1731314624&amp;_bdrpf=1</t>
  </si>
  <si>
    <t>172408839869</t>
  </si>
  <si>
    <t>https://smart2.onward-cd.co.jp/contact_c?_gl=1*lmeqpx*_gcl_au*MTY1MDI0NDQwNC4xNzcwNjk4NTUy*_ga*MTU5MjI2MzA1OC4xNzcwNjk4NTUy*_ga_RLD9Y6J4JX*czE3NzA2OTg1NTEkbzEkZzAkdDE3NzA2OTg1NTEkajYwJGwwJGgw</t>
  </si>
  <si>
    <t>422106019573</t>
  </si>
  <si>
    <t>ＤＭノバフォーム株式会社</t>
  </si>
  <si>
    <t>https://smart2.onward-cd.co.jp/contact_c?_gl=1*hn45nf*_gcl_au*NjY1NTI4NzQ2LjE3NTM2NjAzNzE.*_ga*MTIyMTAzODIxLjE3NTM2NjAzNTE.*_ga_RLD9Y6J4JX*czE3NTM2NjAzNzIkbzEkZzEkdDE3NTM2NjAzOTMkajM5JGwwJGgw</t>
  </si>
  <si>
    <t>185964042940</t>
  </si>
  <si>
    <t>業務 用 制服</t>
  </si>
  <si>
    <t>https://uniform.onward-cd.co.jp/?utm_term=%E6%A5%AD%E5%8B%99%20%E7%94%A8%20%E5%88%B6%E6%9C%8D&amp;utm_campaign=1-1)+%E4%BC%81%E6%A5%ADUN_%E3%82%AA%E3%83%AA%E3%82%B8%E3%83%8A%E3%83%AB%E3%83%A6%E3%83%8B%E3%83%95%E3%82%A9%E3%83%BC%E3%83%A0&amp;utm_source=adwords&amp;utm_medium=ppc&amp;hsa_acc=1350021615&amp;hsa_cam=21739626435&amp;hsa_grp=164786146461&amp;hsa_ad=714833839358&amp;hsa_src=g&amp;hsa_tgt=kwd-299070413239&amp;hsa_kw=%E6%A5%AD%E5%8B%99%20%E7%94%A8%20%E5%88%B6%E6%9C%8D&amp;hsa_mt=b&amp;hsa_net=adwords&amp;hsa_ver=3&amp;gad_source=1&amp;gad_campaignid=21739626435&amp;gbraid=0AAAAA997okzAkVJB_kHEYrdEYuG0Ehy2C&amp;gclid=Cj0KCQjw5JXFBhCrARIsAL1ckPu3qRTsA2W3GLl_DCfql_B5rY1UZAAsCuHygOgrAAHy5Gi0ZDThcNIaAn4oEALw_wcB</t>
  </si>
  <si>
    <t>214538560248</t>
  </si>
  <si>
    <t>https://smart2.onward-cd.co.jp/contact_c?_gl=1*3v8yxn*_gcl_au*OTU3NzIxNjU0LjE3NjMwMDg3NDQ.*_ga*MTMwNTkxNjE2OC4xNzYzMDA4NzQ0*_ga_RLD9Y6J4JX*czE3NjMwMDg3NDQkbzEkZzAkdDE3NjMwMDg3NDQkajYwJGwwJGgw</t>
  </si>
  <si>
    <t>321084079848</t>
  </si>
  <si>
    <t>https://uniform.onward-cd.co.jp/?utm_term=%E6%A5%AD%E5%8B%99%20%E7%94%A8%20%E5%88%B6%E6%9C%8D&amp;utm_campaign=1-1)+%E4%BC%81%E6%A5%ADUN_%E3%82%AA%E3%83%AA%E3%82%B8%E3%83%8A%E3%83%AB%E3%83%A6%E3%83%8B%E3%83%95%E3%82%A9%E3%83%BC%E3%83%A0&amp;utm_source=adwords&amp;utm_medium=ppc&amp;hsa_acc=1350021615&amp;hsa_cam=21739626435&amp;hsa_grp=164786146461&amp;hsa_ad=714833839358&amp;hsa_src=g&amp;hsa_tgt=kwd-299070413239&amp;hsa_kw=%E6%A5%AD%E5%8B%99%20%E7%94%A8%20%E5%88%B6%E6%9C%8D&amp;hsa_mt=b&amp;hsa_net=adwords&amp;hsa_ver=3&amp;gad_source=1&amp;gad_campaignid=21739626435&amp;gbraid=0AAAAA997okwE7ILnxMxRE24yicnZ9pc6A&amp;gclid=CjwKCAjwjffHBhBuEiwAKMb8pHd7uJUxyZfJOhBoDZR5OpkFEZrTAWDQez4hEGmCRJDku4tpS37CGRoCccYQAvD_BwE</t>
  </si>
  <si>
    <t>https://smart2.onward-cd.co.jp/uniform_service_guide?_bd_prev_page=https%253A%252F%252Funiform.onward-cd.co.jp%252Fservice-document%252F&amp;_gl=1*1ecnqku*_gcl_aw*R0NMLjE3NjE1Mjg4MjYuQ2p3S0NBandqZmZIQmhCdUVpd0FLTWI4cEhkN3VKVXh5WmZKT2hCb0RaUjVPcGtGRVpyVEFXRFFlejRoRUdtQ1JKRGt1NHRwUzM3Q0dSb0NjY1lRQXZEX0J3RQ..*_gcl_au*MTMyMTM1NjI0OC4xNzYxNTI4Nzc2*_ga*MTQ0OTg5OTEyOS4xNzYxNTI4Nzc2*_ga_RLD9Y6J4JX*czE3NjE1Mjg3NzYkbzEkZzEkdDE3NjE1Mjg4MjUkajExJGwwJGgw&amp;_bdsid=3Ytoth.pcapVal.1731314606228.1731314624&amp;_bdrpf=1</t>
  </si>
  <si>
    <t>300214361792</t>
  </si>
  <si>
    <t>日本空調システム株式会社</t>
  </si>
  <si>
    <t>https://smart2.onward-cd.co.jp/contact_c?_gl=1*19egr4p*_gcl_aw*R0NMLjE3NTM5NDUzODIuRUFJYUlRb2JDaE1JdVl6Z3dNUG1qZ01WV0d3UEFoMEtmUlhTRUFBWUFTQUFFZ0psZlBEX0J3RQ..*_gcl_au*MTczNTg1MTEyMy4xNzUzOTQ1MzMwLjE2ODYwNTIyNjQuMTc1Mzk0NTQwOS4xNzUzOTQ1NTc2*_ga*MTE0OTY0NzczNS4xNzUzOTQ1MzMx*_ga_40P3EPKK4E*czE3NTM5NDUzMzgkbzEkZzEkdDE3NTM5NDU1NzckajU5JGwwJGgw</t>
  </si>
  <si>
    <t>174035660488</t>
  </si>
  <si>
    <t>Auto-tagged PPC</t>
  </si>
  <si>
    <t>https://uniform.onward-cd.co.jp/?gad_source=1&amp;gclid=Cj0KCQjwtpLABhC7ARIsALBOCVrDB3ofVxbe0i92anKNoUGV5vKI-zwef9Z2itbBtN0MvJ9fmcyvykkaAghaEALw_wcB</t>
  </si>
  <si>
    <t>112705822398</t>
  </si>
  <si>
    <t>https://smart2.onward-cd.co.jp/contact_c?utm_medium=referral&amp;utm_campaign=service-list_contact_c&amp;utm_source=corporate-site</t>
  </si>
  <si>
    <t>https://smart2.onward-cd.co.jp/uniform_service_guide?_bd_prev_page=https%253A%252F%252Funiform.onward-cd.co.jp%252Fservice-document%252F&amp;_gl=1*18g0juo*_gcl_au*MTUyODY0NzI0OC4xNzYxNjk4NjM0LjE0NjExMzM3MjYuMTc2MTY5OTIxNi4xNzYxNjk5MjE1*_ga*MTEzMDM4MTM4MC4xNzYxNjk4NDk0*_ga_RLD9Y6J4JX*czE3NjE2OTg2MzQkbzEkZzEkdDE3NjE3MDA0OTUkajM4JGwwJGgw&amp;_bdsid=3Ytoth.pcapVal.1731314606228.1731314624&amp;_bdrpf=1</t>
  </si>
  <si>
    <t>302688642803</t>
  </si>
  <si>
    <t>https://smart2.onward-cd.co.jp/uniform_service_guide?_bd_prev_page=https%253A%252F%252Funiform.onward-cd.co.jp%252Fservice-document%252F&amp;_gl=1*2ap3an*_gcl_au*MTc2Mjc2MjI5NC4xNzYyODU3MjE0*_ga*OTM4MDQ4Mjc3LjE3NjI4NTcxODc.*_ga_RLD9Y6J4JX*czE3NjI4NTcyMTQkbzEkZzEkdDE3NjI4NTcyNDckajI3JGwwJGgw&amp;_bdsid=3Ytoth.pcapVal.1731314606228.1731314624&amp;_bdrpf=1</t>
  </si>
  <si>
    <t>319236388581</t>
  </si>
  <si>
    <t>https://uniform.onward-cd.co.jp/?gad_source=1&amp;gad_campaignid=21739626435&amp;gbraid=0AAAAA997okwpUETbdVNB-en9vBBDj7gg8&amp;gclid=Cj0KCQjw1JjDBhDjARIsABlM2SvYXS0QawRnt4ltm6cglTwXTncxRXmSo7XqsFTb_P9apKbLpnYfZeEaAmb8EALw_wcB</t>
  </si>
  <si>
    <t>160682097369</t>
  </si>
  <si>
    <t>https://smart2.onward-cd.co.jp/contact_c?_gl=1*1pzbq9k*_gcl_au*NTM4NjQxNzYzLjE3NTM0MTQ3ODQ.*_ga*MTE4NTQ2MjQ2Ni4xNzUzNDE0Nzg1*_ga_RLD9Y6J4JX*czE3NTM0MTQ3ODQkbzEkZzEkdDE3NTM0MTQ4NjYkajQ0JGwwJGgw</t>
  </si>
  <si>
    <t>181281837761</t>
  </si>
  <si>
    <t>株式会社佐藤計器製作所</t>
  </si>
  <si>
    <t>https://smart2.onward-cd.co.jp/contact_c?_gl=1*xnzrvu*_gcl_au*MTI3NzMzNTA0NS4xNzUzMjU2ODQwLjUwNDY5NjQzOC4xNzUzMjU2ODUwLjE3NTMyNTY5MzU.*_ga*MjEzMzA4NzMxOS4xNzUzMjU2ODQx*_ga_RLD9Y6J4JX*czE3NTMyNjUwMzQkbzIkZzEkdDE3NTMyNjUxMDkkajQ2JGwwJGgw</t>
  </si>
  <si>
    <t>179072554737</t>
  </si>
  <si>
    <t>uniform.onward-cd.co.jp/document</t>
  </si>
  <si>
    <t>https://uniform.onward-cd.co.jp/document/</t>
  </si>
  <si>
    <t>https://smart2.onward-cd.co.jp/uniform_service_guide?_bd_prev_page=https%253A%252F%252Funiform.onward-cd.co.jp%252Fservice-document%252F&amp;_gl=1*19hmyod*_gcl_au*MTc3Nzk3Njg3NC4xNzY5MDM2OTgzLjQ3MzQ0NTMwMS4xNzY5NjQzNDA0LjE3Njk2NDM0ODQ.*_ga*MTE2NzA5NjIxMS4xNzY5MDM3MDAx*_ga_RLD9Y6J4JX*czE3Njk2NDEzNzEkbzUkZzEkdDE3Njk2NDM0OTkkajM2JGwwJGgw&amp;_bdsid=3Ytoth.pcapVal.1731314606228.1731314624&amp;_bdrpf=1</t>
  </si>
  <si>
    <t>394331784916</t>
  </si>
  <si>
    <t>https://smart2.onward-cd.co.jp/contact_c?_gl=1*ia5e9v*_gcl_au*MTY0NjQ3OTQ5OS4xNzU0NjMwNTUx*_ga*MTUxNjU1MTk0OS4xNzU0NjMwNTQz*_ga_RLD9Y6J4JX*czE3NTQ2MzA1NTEkbzEkZzEkdDE3NTQ2MzEzMzEkajQ2JGwwJGgw</t>
  </si>
  <si>
    <t>200130000602</t>
  </si>
  <si>
    <t>https://smart2.onward-cd.co.jp/uniform_service_guide?_bd_prev_page=https%253A%252F%252Funiform.onward-cd.co.jp%252Fservice-document%252F&amp;_gl=1*a5wxd1*_gcl_au*NDY3MzQwOTMuMTc1NDk2Nzg3OQ..*_ga*OTI2NDk5NTU3LjE3NTQ5Njc4ODA.*_ga_RLD9Y6J4JX*czE3NTQ5Njc4NzkkbzEkZzAkdDE3NTQ5Njc4NzkkajYwJGwwJGgw&amp;_bdsid=3Ytoth.pcapVal.1731314606228.1731314624&amp;_bdrpf=1</t>
  </si>
  <si>
    <t>204602503928</t>
  </si>
  <si>
    <t>https://smart2.onward-cd.co.jp/uniform_introduction_guide?_gl=1*azk9u0*_gcl_au*OTQwMjk0Mzg3LjE3NTI4MDM1NjAuNzAxOTE2NjkzLjE3NTI4MDM5MDAuMTc1MjgwMzkwMA..*_ga*MTA1NzM3ODg3OC4xNzUyODAzNTA3*_ga_RLD9Y6J4JX*czE3NTMyMzMyMzIkbzIkZzEkdDE3NTMyMzMyNjMkajI5JGwwJGgw</t>
  </si>
  <si>
    <t>172772671174</t>
  </si>
  <si>
    <t>興和不動産ファシリティーズ株式会社</t>
  </si>
  <si>
    <t>奥田 剛</t>
  </si>
  <si>
    <t>10_1</t>
  </si>
  <si>
    <t>https://smart.onward-cd.co.jp/uniform_introduction_guide?utm_source=bdash&amp;bdmlc=MTAwNDE2XzgyOV80MTk2MV8x&amp;bdl=1&amp;utm_medium=email&amp;utm_campaign=10_1</t>
  </si>
  <si>
    <t>https://uniform.onward-cd.co.jp/case/tdk/</t>
  </si>
  <si>
    <t>和田　優樹</t>
  </si>
  <si>
    <t>161336398575</t>
  </si>
  <si>
    <t>https://smart.onward-cd.co.jp/contact_c?_bd_prev_page=https%3A%2F%2Funiform.onward-cd.co.jp%2Foffice%2F&amp;_bdrpf=1&amp;_bdsid=375nFE.proh9Qw.1747637948654.1747637951&amp;_gl=1%2A1h27q3s%2A_gcl_au%2AMTQxMTcxNjA5My4xNzQ3Mzg1MDk3%2A_ga%2AMTg0MDUxNjU4NC4xNzQ3Mzg1MDk4%2A_ga_RLD9Y6J4JX%2AczE3NDc2Mzc5NDgkbzIkZzAkdDE3NDc2Mzc5NDgkajYwJGwwJGgwJGRhcmpuN3paQ3BkeUtudkFsck1zcjI4a0s3ZV9sVXUwejNB&amp;bdlic=&amp;bdmlc=&amp;bdpsc=&amp;bdsmc=&amp;p=1&amp;ic=</t>
  </si>
  <si>
    <t>127542633152</t>
  </si>
  <si>
    <t>https://smart2.onward-cd.co.jp/contact_c?_gl=1*zxyb1d*_gcl_au*MTU0NzM3Njk5My4xNzU5MjI0NzAx*_ga*MTQ1MzY1MzE3OC4xNzU5MjI0NzAy*_ga_40P3EPKK4E*czE3NTkyMjQ3MjckbzEkZzAkdDE3NTkyMjQ3MjckajYwJGwwJGgw</t>
  </si>
  <si>
    <t>265987801848</t>
  </si>
  <si>
    <t>https://uniform.onward-cd.co.jp/?gad_source=1&amp;gad_campaignid=21739626435&amp;gbraid=0AAAAA997okybAu1tWBvXZUZcmFNRLTiuc&amp;gclid=Cj0KCQjw9O_BBhCUARIsAHQMjS7_hWWeCrh1x9r9HSBzYwY688X3IfoRdwZwNy93annYntq2xmnOK-saAp3JEALw_wcB</t>
  </si>
  <si>
    <t>135809426162</t>
  </si>
  <si>
    <t>松尾 桜子</t>
  </si>
  <si>
    <t>https://uniform.onward-cd.co.jp/work/?gad_source=1&amp;gad_campaignid=21739626435&amp;gbraid=0AAAAA997okzKV6YEA56gVGdkxTqLO7Q8O&amp;gclid=Cj0KCQjwt8zABhDKARIsAHXuD7Yc_TYI1QHA8m4H0i9hKvhQbNFDTChD42dEl2VBqFCdjbeOHF_6LjEaAiMiEALw_wcB</t>
  </si>
  <si>
    <t>https://smart.onward-cd.co.jp/contact_c</t>
  </si>
  <si>
    <t>120849569469</t>
  </si>
  <si>
    <t>181147936504</t>
  </si>
  <si>
    <t>https://uniform.onward-cd.co.jp/?gad_source=1&amp;gbraid=0AAAAA997okzmfJPH8uwOvXCJq5dzpHCvv&amp;gclid=Cj0KCQjwzYLABhD4ARIsALySuCSIroizkmNfrTrgzheB6T6rvwut4sCtpni5uUPc0vN2A7En-MSJssgaAnGFEALw_wcB</t>
  </si>
  <si>
    <t>111387739871</t>
  </si>
  <si>
    <t>IMPORT</t>
  </si>
  <si>
    <t>UN｜ハウスリスト｜251212.xls.xlsx</t>
  </si>
  <si>
    <t>https://smart2.onward-cd.co.jp/uniform_introduction_guide?utm_source=hubspot&amp;utm_medium=email&amp;utm_campaign=un5re&amp;utm_content=cta1&amp;hsCtaAttrib=303978232509</t>
  </si>
  <si>
    <t>https://smart2.onward-cd.co.jp/uniform_service_guide?utm_content=cta3&amp;utm_source=hubspot&amp;utm_campaign=un5re&amp;utm_medium=email&amp;_hsenc=p2ANqtz-9z_gL4y2dkAVPMCwTUBtSfjVnQznQrZ02o4mvWIf6ADUDgFX8G8Ibm4tGC1auxId7IDPRIgEUODKoy11la_iow4XFFNK4gK145ctAfkTPnsuYUsjU&amp;_hsmi=22490132</t>
  </si>
  <si>
    <t>386635846375</t>
  </si>
  <si>
    <t>uniform.onward-cd.co.jp</t>
  </si>
  <si>
    <t>https://smart2.onward-cd.co.jp/contact_c</t>
  </si>
  <si>
    <t>379737931477</t>
  </si>
  <si>
    <t>https://uniform.onward-cd.co.jp/?utm_term=%E6%A5%AD%E5%8B%99%20%E7%94%A8%20%E5%88%B6%E6%9C%8D&amp;utm_campaign=1-1)+%E4%BC%81%E6%A5%ADUN_%E3%82%AA%E3%83%AA%E3%82%B8%E3%83%8A%E3%83%AB%E3%83%A6%E3%83%8B%E3%83%95%E3%82%A9%E3%83%BC%E3%83%A0&amp;utm_source=adwords&amp;utm_medium=ppc&amp;hsa_acc=1350021615&amp;hsa_cam=21739626435&amp;hsa_grp=164786146461&amp;hsa_ad=714833839358&amp;hsa_src=g&amp;hsa_tgt=kwd-299070413239&amp;hsa_kw=%E6%A5%AD%E5%8B%99%20%E7%94%A8%20%E5%88%B6%E6%9C%8D&amp;hsa_mt=b&amp;hsa_net=adwords&amp;hsa_ver=3&amp;gad_source=1&amp;gad_campaignid=21739626435&amp;gbraid=0AAAAA997oky08IWqOiVZnKJZ3f4bY33Sz&amp;gclid=CjwKCAjwpOfHBhAxEiwAm1SwEhHgWREXkDTBdpB5EjTZg_-H8I9Bnf58DBBtLRU8ALzEKC28JVAOwhoCAFEQAvD_BwE</t>
  </si>
  <si>
    <t>https://smart2.onward-cd.co.jp/contact_c?_gl=1*es0tgh*_gcl_aw*R0NMLjE3NjEyODc1MDkuQ2p3S0NBandwT2ZIQmhBeEVpd0FtMVN3RWhIZ1dSRVhrRFRCZHBCNUVqVFpnXy1IOEk5Qm5mNThEQkJ0TFJVOEFMekVLQzI4SlZBT3dob0NBRkVRQXZEX0J3RQ..*_gcl_au*OTEwODM2MzkxLjE3NjEyNzE4MDk.*_ga*NjcyNTk0MTA4LjE3NjEyNzE4MDk.*_ga_RLD9Y6J4JX*czE3NjEyODc1MDgkbzIkZzEkdDE3NjEyODc3MDUkajYwJGwwJGgw</t>
  </si>
  <si>
    <t>296394951399</t>
  </si>
  <si>
    <t>smart2.onward-cd.co.jp/contact_c</t>
  </si>
  <si>
    <t>https://smart2.onward-cd.co.jp/contact_c?_gl=1*1xk0eee*_gcl_au*MTA3MzE0Mjc2My4xNzY2MDI1Mzk1*_ga*MTQ3MTI0MzU2MC4xNzY2MDI1Mzk2*_ga_RLD9Y6J4JX*czE3NjYwMjUzOTUkbzEkZzAkdDE3NjYwMjUzOTUkajYwJGwwJGgw</t>
  </si>
  <si>
    <t>357374897901</t>
  </si>
  <si>
    <t>https://smart2.onward-cd.co.jp/uniform_service_guide?utm_campaign=un21&amp;utm_medium=email&amp;_hsenc=p2ANqtz-_qCfP55w9GlxNaIWFeGdOYY2tZe-x7FXcuUX7sqoC8L1pMAsFcXQJoVWf7079WWQ1RHXFS1SlqieH6f6Hd2xQ7DPRHR5UVDJ0lgNQ-MdIolC2MzTQ&amp;_hsmi=22101777&amp;utm_content=footer2&amp;utm_source=hubspot</t>
  </si>
  <si>
    <t>https://uniform.onward-cd.co.jp/?_hsenc=p2ANqtz-_oN9pbbVVPM8n8oLKgAfBmL1xZinp0OJTv4WYB73iJ0ZvZ-I41jyzq2_oY1dvbMuuBrwmx-xQt8ELr_xZkf9EKFYjFAxyxxiIU9s2vRNOAy7GSWe4&amp;_hsmi=9359256</t>
  </si>
  <si>
    <t>386609994439</t>
  </si>
  <si>
    <t>名古屋市場運輸株式会社</t>
  </si>
  <si>
    <t>182732194518</t>
  </si>
  <si>
    <t>https://uniform.onward-cd.co.jp/?gad_source=1&amp;gad_campaignid=21739626435&amp;gclid=EAIaIQobChMI7974veezjgMVnl8PAh2fBCjvEAAYAiAAEgLNZvD_BwE</t>
  </si>
  <si>
    <t>https://smart2.onward-cd.co.jp/uniform_service_guide?_bdsid=3Ytoth.pcapVal.1731314606228.1731314624&amp;_bd_prev_page=https%253A%252F%252Funiform.onward-cd.co.jp%252Fservice-document%252F&amp;_bdrpf=1&amp;_gl=1*b7opkr*_gcl_aw*R0NMLjE3NTIyMDI1NzYuRUFJYUlRb2JDaE1JNzk3NHZlZXpqZ01Wbmw4UEFoMmZCQ2p2RUFBWUFpQUFFZ0xOWnZEX0J3RQ..*_gcl_au*MTQ5MjcxMDAxMi4xNzUyMjAyNTUx*_ga*ODIyOTE1NDguMTc1MjIwMjU1Mg..*_ga_RLD9Y6J4JX*czE3NTIyMDI1NTEkbzEkZzEkdDE3NTIyMDI2NTIkajM3JGwwJGgw</t>
  </si>
  <si>
    <t>167665317601</t>
  </si>
  <si>
    <t>ユニフォーム デザイン</t>
  </si>
  <si>
    <t>https://uniform.onward-cd.co.jp/?utm_term=%E3%83%A6%E3%83%8B%E3%83%95%E3%82%A9%E3%83%BC%E3%83%A0%20%E3%83%87%E3%82%B6%E3%82%A4%E3%83%B3&amp;utm_campaign=1-1)+%E4%BC%81%E6%A5%ADUN_%E3%82%AA%E3%83%AA%E3%82%B8%E3%83%8A%E3%83%AB%E3%83%A6%E3%83%8B%E3%83%95%E3%82%A9%E3%83%BC%E3%83%A0&amp;utm_source=adwords&amp;utm_medium=ppc&amp;hsa_acc=1350021615&amp;hsa_cam=21739626435&amp;hsa_grp=164786146461&amp;hsa_ad=714833839358&amp;hsa_src=g&amp;hsa_tgt=kwd-3719446992&amp;hsa_kw=%E3%83%A6%E3%83%8B%E3%83%95%E3%82%A9%E3%83%BC%E3%83%A0%20%E3%83%87%E3%82%B6%E3%82%A4%E3%83%B3&amp;hsa_mt=b&amp;hsa_net=adwords&amp;hsa_ver=3&amp;gad_source=1&amp;gad_campaignid=21739626435&amp;gbraid=0AAAAA997okw-j3xVz4qvxGsSM8Vo2nI21&amp;gclid=Cj0KCQiAp-zLBhDkARIsABcYc6u730h2f59ALDRi128LcHwXMm-yOEUSWmRpqp-JexB06nLa1SG_1E8aAlCYEALw_wcB</t>
  </si>
  <si>
    <t>https://smart2.onward-cd.co.jp/uniform_pre-preparation_checksheet?_gl=1*1fp0fr6*_gcl_aw*R0NMLjE3Njk3NTQ4MjUuQ2owS0NRaUFwLXpMQmhEa0FSSXNBQmNZYzZ1NzMwaDJmNTlBTERSaTEyOExjSHdYTW0teU9FVVNXbVJwcXAtSmV4QjA2bkxhMVNHXzFFOGFBbENZRUFMd193Y0I.*_gcl_au*MjQ1MDA3OTc4LjE3Njk3NTQ2NjA.*_ga*Mzk3ODc5OTkxLjE3Njk3NTQ2NjA.*_ga_RLD9Y6J4JX*czE3Njk3NTQ2NTkkbzEkZzEkdDE3Njk3NTQ4MjQkajQ0JGwwJGgw</t>
  </si>
  <si>
    <t>405214700257</t>
  </si>
  <si>
    <t>https://uniform.onward-cd.co.jp/?_hsenc=p2ANqtz--TNhm4a8V8f67OnHNGeE1leaK-lf71KYLx6c_YyIvMtE4uQ2KwghtRSgmcbhcLCd42gV1aPZ4JxHdULqOu9y2n_nxdKw&amp;_hsmi=9359256</t>
  </si>
  <si>
    <t>335828818668</t>
  </si>
  <si>
    <t>200155693797</t>
  </si>
  <si>
    <t>https://smart2.onward-cd.co.jp/contact_c?_gl=1*9ino70*_gcl_au*MTI1MDc2MDI1NC4xNzYyNzMzMjY2*_ga*ODgxMTM4ODk5LjE3NjI3MzMyNjc.*_ga_RLD9Y6J4JX*czE3NjI3MzMyNjYkbzEkZzEkdDE3NjI3MzQwODIkajIzJGwwJGgw</t>
  </si>
  <si>
    <t>317170433750</t>
  </si>
  <si>
    <t>株式会社ライフサービス和</t>
  </si>
  <si>
    <t>https://uniform.onward-cd.co.jp/?utm_term=%E6%A5%AD%E5%8B%99%20%E7%94%A8%20%E5%88%B6%E6%9C%8D&amp;utm_campaign=1-1)+%E4%BC%81%E6%A5%ADUN_%E3%82%AA%E3%83%AA%E3%82%B8%E3%83%8A%E3%83%AB%E3%83%A6%E3%83%8B%E3%83%95%E3%82%A9%E3%83%BC%E3%83%A0&amp;utm_source=adwords&amp;utm_medium=ppc&amp;hsa_acc=1350021615&amp;hsa_cam=21739626435&amp;hsa_grp=164786146461&amp;hsa_ad=714833839358&amp;hsa_src=g&amp;hsa_tgt=kwd-299070413239&amp;hsa_kw=%E6%A5%AD%E5%8B%99%20%E7%94%A8%20%E5%88%B6%E6%9C%8D&amp;hsa_mt=b&amp;hsa_net=adwords&amp;hsa_ver=3&amp;gad_source=1&amp;gad_campaignid=21739626435&amp;gbraid=0AAAAA997okxP03TfIU_2tKUA2LdhrpVbY&amp;gclid=CjwKCAiAwNDMBhBfEiwAd7ti1Do5_y8PTmAIY4_1RfGEMg_fD8IqI9YRvMfNaDNYFLd7zzt5GqVM_BoCEV4QAvD_BwE</t>
  </si>
  <si>
    <t>https://uniform.onward-cd.co.jp/?utm_term=%E3%82%AA%E3%83%BC%E3%83%80%E3%83%BC%20%E4%BD%9C%E6%A5%AD%20%E6%9C%8D&amp;utm_campaign=1-1)+%E4%BC%81%E6%A5%ADUN_%E3%82%AA%E3%83%AA%E3%82%B8%E3%83%8A%E3%83%AB%E3%83%A6%E3%83%8B%E3%83%95%E3%82%A9%E3%83%BC%E3%83%A0&amp;utm_source=adwords&amp;utm_medium=ppc&amp;hsa_acc=1350021615&amp;hsa_cam=21739626435&amp;hsa_grp=164786146461&amp;hsa_ad=714833839358&amp;hsa_src=g&amp;hsa_tgt=kwd-326860200907&amp;hsa_kw=%E3%82%AA%E3%83%BC%E3%83%80%E3%83%BC%20%E4%BD%9C%E6%A5%AD%20%E6%9C%8D&amp;hsa_mt=b&amp;hsa_net=adwords&amp;hsa_ver=3&amp;gad_source=1&amp;gad_campaignid=21739626435&amp;gbraid=0AAAAA997oky7vUNG5hi35sd2lkJFqqzfc&amp;gclid=Cj0KCQiA49XMBhDRARIsAOOKJHaZlt-hJ_85xqg_42DQzKR2TijoBCA23pBUyZ0R0gfrgE51aaNzVfAaAqrxEALw_wcB</t>
  </si>
  <si>
    <t>433090481859</t>
  </si>
  <si>
    <t>https://smart2.onward-cd.co.jp/contact_c?_gl=1*1x0l1qh*_gcl_au*MTI2OTU0ODAxMy4xNzYxNjE1Nzk5*_ga*MTUxMTg2NTQ2OC4xNzYxNjE1Nzgz*_ga_RLD9Y6J4JX*czE3NjE3Mjg3NjIkbzMkZzEkdDE3NjE3Mjg3NzgkajQ0JGwwJGgw</t>
  </si>
  <si>
    <t>301641022158</t>
  </si>
  <si>
    <t>株式会社ケン・コーポレーション</t>
  </si>
  <si>
    <t>小島 なを美</t>
  </si>
  <si>
    <t>172758994672</t>
  </si>
  <si>
    <t>デコボコベース株式会社</t>
  </si>
  <si>
    <t>https://smart2.onward-cd.co.jp/contact_c?_gl=1*ha0fzz*_gcl_au*MTM3ODkyODM0LjE3NTM2ODkyOTU.*_ga*MTY4OTk3NTM5My4xNzUzNjg5Mjk1*_ga_RLD9Y6J4JX*czE3NTM2ODkyOTQkbzEkZzEkdDE3NTM2ODk4NDkkajYwJGwwJGgw</t>
  </si>
  <si>
    <t>186472925918</t>
  </si>
  <si>
    <t>120361602746</t>
  </si>
  <si>
    <t>ショップ 制服</t>
  </si>
  <si>
    <t>https://uniform.onward-cd.co.jp/service/?utm_term=%E3%82%B7%E3%83%A7%E3%83%83%E3%83%97%20%E5%88%B6%E6%9C%8D&amp;utm_campaign=1-3)+%E4%BC%81%E6%A5%ADUN_%E9%A3%B2%E9%A3%9F%E3%83%BB%E6%8E%A5%E5%AE%A2&amp;utm_source=adwords&amp;utm_medium=ppc&amp;hsa_acc=1350021615&amp;hsa_cam=22625120783&amp;hsa_grp=180014084629&amp;hsa_ad=755651351995&amp;hsa_src=g&amp;hsa_tgt=kwd-301436952928&amp;hsa_kw=%E3%82%B7%E3%83%A7%E3%83%83%E3%83%97%20%E5%88%B6%E6%9C%8D&amp;hsa_mt=b&amp;hsa_net=adwords&amp;hsa_ver=3&amp;gad_source=1&amp;gad_campaignid=22625120783&amp;gclid=Cj0KCQiAiebIBhDmARIsAE8PGNI3YVSGOnGlcD7pnk20Py8DfUGm7LJ5i5u4fM0opRoUeP34wn3Z0ysaAsQtEALw_wcB</t>
  </si>
  <si>
    <t>https://uniform.onward-cd.co.jp/case/page/2/</t>
  </si>
  <si>
    <t>325097980613</t>
  </si>
  <si>
    <t>旭化成メディカルMT株式会社</t>
  </si>
  <si>
    <t>https://uniform.onward-cd.co.jp/?gad_source=1&amp;gad_campaignid=21739626435&amp;gclid=EAIaIQobChMIoreYnYrDjQMVOFwPAh00YivSEAAYASAAEgJbv_D_BwE</t>
  </si>
  <si>
    <t>133765000916</t>
  </si>
  <si>
    <t>396251025119</t>
  </si>
  <si>
    <t>356510239435</t>
  </si>
  <si>
    <t>BING</t>
  </si>
  <si>
    <t>417519053539</t>
  </si>
  <si>
    <t>https://uniform.onward-cd.co.jp/?utm_term=%E6%A5%AD%E5%8B%99%20%E7%94%A8%20%E5%88%B6%E6%9C%8D&amp;utm_campaign=1-1)+%E4%BC%81%E6%A5%ADUN_%E3%82%AA%E3%83%AA%E3%82%B8%E3%83%8A%E3%83%AB%E3%83%A6%E3%83%8B%E3%83%95%E3%82%A9%E3%83%BC%E3%83%A0&amp;utm_source=adwords&amp;utm_medium=ppc&amp;hsa_acc=1350021615&amp;hsa_cam=21739626435&amp;hsa_grp=164786146461&amp;hsa_ad=714833839358&amp;hsa_src=g&amp;hsa_tgt=kwd-299070413239&amp;hsa_kw=%E6%A5%AD%E5%8B%99%20%E7%94%A8%20%E5%88%B6%E6%9C%8D&amp;hsa_mt=b&amp;hsa_net=adwords&amp;hsa_ver=3&amp;gad_source=1&amp;gad_campaignid=21739626435&amp;gbraid=0AAAAA997okzxJTyIIEq1TK4mrIQSF3Gh5&amp;gclid=Cj0KCQjw9JLHBhC-ARIsAK4PhcqcMKYCfw3lp3GTWZ699C_Irb6DaCuRveisgWvUluVuKvKtwjNA8tMaAl-ZEALw_wcB</t>
  </si>
  <si>
    <t>https://smart2.onward-cd.co.jp/contact_c?_gl=1*k38l94*_gcl_aw*R0NMLjE3NTk4OTA0MDMuQ2owS0NRanc5SkxIQmhDLUFSSXNBSzRQaGNxY01LWUNmdzNscDNHVFdaNjk5Q19JcmI2RGFDdVJ2ZWlzZ1d2VWx1VnVLdkt0d2pOQTh0TWFBbC1aRUFMd193Y0I.*_gcl_au*NjgzNDAyMTIzLjE3NTk4OTAyNzcuNjAwODg5NDkyLjE3NTk4OTA0MDAuMTc1OTg5MDM5OQ..*_ga*MTc5MjcwNDg1NS4xNzU5ODkwMjc4*_ga_RLD9Y6J4JX*czE3NTk4OTAyNzgkbzEkZzEkdDE3NTk4OTA3OTIkajU5JGwwJGgw</t>
  </si>
  <si>
    <t>276157119195</t>
  </si>
  <si>
    <t>https://uniform.onward-cd.co.jp/?gad_source=1&amp;gad_campaignid=21739626435&amp;gbraid=0AAAAA997okxQ2n_ZzYR27SC8hm6p-Fcif&amp;gclid=CjwKCAjwl_XBBhAUEiwAWK2hzsI7YiT_kttYzOAARpXLuel3Iqu8tEAKdO5s6FZKlpCZdm0-SpxgxRoCyxgQAvD_BwE</t>
  </si>
  <si>
    <t>136695140085</t>
  </si>
  <si>
    <t>https://uniform.onward-cd.co.jp/service/?utm_term=%E3%82%B7%E3%83%A7%E3%83%83%E3%83%97%20%E5%88%B6%E6%9C%8D&amp;utm_campaign=1-3)+%E4%BC%81%E6%A5%ADUN_%E9%A3%B2%E9%A3%9F%E3%83%BB%E6%8E%A5%E5%AE%A2&amp;utm_source=adwords&amp;utm_medium=ppc&amp;hsa_acc=1350021615&amp;hsa_cam=22625120783&amp;hsa_grp=180014084629&amp;hsa_ad=755651351995&amp;hsa_src=g&amp;hsa_tgt=kwd-301436952928&amp;hsa_kw=%E3%82%B7%E3%83%A7%E3%83%83%E3%83%97%20%E5%88%B6%E6%9C%8D&amp;hsa_mt=b&amp;hsa_net=adwords&amp;hsa_ver=3&amp;gad_source=1&amp;gad_campaignid=22625120783&amp;gbraid=0AAAAA997okyGWUN2zMybenRRTnefzfZ8O&amp;gclid=Cj0KCQjwrc7GBhCfARIsAHGcW5V8dYXmwkEUGKCqiDBb_MCiVfNwHR7e6HGM6ZWF5lhCAYERKAPWb0kaAquZEALw_wcB</t>
  </si>
  <si>
    <t>https://smart2.onward-cd.co.jp/uniform_service_guide?_bd_prev_page=https%253A%252F%252Funiform.onward-cd.co.jp%252Fservice-document%252F&amp;_gl=1*19fy2lf*_gcl_aw*R0NMLjE3NTg3NzUxOTQuQ2owS0NRandyYzdHQmhDZkFSSXNBSEdjVzVWOGRZWG13a0VVR0tDcWlEQmJfTUNpVmZOd0hSN2U2SEdNNlpXRjVsaENBWUVSS0FQV2Iwa2FBcXVaRUFMd193Y0I.*_gcl_au*MzE4MTQ0NDQzLjE3NTg3NzUxOTM.*_ga*MTgwNjE1NjU3Mi4xNzU4Nzc1MTkz*_ga_RLD9Y6J4JX*czE3NTg3NzUxOTMkbzEkZzAkdDE3NTg3NzUxOTMkajYwJGwwJGgw&amp;_bdsid=3Ytoth.pcapVal.1731314606228.1731314624&amp;_bdrpf=1</t>
  </si>
  <si>
    <t>260059555518</t>
  </si>
  <si>
    <t>https://smart2.onward-cd.co.jp/contact_c?_gl=1*db3s8q*_gcl_au*MTI5MjUwNTMzOS4xNzU2NTk5NzUx*_ga*MTIxOTAwODcuMTc1NjU5OTc1MQ..*_ga_RLD9Y6J4JX*czE3NTY1OTk3NTAkbzEkZzAkdDE3NTY1OTk3NTAkajYwJGwwJGgw</t>
  </si>
  <si>
    <t>226653568757</t>
  </si>
  <si>
    <t>株式会社スクロールインターナショナル</t>
  </si>
  <si>
    <t>有井 貴孝</t>
  </si>
  <si>
    <t>takayuki-arii@scroll.co.jp</t>
  </si>
  <si>
    <t>https://smart.onward-cd.co.jp/contact_c/thanks?bdlic=&amp;bdmlc=&amp;bdpsc=&amp;bdsmc=</t>
  </si>
  <si>
    <t>133194968798</t>
  </si>
  <si>
    <t>gemini.google.com</t>
  </si>
  <si>
    <t>gemini.google.com/</t>
  </si>
  <si>
    <t>https://uniform.onward-cd.co.jp/case_category/customer_service/</t>
  </si>
  <si>
    <t>223878213328</t>
  </si>
  <si>
    <t>257131185853</t>
  </si>
  <si>
    <t>株式会社アルファード</t>
  </si>
  <si>
    <t>https://uniform.onward-cd.co.jp/?utm_term=%E3%83%A6%E3%83%8B%E3%83%95%E3%82%A9%E3%83%BC%E3%83%A0%20%E3%83%87%E3%82%B6%E3%82%A4%E3%83%B3&amp;utm_campaign=1-1)+%E4%BC%81%E6%A5%ADUN_%E3%82%AA%E3%83%AA%E3%82%B8%E3%83%8A%E3%83%AB%E3%83%A6%E3%83%8B%E3%83%95%E3%82%A9%E3%83%BC%E3%83%A0&amp;utm_source=adwords&amp;utm_medium=ppc&amp;hsa_acc=1350021615&amp;hsa_cam=21739626435&amp;hsa_grp=164786146461&amp;hsa_ad=714833839358&amp;hsa_src=g&amp;hsa_tgt=kwd-3719446992&amp;hsa_kw=%E3%83%A6%E3%83%8B%E3%83%95%E3%82%A9%E3%83%BC%E3%83%A0%20%E3%83%87%E3%82%B6%E3%82%A4%E3%83%B3&amp;hsa_mt=b&amp;hsa_net=adwords&amp;hsa_ver=3&amp;gad_source=1&amp;gad_campaignid=21739626435&amp;gbraid=0AAAAA997okxP03TfIU_2tKUA2LdhrpVbY&amp;gclid=Cj0KCQiA49XMBhDRARIsAOOKJHbl2zKhvE6pUiKbmzZPOxoE_rb-3Sve2s55VBiPEigNRo-5YkZePQQaAh5nEALw_wcB</t>
  </si>
  <si>
    <t>https://smart2.onward-cd.co.jp/contact_c?_gl=1*ovlkys*_gcl_aw*R0NMLjE3NzE0MDY1NzcuQ2owS0NRaUE0OVhNQmhEUkFSSXNBT09LSkhibDJ6S2h2RTZwVWlLYm16WlBPeG9FX3JiLTNTdmUyczU1VkJpUEVpZ05Sby01WWtaZVBRUWFBaDVuRUFMd193Y0I.*_gcl_au*NzkyMjU1NTM0LjE3NzE0MDY0MTg.*_ga*MTYzNTE0NzEzMS4xNzcxNDA2NDE4*_ga_RLD9Y6J4JX*czE3NzE0MDY0MTckbzEkZzEkdDE3NzE0MDY1NzckajQ3JGwwJGgw</t>
  </si>
  <si>
    <t>433356751572</t>
  </si>
  <si>
    <t>https://uniform.onward-cd.co.jp/?utm_term=%E3%83%A6%E3%83%8B%E3%83%95%E3%82%A9%E3%83%BC%E3%83%A0%20%E3%83%87%E3%82%B6%E3%82%A4%E3%83%B3&amp;utm_campaign=1-1)+%E4%BC%81%E6%A5%ADUN_%E3%82%AA%E3%83%AA%E3%82%B8%E3%83%8A%E3%83%AB%E3%83%A6%E3%83%8B%E3%83%95%E3%82%A9%E3%83%BC%E3%83%A0&amp;utm_source=adwords&amp;utm_medium=ppc&amp;hsa_acc=1350021615&amp;hsa_cam=21739626435&amp;hsa_grp=164786146461&amp;hsa_ad=714833839358&amp;hsa_src=g&amp;hsa_tgt=kwd-3719446992&amp;hsa_kw=%E3%83%A6%E3%83%8B%E3%83%95%E3%82%A9%E3%83%BC%E3%83%A0%20%E3%83%87%E3%82%B6%E3%82%A4%E3%83%B3&amp;hsa_mt=b&amp;hsa_net=adwords&amp;hsa_ver=3&amp;gad_source=1&amp;gad_campaignid=21739626435&amp;gbraid=0AAAAA997okz9ZXu3_Fl-Je0nVPwT3ryLw&amp;gclid=CjwKCAjwup3HBhAAEiwA7euZutCnJFJH5YUt7X0xCCR83c5jhi_-oqpNKqYMlIPruKvdUm8B_ZakMRoCQmMQAvD_BwE</t>
  </si>
  <si>
    <t>https://uniform.onward-cd.co.jp/reasons/</t>
  </si>
  <si>
    <t>278848787171</t>
  </si>
  <si>
    <t>株式会社Edeyans</t>
  </si>
  <si>
    <t>野口 瞳</t>
  </si>
  <si>
    <t>企業ユニフォーム おしゃれ</t>
  </si>
  <si>
    <t>https://uniform.onward-cd.co.jp/?utm_term=%E4%BC%81%E6%A5%AD%E3%83%A6%E3%83%8B%E3%83%95%E3%82%A9%E3%83%BC%E3%83%A0%20%E3%81%8A%E3%81%97%E3%82%83%E3%82%8C&amp;utm_campaign=1-1)+%E4%BC%81%E6%A5%ADUN_%E3%82%AA%E3%83%AA%E3%82%B8%E3%83%8A%E3%83%AB%E3%83%A6%E3%83%8B%E3%83%95%E3%82%A9%E3%83%BC%E3%83%A0&amp;utm_source=adwords&amp;utm_medium=ppc&amp;hsa_acc=1350021615&amp;hsa_cam=21739626435&amp;hsa_grp=164786146461&amp;hsa_ad=714833839358&amp;hsa_src=g&amp;hsa_tgt=kwd-1428143441699&amp;hsa_kw=%E4%BC%81%E6%A5%AD%E3%83%A6%E3%83%8B%E3%83%95%E3%82%A9%E3%83%BC%E3%83%A0%20%E3%81%8A%E3%81%97%E3%82%83%E3%82%8C&amp;hsa_mt=b&amp;hsa_net=adwords&amp;hsa_ver=3&amp;gad_source=1&amp;gad_campaignid=21739626435&amp;gbraid=0AAAAA997okx_ZuIAbpP3lNqmdJ9hhFoN-&amp;gclid=CjwKCAiAlMHIBhAcEiwAZhZBUhP3qQ5VeH2xol1JPey-gfOmR-8imyxiXcPTTne1PcxYbQLY4W29dRoCZV0QAvD_BwE</t>
  </si>
  <si>
    <t>https://uniform.onward-cd.co.jp/case/fancl/</t>
  </si>
  <si>
    <t>317266385618</t>
  </si>
  <si>
    <t>https://smart2.onward-cd.co.jp/uniform_service_guide?_gl=1*hkgj45*_gcl_au*NzQ1OTAzODM0LjE3NTMzNDY1OTguMTQwMDQzMjE0NS4xNzUzMzQ5NjE1LjE3NTMzNDk2MTQ.*_ga*ODk5Njg4Nzk1LjE3NTMzNDY1OTk.*_ga_RLD9Y6J4JX*czE3NTMzNDk2MTkkbzIkZzAkdDE3NTMzNDk2MjAkajU5JGwwJGgw</t>
  </si>
  <si>
    <t>180353640174</t>
  </si>
  <si>
    <t>https://smart2.onward-cd.co.jp/contact_c?_gl=1*t9y1ak*_gcl_au*MTcwMjExNTA1OC4xNzU4NTI4MTUx*_ga*MzU5NTA1MTUxLjE3NTg1MjgxNTE.*_ga_40P3EPKK4E*czE3NTkyOTAwNzEkbzMkZzAkdDE3NTkyOTAwNzEkajYwJGwwJGgw</t>
  </si>
  <si>
    <t>255959586539</t>
  </si>
  <si>
    <t>124571079374</t>
  </si>
  <si>
    <t>https://uniform.onward-cd.co.jp/case/</t>
  </si>
  <si>
    <t>https://uniform.onward-cd.co.jp/column/cool_work_clothes/?utm_campaign=un24&amp;utm_medium=email&amp;_hsenc=p2ANqtz-8orF_4pnLdbFL6zD6wSzs47p3KcAf10PDGfacHKludYpyIWAkxhokBTuJYE6U8tcjokZI0Tnp_N4L81KLuiW-vM3hlMA&amp;_hsmi=19994851&amp;utm_content=cta1&amp;utm_source=hubspot</t>
  </si>
  <si>
    <t>葛川　涼太</t>
  </si>
  <si>
    <t>161313347297</t>
  </si>
  <si>
    <t>https://smart2.onward-cd.co.jp/contact_c?_gl=1*1g3gvbj*_gcl_au*Nzk5NDAzMzQxLjE3NzMwNTYwNTc.*_ga*MTQ0NjExNzgwNC4xNzczMDU2MDU3*_ga_RLD9Y6J4JX*czE3NzMwNTYwNTYkbzEkZzEkdDE3NzMwNTYyOTYkajU5JGwwJGgw</t>
  </si>
  <si>
    <t>453526759137</t>
  </si>
  <si>
    <t>solution.onward-cd.co.jp/column/sales_promotion_rut</t>
  </si>
  <si>
    <t>https://solution.onward-cd.co.jp/column/sales_promotion_rut/</t>
  </si>
  <si>
    <t>250166689491</t>
  </si>
  <si>
    <t>株式会社URコミュニティ</t>
  </si>
  <si>
    <t>徳島 康憲</t>
  </si>
  <si>
    <t>167695920847</t>
  </si>
  <si>
    <t>https://uniform.onward-cd.co.jp/?utm_term=%E3%83%A6%E3%83%8B%E3%83%95%E3%82%A9%E3%83%BC%E3%83%A0%20%E3%83%87%E3%82%B6%E3%82%A4%E3%83%B3&amp;utm_campaign=1-1)+%E4%BC%81%E6%A5%ADUN_%E3%82%AA%E3%83%AA%E3%82%B8%E3%83%8A%E3%83%AB%E3%83%A6%E3%83%8B%E3%83%95%E3%82%A9%E3%83%BC%E3%83%A0&amp;utm_source=adwords&amp;utm_medium=ppc&amp;hsa_acc=1350021615&amp;hsa_cam=21739626435&amp;hsa_grp=164786146461&amp;hsa_ad=714833839358&amp;hsa_src=g&amp;hsa_tgt=kwd-3719446992&amp;hsa_kw=%E3%83%A6%E3%83%8B%E3%83%95%E3%82%A9%E3%83%BC%E3%83%A0%20%E3%83%87%E3%82%B6%E3%82%A4%E3%83%B3&amp;hsa_mt=b&amp;hsa_net=adwords&amp;hsa_ver=3&amp;gad_source=1&amp;gad_campaignid=21739626435&amp;gbraid=0AAAAA997okw-KvLyKMC-fbUc7CKRwa3Ik&amp;gclid=CjwKCAjwyMnNBhBNEiwA-Kcgu5smMqCIYOz5GdLC8TJV0_l1tBkiInrqsIraVlPCQZuxzZ5vHC34qxoCVvwQAvD_BwE</t>
  </si>
  <si>
    <t>https://uniform.onward-cd.co.jp/?_hsenc=p2ANqtz-8Lbez4ppeItx5NLzlytNGQoKjcUWaX8rnLbBj3MWFq4wLZTtvAfyAFyKH0XdyNDz_W0T93OaZPPFFPbpBK94XzN0gQSw&amp;_hsmi=9359256</t>
  </si>
  <si>
    <t>456116692724</t>
  </si>
  <si>
    <t>https://uniform.onward-cd.co.jp/?gad_source=1&amp;gbraid=0AAAAA997okx_r2z7LliQMzGjo3QYj-e3m&amp;gclid=Cj0KCQjw2ZfABhDBARIsAHFTxGxeFdlh1dCx701Yg_EDJ90CAe57-yFmT8epZ7ylyIAHBYDL_7MpP8oaAoFpEALw_wcB</t>
  </si>
  <si>
    <t>https://smart.onward-cd.co.jp/uniform_service_guide</t>
  </si>
  <si>
    <t>113170111174</t>
  </si>
  <si>
    <t>鎌倉 健太郎</t>
  </si>
  <si>
    <t>https://uniform.onward-cd.co.jp/work/?gad_source=1&amp;gbraid=0AAAAA997okxOMLJM5A3Iwr69TGFUa9dzY&amp;gclid=EAIaIQobChMI3PW3zbKDjQMVBVsPAh0_ySfWEAAYAiAAEgJXO_D_BwE</t>
  </si>
  <si>
    <t>https://uniform.onward-cd.co.jp/case/yamato_transport/</t>
  </si>
  <si>
    <t>120742062819</t>
  </si>
  <si>
    <t>三菱電機デジタルイノベーション株式会社</t>
  </si>
  <si>
    <t>平松　契</t>
  </si>
  <si>
    <t>hiramatsu.kei@zy.mitsubishielectric.co.jp</t>
  </si>
  <si>
    <t>https://uniform.onward-cd.co.jp/work/?gad_source=1&amp;gad_campaignid=21739626435&amp;gclid=CjwKCAjwi-DBBhA5EiwAXOHsGbrsI8mlJ4_1VmJx08lHJLNWrv5DUmfVz1EKSGa1lEQxLmeSCoJ0pRoCH8QQAvD_BwE</t>
  </si>
  <si>
    <t>134985393910</t>
  </si>
  <si>
    <t>https://smart2.onward-cd.co.jp/contact_c?_gl=1*129cfn9*_gcl_au*MTkxOTgzMjg4LjE3NjQ4MTI4NzA.*_ga*MTI0MjI2NjY3MC4xNzY0ODEyODcw*_ga_RLD9Y6J4JX*czE3NjQ4MTI4NzAkbzEkZzAkdDE3NjQ4MTI4NzAkajYwJGwwJGgw</t>
  </si>
  <si>
    <t>342008564459</t>
  </si>
  <si>
    <t>https://smart2.onward-cd.co.jp/contact_c?_gl=1*cx4y9z*_gcl_au*Mjg4MzE2MDE3LjE3NzA2MTc1NTM.*_ga*MTExMzExNDY1Mi4xNzcwNjE3NTUz*_ga_RLD9Y6J4JX*czE3NzA2MTc1NTMkbzEkZzEkdDE3NzA2MTc2MDEkajEyJGwwJGgw</t>
  </si>
  <si>
    <t>420247782132</t>
  </si>
  <si>
    <t>https://uniform.onward-cd.co.jp/?gad_source=1&amp;gad_campaignid=21739626435&amp;gbraid=0AAAAA997okwpUETbdVNB-en9vBBDj7gg8&amp;gclid=CjwKCAjwsZPDBhBWEiwADuO6y6kN3HMnBlb0qVtMeCrO9J_Tw9utp1MSLDywRSo9pI0ITqxNwvOJ9RoCjx4QAvD_BwE</t>
  </si>
  <si>
    <t>https://smart2.onward-cd.co.jp/contact_c?_gl=1*16ipl7b*_gcl_aw*R0NMLjE3NTE1MDY5NzYuQ2p3S0NBandzWlBEQmhCV0Vpd0FEdU82eTZrTjNITW5CbGIwcVZ0TWVDck85Sl9Udzl1dHAxTVNMRHl3UlNvOXBJMElUcXhOd3ZPSjlSb0NqeDRRQXZEX0J3RQ..*_gcl_au*MTM4NTYxODA3OS4xNzUxNTA2ODQ3*_ga*NDE4OTQ3NjUyLjE3NTE1MDY4NDc.*_ga_RLD9Y6J4JX*czE3NTE1MDY4NDckbzEkZzEkdDE3NTE1MDY5OTQkajQxJGwwJGgw</t>
  </si>
  <si>
    <t>160479809262</t>
  </si>
  <si>
    <t>ヴェオリア・ジェネッツ株式会社</t>
  </si>
  <si>
    <t>https://smart2.onward-cd.co.jp/contact_c?_gl=1*1b81xnv*_gcl_au*MTM5MjU5NTYyOC4xNzUwMzk1Mzc4*_ga*MTYwNTAwNTkzMC4xNzUwMzk1MzMx*_ga_RLD9Y6J4JX*czE3NTI1NjEzMDYkbzIkZzEkdDE3NTI1NjE1NzIkajYwJGwwJGgw</t>
  </si>
  <si>
    <t>150849776327</t>
  </si>
  <si>
    <t>https://uniform.onward-cd.co.jp/?utm_term=%E3%83%A6%E3%83%8B%E3%83%95%E3%82%A9%E3%83%BC%E3%83%A0%20%E3%83%87%E3%82%B6%E3%82%A4%E3%83%B3&amp;utm_campaign=1-1)+%E4%BC%81%E6%A5%ADUN_%E3%82%AA%E3%83%AA%E3%82%B8%E3%83%8A%E3%83%AB%E3%83%A6%E3%83%8B%E3%83%95%E3%82%A9%E3%83%BC%E3%83%A0&amp;utm_source=adwords&amp;utm_medium=ppc&amp;hsa_acc=1350021615&amp;hsa_cam=21739626435&amp;hsa_grp=164786146461&amp;hsa_ad=714833839358&amp;hsa_src=g&amp;hsa_tgt=kwd-3719446992&amp;hsa_kw=%E3%83%A6%E3%83%8B%E3%83%95%E3%82%A9%E3%83%BC%E3%83%A0%20%E3%83%87%E3%82%B6%E3%82%A4%E3%83%B3&amp;hsa_mt=b&amp;hsa_net=adwords&amp;hsa_ver=3&amp;gad_source=1&amp;gad_campaignid=21739626435&amp;gbraid=0AAAAA997okx7EzLMWXtRJBb8brLZ9pmke&amp;gclid=EAIaIQobChMIwafAi8rGkQMVHlwPAh2AlCDZEAMYASAAEgI7F_D_BwE</t>
  </si>
  <si>
    <t>https://smart2.onward-cd.co.jp/contact_c?_gl=1*43lbeg*_gcl_aw*R0NMLjE3NjYxMTQzMzkuRUFJYUlRb2JDaE1JN2VUSnl0aklrUU1WejlCTUFoMGVYUVM3RUFBWUFpQUFFZ0lia1BEX0J3RQ..*_gcl_au*MTk4NTg3Mzg0Ny4xNzY2MDQxODQx*_ga*MTIyNjUyMTg4MC4xNzY2MDQxODQx*_ga_RLD9Y6J4JX*czE3NjY0Nzc4MzQkbzUkZzAkdDE3NjY0Nzc4MzQkajYwJGwwJGgw</t>
  </si>
  <si>
    <t>357587087089</t>
  </si>
  <si>
    <t>https://uniform.onward-cd.co.jp/?utm_term=%E4%BC%81%E6%A5%AD%20%E5%88%B6%E6%9C%8D&amp;utm_campaign=1-1)+%E4%BC%81%E6%A5%ADUN_%E3%82%AA%E3%83%AA%E3%82%B8%E3%83%8A%E3%83%AB%E3%83%A6%E3%83%8B%E3%83%95%E3%82%A9%E3%83%BC%E3%83%A0&amp;utm_source=adwords&amp;utm_medium=ppc&amp;hsa_acc=1350021615&amp;hsa_cam=21739626435&amp;hsa_grp=164786146461&amp;hsa_ad=714833839358&amp;hsa_src=g&amp;hsa_tgt=kwd-297888918854&amp;hsa_kw=%E4%BC%81%E6%A5%AD%20%E5%88%B6%E6%9C%8D&amp;hsa_mt=b&amp;hsa_net=adwords&amp;hsa_ver=3&amp;gad_source=1&amp;gad_campaignid=21739626435&amp;gbraid=0AAAAA997okwQ7JT35OUhpY2LR4nNU6ku0&amp;gclid=CjwKCAjw1dLDBhBoEiwAQNRiQfW7QOrKIVaje_MKCX-0fOhU7EXEz5cGMcMcbBdQQ_k0iuxkXWv3VhoC7UcQAvD_BwE</t>
  </si>
  <si>
    <t>https://smart2.onward-cd.co.jp/contact_c?utm_source=corporate-site&amp;utm_medium=referral&amp;utm_campaign=service-list_contact_c</t>
  </si>
  <si>
    <t>170704763594</t>
  </si>
  <si>
    <t>https://smart2.onward-cd.co.jp/uniform_service_guide?_bd_prev_page=https%253A%252F%252Funiform.onward-cd.co.jp%252Fservice-document%252F&amp;_gl=1*4wzd5r*_gcl_au*MTMzOTA3MDU3Mi4xNzU2MjcwOTYx*_ga*MTM2MDMzNDk2OS4xNzU2MjcwOTYx*_ga_RLD9Y6J4JX*czE3NTYyNzA5NjEkbzEkZzAkdDE3NTYyNzA5NjEkajYwJGwwJGgw&amp;_bdsid=3Ytoth.pcapVal.1731314606228.1731314624&amp;_bdrpf=1</t>
  </si>
  <si>
    <t>221047144134</t>
  </si>
  <si>
    <t>https://uniform.onward-cd.co.jp/?utm_term=%E3%83%A6%E3%83%8B%E3%83%95%E3%82%A9%E3%83%BC%E3%83%A0%20%E3%83%87%E3%82%B6%E3%82%A4%E3%83%B3&amp;utm_campaign=1-1)+%E4%BC%81%E6%A5%ADUN_%E3%82%AA%E3%83%AA%E3%82%B8%E3%83%8A%E3%83%AB%E3%83%A6%E3%83%8B%E3%83%95%E3%82%A9%E3%83%BC%E3%83%A0&amp;utm_source=adwords&amp;utm_medium=ppc&amp;hsa_acc=1350021615&amp;hsa_cam=21739626435&amp;hsa_grp=164786146461&amp;hsa_ad=714833839358&amp;hsa_src=g&amp;hsa_tgt=kwd-3719446992&amp;hsa_kw=%E3%83%A6%E3%83%8B%E3%83%95%E3%82%A9%E3%83%BC%E3%83%A0%20%E3%83%87%E3%82%B6%E3%82%A4%E3%83%B3&amp;hsa_mt=b&amp;hsa_net=adwords&amp;hsa_ver=3&amp;gad_source=1&amp;gad_campaignid=21739626435&amp;gbraid=0AAAAA997okyHMsxfOAc5lU02YeYdZsgnu&amp;gclid=CjwKCAjwxfjGBhAUEiwAKWPwDtz2M3Iac8RQ96VuIox6qecci_Hjpxd8a92KxrKvcvVHwQpfXQfLGRoCj2AQAvD_BwE</t>
  </si>
  <si>
    <t>https://smart2.onward-cd.co.jp/uniform_service_guide?_gl=1*1nt4lh*_gcl_aw*R0NMLjE3NTk0NTM2NDcuQ2p3S0NBand4ZmpHQmhBVUVpd0FLV1B3RHR6Mk0zSWFjOFJROTZWdUlveDZxZWNjaV9IanB4ZDhhOTJLeHJLdmN2Vkh3UXBmWFFmTEdSb0NqMkFRQXZEX0J3RQ..*_gcl_au*MTcyMjQ4MTg0OS4xNzU5NDUzNjI5*_ga*MTI5ODU5MTAxNi4xNzU5NDUzNjMw*_ga_RLD9Y6J4JX*czE3NTk0NTk3NzEkbzIkZzEkdDE3NTk0NTk4NTUkajYwJGwwJGgw</t>
  </si>
  <si>
    <t>269727480533</t>
  </si>
  <si>
    <t>https://smart2.onward-cd.co.jp/uniform_service_guide?_gl=1*1rqc3z4*_gcl_au*NTY5MjI1MzUwLjE3NTczMDQ3OTE.*_ga*MTMyMTA5ODQ1Mi4xNzU3MzA0NzY4*_ga_RLD9Y6J4JX*czE3NTczMDQ3OTEkbzEkZzEkdDE3NTczMDQ3OTkkajUyJGwwJGgw</t>
  </si>
  <si>
    <t>238537517775</t>
  </si>
  <si>
    <t>https://smart.onward-cd.co.jp/contact_c/thanks?_bd_prev_page=https%3A%2F%2Funiform.onward-cd.co.jp%2Fcase%2F&amp;_bdrpf=0&amp;_bdsid=3kkBLo.puw7~rO.1750738138866.1750738578&amp;_gl=1%2Ag95t5e%2A_gcl_au%2AMjY1ODY2NjU0LjE3NTA3MzgxMzk.%2A_ga%2AMTkxNjQxMjM4Ni4xNzUwNzM4MTM5%2A_ga_RLD9Y6J4JX%2AczE3NTA3MzgxMzkkbzEkZzEkdDE3NTA3Mzg0NDIkajQ2JGwwJGgw&amp;bdlic=&amp;bdmlc=&amp;bdpsc=&amp;bdsmc=</t>
  </si>
  <si>
    <t>154668967658</t>
  </si>
  <si>
    <t>湯浅 記子</t>
  </si>
  <si>
    <t>https://uniform.onward-cd.co.jp/service/</t>
  </si>
  <si>
    <t>327735424737</t>
  </si>
  <si>
    <t>https://smart2.onward-cd.co.jp/contact_c?_gl=1*1pkbz4l*_gcl_au*MTQ1NzIyMzYxNC4xNzUyODAyMjcx*_ga*NTA1MTAxNTEwLjE3NTI4MDIyNzE.*_ga_RLD9Y6J4JX*czE3NTI4MDIyNzAkbzEkZzEkdDE3NTI4MDIzMjgkajIkbDAkaDA.</t>
  </si>
  <si>
    <t>172718820067</t>
  </si>
  <si>
    <t>https://uniform.onward-cd.co.jp/?utm_term=%E4%BC%81%E6%A5%AD%20%E5%88%B6%E6%9C%8D&amp;utm_campaign=1-1)+%E4%BC%81%E6%A5%ADUN_%E3%82%AA%E3%83%AA%E3%82%B8%E3%83%8A%E3%83%AB%E3%83%A6%E3%83%8B%E3%83%95%E3%82%A9%E3%83%BC%E3%83%A0&amp;utm_source=adwords&amp;utm_medium=ppc&amp;hsa_acc=1350021615&amp;hsa_cam=21739626435&amp;hsa_grp=164786146461&amp;hsa_ad=714833839358&amp;hsa_src=g&amp;hsa_tgt=kwd-297888918854&amp;hsa_kw=%E4%BC%81%E6%A5%AD%20%E5%88%B6%E6%9C%8D&amp;hsa_mt=b&amp;hsa_net=adwords&amp;hsa_ver=3&amp;gad_source=1&amp;gad_campaignid=21739626435&amp;gbraid=0AAAAA997oky9SNQcpLR1M6jZ5l4DL7hay&amp;gclid=Cj0KCQjw_L_FBhDmARIsAItqgt6hMK-bYbjSmPcPZIbZROAcPum157Yaj0ek-mFyEB010kGJjPNp2H8aAjpIEALw_wcB</t>
  </si>
  <si>
    <t>223881058029</t>
  </si>
  <si>
    <t>塚田 志保</t>
  </si>
  <si>
    <t>190194942710</t>
  </si>
  <si>
    <t>駒井土建株式会社</t>
  </si>
  <si>
    <t>https://uniform.onward-cd.co.jp/?gad_source=1&amp;gad_campaignid=21739626435&amp;gbraid=0AAAAA997okzhkbQVqRsOwqAsvWNzk4bI2&amp;gclid=CjwKCAjwsZPDBhBWEiwADuO6y5TG8r5NQg_Gf4sdsqPzqh7hQddZfBnwojxatisZvzgTeYi-SKlH3hoCapQQAvD_BwE</t>
  </si>
  <si>
    <t>https://smart2.onward-cd.co.jp/uniform_service_guide?_bd_prev_page=https%253A%252F%252Funiform.onward-cd.co.jp%252Fservice-document%252F&amp;_gl=1*1iep6pg*_gcl_aw*R0NMLjE3NTE0NDM1ODAuQ2p3S0NBandzWlBEQmhCV0Vpd0FEdU82eTVURzhyNU5RZ19HZjRzZHNxUHpxaDdoUWRkWmZCbndvanhhdGlzWnZ6Z1RlWWktU0tsSDNob0NhcFFRQXZEX0J3RQ..*_gcl_au*NzgxNjkwNzQuMTc1MTQ0MzU2NQ..*_ga*ODQxNTUyNzAxLjE3NTE0NDM1NjU.*_ga_RLD9Y6J4JX*czE3NTE0NDM1NjQkbzEkZzEkdDE3NTE0NDM1NzkkajQ1JGwwJGgw&amp;_bdsid=3Ytoth.pcapVal.1731314606228.1731314624&amp;_bdrpf=1</t>
  </si>
  <si>
    <t>159660624591</t>
  </si>
  <si>
    <t>https://uniform.onward-cd.co.jp/?utm_term=%E3%83%A6%E3%83%8B%E3%83%95%E3%82%A9%E3%83%BC%E3%83%A0%20%E3%83%87%E3%82%B6%E3%82%A4%E3%83%B3&amp;utm_campaign=1-1)+%E4%BC%81%E6%A5%ADUN_%E3%82%AA%E3%83%AA%E3%82%B8%E3%83%8A%E3%83%AB%E3%83%A6%E3%83%8B%E3%83%95%E3%82%A9%E3%83%BC%E3%83%A0&amp;utm_source=adwords&amp;utm_medium=ppc&amp;hsa_acc=1350021615&amp;hsa_cam=21739626435&amp;hsa_grp=164786146461&amp;hsa_ad=714833839358&amp;hsa_src=g&amp;hsa_tgt=kwd-3719446992&amp;hsa_kw=%E3%83%A6%E3%83%8B%E3%83%95%E3%82%A9%E3%83%BC%E3%83%A0%20%E3%83%87%E3%82%B6%E3%82%A4%E3%83%B3&amp;hsa_mt=b&amp;hsa_net=adwords&amp;hsa_ver=3&amp;gad_source=1&amp;gad_campaignid=21739626435&amp;gclid=EAIaIQobChMIor-x29WCkQMVAssWBR1kWTcpEAAYASAAEgJ9iPD_BwE</t>
  </si>
  <si>
    <t>329399385828</t>
  </si>
  <si>
    <t>https://uniform.onward-cd.co.jp/work/</t>
  </si>
  <si>
    <t>https://smart2.onward-cd.co.jp/contact_c?_gl=1*am8l*_gcl_au*ODQ2NDYxMDczLjE3NzMwMzc0MTQ.*_ga*MTYyNjg0ODE1MS4xNzczMDM3NDE1*_ga_RLD9Y6J4JX*czE3NzMwNDQ2NzAkbzIkZzEkdDE3NzMwNDQ2ODUkajQ1JGwwJGgw</t>
  </si>
  <si>
    <t>453253316298</t>
  </si>
  <si>
    <t>ＪＲ東日本テクノロジー株式会社</t>
  </si>
  <si>
    <t>寺林 大地</t>
  </si>
  <si>
    <t>talk.worksmobile.com</t>
  </si>
  <si>
    <t>talk.worksmobile.com/</t>
  </si>
  <si>
    <t>https://school.onward-cd.co.jp/targeting-lp/</t>
  </si>
  <si>
    <t>238341329636</t>
  </si>
  <si>
    <t>https://smart2.onward-cd.co.jp/uniform_introduction_guide?_gl=1*xow88p*_gcl_au*MTE5MTg1NjAwMS4xNzU2MTEyNzg3LjIxMzEwODg1MzcuMTc1NjExMjg0MC4xNzU2MTEzMDA5*_ga*MjA1MzY3MjQ0NS4xNzU2MTEyNzc4*_ga_RLD9Y6J4JX*czE3NTYxMTI3ODckbzEkZzEkdDE3NTYxMTMzMDIkajMxJGwwJGgw</t>
  </si>
  <si>
    <t>218696470215</t>
  </si>
  <si>
    <t>米沢電気工事株式会社</t>
  </si>
  <si>
    <t>248796953303</t>
  </si>
  <si>
    <t>https://uniform.onward-cd.co.jp/work/?gad_source=1&amp;gad_campaignid=21739626435&amp;gbraid=0AAAAA997okzVZyYld_fyAtl56SUYrKaBo&amp;gclid=CjwKCAjw87XBBhBIEiwAxP3_A3UPXCAZYTOpQbxfwrQl5nVKK2ajWcMcdH0gWwrIrcICb_kU0lvjkxoCLOUQAvD_BwE</t>
  </si>
  <si>
    <t>https://smart.onward-cd.co.jp/uniform_introduction_guide/thanks?_bd_prev_page=https%3A%2F%2Funiform.onward-cd.co.jp%2Fwork%2F%3Fgad_source%3D1%26gad_campaignid%3D21739626435%26gbraid%3D0AAAAA997okzVZyYld_fyAtl56SUYrKaBo%26gclid%3DCjwKCAjw87XBBhBIEiwAxP3_A3UPXCAZYTOpQbxfwrQl5nVKK2ajWcMcdH0gWwrIrcICb_kU0lvjkxoCLOUQAvD_BwE&amp;_bdrpf=0&amp;_bdsid=1h3L10.prSdIFJ.1747887508077.1747887533&amp;_gl=1%2Aesoduz%2A_gcl_aw%2AR0NMLjE3NDc4ODc1MDkuQ2p3S0NBanc4N1hCQmhCSUVpd0F4UDNfQTNVUFhDQVpZVE9wUWJ4ZndyUWw1blZLSzJhaldjTWNkSDBnV3dySXJjSUNiX2tVMGx2amt4b0NMT1VRQXZEX0J3RQ..%2A_gcl_au%2AMTQ4OTIzNzI2OC4xNzQ3ODg3NTA4%2A_ga%2AMTc5MzY4MTczLjE3NDc4ODc1MDg.%2A_ga_RLD9Y6J4JX%2AczE3NDc4ODc1MDgkbzEkZzAkdDE3NDc4ODc1MDgkajYwJGwwJGgwJGRnV0lfcUtoTlZsdTExQXNFVWZXZXIyNG1kVVVWTVdUeDhB&amp;bdlic=&amp;bdmlc=&amp;bdpsc=&amp;bdsmc=</t>
  </si>
  <si>
    <t>130118771409</t>
  </si>
  <si>
    <t>松井日和</t>
  </si>
  <si>
    <t>matsui-hy@ilya.co.jp</t>
  </si>
  <si>
    <t>380752533180</t>
  </si>
  <si>
    <t>小山 裕樹</t>
  </si>
  <si>
    <t>https://uniform.onward-cd.co.jp/?_hsenc=p2ANqtz-9tEAh1hZ2cxxpjNOQGYG3AOTl9IOdDHiVaFNj1ScIqo0kXsef3XtW6Wsyd1j2-0ymjhMhQM3EgQb9TiXb6NJSjOoJD9yymaPhTgSDU-OyDJJ_BDsE&amp;_hsmi=9359256</t>
  </si>
  <si>
    <t>239345167057</t>
  </si>
  <si>
    <t>https://uniform.onward-cd.co.jp/?gad_source=1&amp;gad_campaignid=21739626435&amp;gbraid=0AAAAA997okxR76NPmuOgD-OGRhJe8KMa1&amp;gclid=CjwKCAjwr5_CBhBlEiwAzfwYuE8gsnC0U9qEWFug0qSQE3dE7-u55GH6C5-ZJhky__E4YhnPLGjFKxoCHwQQAvD_BwE</t>
  </si>
  <si>
    <t>https://smart.onward-cd.co.jp/uniform_service_guide/thanks?_bd_prev_page=https%3A%2F%2Funiform.onward-cd.co.jp%2F&amp;_bdrpf=1&amp;_bdsid=1AeqM1.ptt06e8.1749613796205.1749613903&amp;bdlic=&amp;bdmlc=&amp;bdpsc=&amp;bdsmc=</t>
  </si>
  <si>
    <t>141967236820</t>
  </si>
  <si>
    <t>172411346662</t>
  </si>
  <si>
    <t>https://uniform.onward-cd.co.jp/?utm_term=%E3%83%A6%E3%83%8B%E3%83%95%E3%82%A9%E3%83%BC%E3%83%A0%20%E3%83%87%E3%82%B6%E3%82%A4%E3%83%B3&amp;utm_campaign=1-1)+%E4%BC%81%E6%A5%ADUN_%E3%82%AA%E3%83%AA%E3%82%B8%E3%83%8A%E3%83%AB%E3%83%A6%E3%83%8B%E3%83%95%E3%82%A9%E3%83%BC%E3%83%A0&amp;utm_source=adwords&amp;utm_medium=ppc&amp;hsa_acc=1350021615&amp;hsa_cam=21739626435&amp;hsa_grp=164786146461&amp;hsa_ad=714833839358&amp;hsa_src=g&amp;hsa_tgt=kwd-3719446992&amp;hsa_kw=%E3%83%A6%E3%83%8B%E3%83%95%E3%82%A9%E3%83%BC%E3%83%A0%20%E3%83%87%E3%82%B6%E3%82%A4%E3%83%B3&amp;hsa_mt=b&amp;hsa_net=adwords&amp;hsa_ver=3&amp;gad_source=1&amp;gad_campaignid=21739626435&amp;gbraid=0AAAAA997okzcHPibeWLUq9ERQGi5j4vw0&amp;gclid=Cj0KCQiAvtzLBhCPARIsALwhxdoTgfjVVm4R5n1jZxtflpUVrtAdT7i0hSgQqEihQ7l475KLOn-T6WgaAkTNEALw_wcB</t>
  </si>
  <si>
    <t>https://smart2.onward-cd.co.jp/contact_c?_gl=1*12afkqr*_gcl_aw*R0NMLjE3NzA2OTIxMDAuQ2p3S0NBaUFxS2JNQmhCbUVpd0FaM1Vib0FQYWgwVlpOTEF4dzNRX3NBLW13S1hZTEFlU3NfOTBFNXlGVGdyMUdKQ2x5NzVxbU9BSllob0N1eTBRQXZEX0J3RQ..*_gcl_au*MTY2MjIzNjQwLjE3Njk0NzM0Mjg.*_ga*MTY1NDcwMDg3Ny4xNzY5NDczNDI5*_ga_RLD9Y6J4JX*czE3NzA2OTIwOTkkbzIkZzAkdDE3NzA2OTIwOTkkajYwJGwwJGgw</t>
  </si>
  <si>
    <t>400714723006</t>
  </si>
  <si>
    <t>長野 加奈</t>
  </si>
  <si>
    <t>143858379513</t>
  </si>
  <si>
    <t>130098951869</t>
  </si>
  <si>
    <t>https://smart2.onward-cd.co.jp/contact_c?_gl=1*jqui9c*_gcl_aw*R0NMLjE3NTYwNzk2ODguQ2owS0NRanc4S3JGQmhEVUFSSXNBTXZJQXBiY2liMW5IakQxY3g2MUNBREd2WnlxQjRCbVljVmF4UmEzQTlIMTJ3ejdjUEwxaGVnTEpad2FBdGd6RUFMd193Y0I.*_gcl_au*MjAxMTM0Mzg2MS4xNzU0NTIyOTk4LjE5OTc2NzU2My4xNzU2MDc5NTE0LjE3NTYwNzk2ODM.*_ga*MTIxMTg2Njk5MS4xNzU0NTIyOTk5*_ga_RLD9Y6J4JX*czE3NTY3MTA5NDkkbzMkZzEkdDE3NTY3MTEwNDkkajU5JGwwJGgw</t>
  </si>
  <si>
    <t>198512611034</t>
  </si>
  <si>
    <t>株式会社ベルーナ</t>
  </si>
  <si>
    <t>https://smart2.onward-cd.co.jp/contact_c?_gl=1*1jemegt*_gcl_au*NTQ5MzMwMTQ4LjE3NTI4MTM3NTY.*_ga*MTE3MTExNjY4MS4xNzUyODEzNzU3*_ga_RLD9Y6J4JX*czE3NTI4MTM3NTYkbzEkZzAkdDE3NTI4MTM3NTYkajYwJGwwJGgw</t>
  </si>
  <si>
    <t>172891538132</t>
  </si>
  <si>
    <t>248945207028</t>
  </si>
  <si>
    <t>岩間 拓海</t>
  </si>
  <si>
    <t>https://smart2.onward-cd.co.jp/contact_c?_gl=1*17x875p*_gcl_au*MzI0ODYwOTYyLjE3NTU1ODQ5NzQ.*_ga*MTc2OTc3MzAwOC4xNzU1NTg0OTc1*_ga_RLD9Y6J4JX*czE3NTU1ODQ5NzQkbzEkZzAkdDE3NTU1ODQ5NzUkajU5JGwwJGgw</t>
  </si>
  <si>
    <t>212571026142</t>
  </si>
  <si>
    <t>https://uniform.onward-cd.co.jp/service/?gad_source=1&amp;gbraid=0AAAAA997okwPRyenRwb4poHCIJltpsFP5&amp;gclid=EAIaIQobChMI4vSKivPnjAMVbsJMAh2sIRwgEAAYAyAAEgIKjvD_BwE</t>
  </si>
  <si>
    <t>112596808407</t>
  </si>
  <si>
    <t>尾家産業株式会社</t>
  </si>
  <si>
    <t>上籠 佑美</t>
  </si>
  <si>
    <t>186141667017</t>
  </si>
  <si>
    <t>ホテル ユニフォーム</t>
  </si>
  <si>
    <t>https://uniform.onward-cd.co.jp/service/?utm_term=%E3%83%9B%E3%83%86%E3%83%AB%20%E3%83%A6%E3%83%8B%E3%83%95%E3%82%A9%E3%83%BC%E3%83%A0&amp;utm_campaign=1-3)+%E4%BC%81%E6%A5%ADUN_%E9%A3%B2%E9%A3%9F%E3%83%BB%E6%8E%A5%E5%AE%A2&amp;utm_source=adwords&amp;utm_medium=ppc&amp;hsa_acc=1350021615&amp;hsa_cam=22625120783&amp;hsa_grp=180014084629&amp;hsa_ad=755651351995&amp;hsa_src=g&amp;hsa_tgt=kwd-297888916694&amp;hsa_kw=%E3%83%9B%E3%83%86%E3%83%AB%20%E3%83%A6%E3%83%8B%E3%83%95%E3%82%A9%E3%83%BC%E3%83%A0&amp;hsa_mt=b&amp;hsa_net=adwords&amp;hsa_ver=3&amp;gad_source=1&amp;gad_campaignid=22625120783&amp;gbraid=0AAAAA997okza7J6AAR8G9kNe8OsqDKlmp&amp;gclid=Cj0KCQiAo4TKBhDRARIsAGW29bf-MEOYExgVJnrwx_M_nIiZKw-xufNDQN7oQTXm9oV-Z-6m7XTGHWUaAtd-EALw_wcB</t>
  </si>
  <si>
    <t>https://smart2.onward-cd.co.jp/uniform_service_guide?_bd_prev_page=https%253A%252F%252Funiform.onward-cd.co.jp%252Fservice-document%252F&amp;_gl=1*teo4t*_gcl_aw*R0NMLjE3NjU5MjgyNzAuQ2owS0NRaUFvNFRLQmhEUkFSSXNBR1cyOWJmLU1FT1lFeGdWSm5yd3hfTV9uSWlaS3cteHVmTkRRTjdvUVRYbTlvVi1aLTZtN1hUR0hXVWFBdGQtRUFMd193Y0I.*_gcl_au*MjA5Mjk5NjEyMy4xNzY1OTI4MTU1LjE3NTExMzAwOTAuMTc2NTkyODIzMy4xNzY1OTI4MjMy*_ga*MTEyOTc2ODAyMi4xNzY1OTI4MTU1*_ga_RLD9Y6J4JX*czE3NjU5MjgxNTUkbzEkZzEkdDE3NjU5MjgyNzMkajE5JGwwJGgw&amp;_bdsid=3Ytoth.pcapVal.1731314606228.1731314624&amp;_bdrpf=1</t>
  </si>
  <si>
    <t>356235954926</t>
  </si>
  <si>
    <t>昭和飛行機工業株式会社</t>
  </si>
  <si>
    <t>田代 勝己</t>
  </si>
  <si>
    <t>https://uniform.onward-cd.co.jp/case/takano/?utm_campaign=un16&amp;utm_medium=email&amp;_hsenc=p2ANqtz-_6bCynzne0nQr3VcCwCEEYOFBkAn-OnkTRmlzjmo1Ncl819tw5UICy_A4sRmwPxoLRzEcMAjJo_VMtYeNCKXB0bZBvLHyL-lPXetm9eAa8KznpxkY&amp;_hsmi=24316789&amp;utm_content=cta2%C2%A0&amp;utm_source=hubspot</t>
  </si>
  <si>
    <t>172411747042</t>
  </si>
  <si>
    <t>清田 康一</t>
  </si>
  <si>
    <t>09_2</t>
  </si>
  <si>
    <t>https://smart.onward-cd.co.jp/uniform_introduction_guide?utm_source=bdash&amp;bdmlc=MTAwNDE2Xzc1N182MTk0NF8x&amp;bdl=5&amp;utm_medium=email&amp;utm_campaign=09_2</t>
  </si>
  <si>
    <t>https://smart.onward-cd.co.jp/uniform_introduction_guide/thanks?bdl=5&amp;bdlic=&amp;bdmlc=MTAwNDE2Xzc1N182MTk0NF8x&amp;bdpsc=&amp;bdsmc=&amp;utm_campaign=09_2&amp;utm_medium=email&amp;utm_source=bdash</t>
  </si>
  <si>
    <t>山嵜　素音</t>
  </si>
  <si>
    <t>110873862848</t>
  </si>
  <si>
    <t>https://uniform.onward-cd.co.jp/column/uniform_selection_point/</t>
  </si>
  <si>
    <t>376026765023</t>
  </si>
  <si>
    <t>https://uniform.onward-cd.co.jp/case/page/5/</t>
  </si>
  <si>
    <t>444825280205</t>
  </si>
  <si>
    <t>https://smart2.onward-cd.co.jp/uniform_introduction_guide?_gl=1*15v59bm*_gcl_au*ODI3MzA3NjY2LjE3NTM3NTc1Mzc.*_ga*MTYwNzk0NzUxNi4xNzUzNzQ3Nzkz*_ga_RLD9Y6J4JX*czE3NTQ0NjY4NDQkbzIkZzEkdDE3NTQ0NjY4NjQkajQwJGwwJGgw</t>
  </si>
  <si>
    <t>187767099105</t>
  </si>
  <si>
    <t>宮崎 明希子</t>
  </si>
  <si>
    <t>20250715_オリジナルユニフォーム</t>
  </si>
  <si>
    <t>https://smart2.onward-cd.co.jp/uniform_pre-preparation_checksheet?utm_campaign=un-13&amp;utm_medium=email&amp;_hsenc=p2ANqtz-8V-AiuiCLtcJPpqWD6SaJc0tlQ6HvMUhOnthFGr7ZcsEQBxjwLxofW1FDEpPNtn7EwDf5rTQgazMLInFyzFadxn1q8cWTd4jNCGEbKIM3kxL0H7N0&amp;_hsmi=13001991&amp;utm_content=cta1&amp;utm_source=hubspot</t>
  </si>
  <si>
    <t>新井　みどり</t>
  </si>
  <si>
    <t>170823966395</t>
  </si>
  <si>
    <t>https://uniform.onward-cd.co.jp/work/?gad_source=1&amp;gad_campaignid=21739626435&amp;gbraid=0AAAAA997okylMZL6C0EpnUiAQf2ei2RHm&amp;gclid=EAIaIQobChMIh7b1gqCVjQMVWlwPAh2esSYbEAAYAiAAEgLf9PD_BwE</t>
  </si>
  <si>
    <t>https://smart.onward-cd.co.jp/contact_c?_bdsid=1sflKV.pqOI6c7.1746754626311.1746756525&amp;_bd_prev_page=https%3A%2F%2Funiform.onward-cd.co.jp%2Fcase%2F&amp;_bdrpf=0&amp;_gl=1*1o2kjcc*_gcl_aw*R0NMLjE3NDY3NTQ2OTQuRUFJYUlRb2JDaE1JaDdiMWdxQ1ZqUU1WV2x3UEFoMmVzU1liRUFBWUFpQUFFZ0xmOVBEX0J3RQ..*_gcl_au*MTQ1NzkxNTI3Ny4xNzQ2NzU0NjI2LjIwNTc3MTI5OTYuMTc0Njc1NjQ0Ni4xNzQ2NzU2NTAz*_ga*NDc4NTQ5NDEzLjE3NDY3NTQ2MjY.*_ga_RLD9Y6J4JX*czE3NDY3NTQ2MjYkbzEkZzEkdDE3NDY3NTY1MTYkajM2JGwwJGgw</t>
  </si>
  <si>
    <t>124211584755</t>
  </si>
  <si>
    <t>大橋 舞子</t>
  </si>
  <si>
    <t>https://uniform.onward-cd.co.jp/column/</t>
  </si>
  <si>
    <t>235158772449</t>
  </si>
  <si>
    <t>https://uniform.onward-cd.co.jp/?utm_term=%E6%A5%AD%E5%8B%99%20%E7%94%A8%20%E5%88%B6%E6%9C%8D&amp;utm_campaign=1-1)+%E4%BC%81%E6%A5%ADUN_%E3%82%AA%E3%83%AA%E3%82%B8%E3%83%8A%E3%83%AB%E3%83%A6%E3%83%8B%E3%83%95%E3%82%A9%E3%83%BC%E3%83%A0&amp;utm_source=adwords&amp;utm_medium=ppc&amp;hsa_acc=1350021615&amp;hsa_cam=21739626435&amp;hsa_grp=164786146461&amp;hsa_ad=714833839358&amp;hsa_src=g&amp;hsa_tgt=kwd-299070413239&amp;hsa_kw=%E6%A5%AD%E5%8B%99%20%E7%94%A8%20%E5%88%B6%E6%9C%8D&amp;hsa_mt=b&amp;hsa_net=adwords&amp;hsa_ver=3&amp;gad_source=1&amp;gad_campaignid=21739626435&amp;gbraid=0AAAAA997okyQYJGRx-BlLoBTI377kWXap&amp;gclid=Cj0KCQjwoP_FBhDFARIsANPG24NPetf-cfDaIUZYtmN04LohAqsrhMrqGGHy6EJJ_cnmZ_2M_ZyecKgaAofxEALw_wcB</t>
  </si>
  <si>
    <t>https://smart2.onward-cd.co.jp/contact_c?_gl=1*16zj872*_gcl_aw*R0NMLjE3NTc0Nzk3MjMuQ2owS0NRandvUF9GQmhERkFSSXNBTlBHMjROUGV0Zi1jZkRhSVVaWXRtTjA0TG9oQXFzcmhNcnFHR0h5NkVKSl9jbm1aXzJNX1p5ZWNLZ2FBb2Z4RUFMd193Y0I.*_gcl_au*MTk2NTgwNDQ3Ny4xNzU3NDc5NzAxLjI4NTczMTEzNC4xNzU3NDc5ODk2LjE3NTc0Nzk4OTY.*_ga*MTUzNzY2NjM3MC4xNzU3NDc5NzAy*_ga_40P3EPKK4E*czE3NTc0Nzk3ODgkbzEkZzEkdDE3NTc0Nzk4OTckajU4JGwwJGgw</t>
  </si>
  <si>
    <t>240493325006</t>
  </si>
  <si>
    <t>https://smart2.onward-cd.co.jp/contact_c?_gl=1*69rj77*_gcl_au*MTYyMzAxOTQyNC4xNzYzMzA5MjM0*_ga*MjExMTQ3ODUwNy4xNzYzMzA5MjM2*_ga_RLD9Y6J4JX*czE3NjMzMDkyMzUkbzEkZzAkdDE3NjMzMDkyMzckajU4JGwwJGgw</t>
  </si>
  <si>
    <t>325355878091</t>
  </si>
  <si>
    <t>https://smart2.onward-cd.co.jp/uniform_service_guide?_bd_prev_page=https%253A%252F%252Funiform.onward-cd.co.jp%252Fservice-document%252F&amp;_gl=1*wu9jqf*_gcl_au*MTQ4ODI0MDMwLjE3NTMwMDI5Mzg.*_ga*MTM1MTkzNTY0Mi4xNzUzMDAyOTEw*_ga_RLD9Y6J4JX*czE3NTMwMDI5MzgkbzEkZzEkdDE3NTMwMDI5OTIkajYkbDAkaDA.&amp;_bdsid=3Ytoth.pcapVal.1731314606228.1731314624&amp;_bdrpf=1</t>
  </si>
  <si>
    <t>175298803418</t>
  </si>
  <si>
    <t>https://uniform.onward-cd.co.jp/company/</t>
  </si>
  <si>
    <t>320134112984</t>
  </si>
  <si>
    <t>322039513839</t>
  </si>
  <si>
    <t>https://smart2.onward-cd.co.jp/uniform_pre-preparation_checksheet?_gl=1*vd40in*_gcl_au*Mzk1MzI3Mi4xNzU2NzczNzUw*_ga*ODEwMjkyMTY3LjE3NTY3NzM3NTA.*_ga_RLD9Y6J4JX*czE3NTY3NzM3NTAkbzEkZzEkdDE3NTY3NzQwNDAkajUkbDAkaDA.</t>
  </si>
  <si>
    <t>230701587151</t>
  </si>
  <si>
    <t>https://smart2.onward-cd.co.jp/uniform_service_guide?_bd_prev_page=https%253A%252F%252Funiform.onward-cd.co.jp%252Fservice-document%252F&amp;_gl=1*1h65ndi*_gcl_au*NDA4NDQ2NTQxLjE3NTYxNzg1NjQ.*_ga*MjA1NTMwMjQ0Mi4xNzU2MTc4NTIy*_ga_RLD9Y6J4JX*czE3NTYxNzg1NjQkbzEkZzAkdDE3NTYxNzg1NjQkajYwJGwwJGgw&amp;_bdsid=3Ytoth.pcapVal.1731314606228.1731314624&amp;_bdrpf=1</t>
  </si>
  <si>
    <t>219480133348</t>
  </si>
  <si>
    <t>https://uniform.onward-cd.co.jp/?utm_term=%E3%83%A6%E3%83%8B%E3%83%95%E3%82%A9%E3%83%BC%E3%83%A0%20%E3%83%87%E3%82%B6%E3%82%A4%E3%83%B3&amp;utm_campaign=1-1)+%E4%BC%81%E6%A5%ADUN_%E3%82%AA%E3%83%AA%E3%82%B8%E3%83%8A%E3%83%AB%E3%83%A6%E3%83%8B%E3%83%95%E3%82%A9%E3%83%BC%E3%83%A0&amp;utm_source=adwords&amp;utm_medium=ppc&amp;hsa_acc=1350021615&amp;hsa_cam=21739626435&amp;hsa_grp=164786146461&amp;hsa_ad=714833839358&amp;hsa_src=g&amp;hsa_tgt=kwd-3719446992&amp;hsa_kw=%E3%83%A6%E3%83%8B%E3%83%95%E3%82%A9%E3%83%BC%E3%83%A0%20%E3%83%87%E3%82%B6%E3%82%A4%E3%83%B3&amp;hsa_mt=b&amp;hsa_net=adwords&amp;hsa_ver=3&amp;gad_source=1&amp;gad_campaignid=21739626435&amp;gbraid=0AAAAA997okxe2IfH76DzZK_bLBKm9SHHY&amp;gclid=CjwKCAiAj8LLBhAkEiwAJjbY76cGJlSIhy6c9cdukvF7HsI57spIUi52QIEphLyWuNLTWiGb6Idr0hoCCpgQAvD_BwE</t>
  </si>
  <si>
    <t>393246107352</t>
  </si>
  <si>
    <t>https://uniform.onward-cd.co.jp/?utm_term=%E6%A5%AD%E5%8B%99%20%E7%94%A8%20%E5%88%B6%E6%9C%8D&amp;utm_campaign=1-1)+%E4%BC%81%E6%A5%ADUN_%E3%82%AA%E3%83%AA%E3%82%B8%E3%83%8A%E3%83%AB%E3%83%A6%E3%83%8B%E3%83%95%E3%82%A9%E3%83%BC%E3%83%A0&amp;utm_source=adwords&amp;utm_medium=ppc&amp;hsa_acc=1350021615&amp;hsa_cam=21739626435&amp;hsa_grp=164786146461&amp;hsa_ad=714833839358&amp;hsa_src=g&amp;hsa_tgt=kwd-299070413239&amp;hsa_kw=%E6%A5%AD%E5%8B%99%20%E7%94%A8%20%E5%88%B6%E6%9C%8D&amp;hsa_mt=b&amp;hsa_net=adwords&amp;hsa_ver=3&amp;gad_source=1&amp;gad_campaignid=21739626435&amp;gclid=EAIaIQobChMI3-Wftpr7kQMV7FwPAh1N2yI7EAAYASAAEgJcy_D_BwE</t>
  </si>
  <si>
    <t>https://uniform.onward-cd.co.jp/column/jis-t-8118/</t>
  </si>
  <si>
    <t>377039360736</t>
  </si>
  <si>
    <t>https://smart2.onward-cd.co.jp/uniform_service_guide?_bd_prev_page=https%253A%252F%252Funiform.onward-cd.co.jp%252Fservice-document%252F&amp;_gl=1*1jpa5ah*_gcl_aw*R0NMLjE3NjIyNDEzOTAuRUFJYUlRb2JDaE1JbFBMMDNQelhrQU1WZlF4N0J4M0JlQkZqRUFBWUFTQUFFZ0oxeVBEX0J3RQ..*_gcl_au*MTk0NjU5NTk1Mi4xNzYyMjM1MzUx*_ga*MTgxNzQxMjkxMy4xNzYyMjM1MzUy*_ga_RLD9Y6J4JX*czE3NjIyNDEzODkkbzIkZzAkdDE3NjIyNDEzODkkajYwJGwwJGgw&amp;_bdsid=3Ytoth.pcapVal.1731314606228.1731314624&amp;_bdrpf=1</t>
  </si>
  <si>
    <t>311772119747</t>
  </si>
  <si>
    <t>smart.onward-cd.co.jp/uniform_service_guide</t>
  </si>
  <si>
    <t>https://smart.onward-cd.co.jp/uniform_service_guide?_gl=1*1n3s1l6*_ga*MTc4Nzg1NzEyNi4xNzQzNzMxMzk2*_ga_RLD9Y6J4JX*MTc0NDU5ODM1NC4zLjEuMTc0NDU5ODY5MC4wLjAuMA..&amp;_bdsid=1l5muM.pn+voM+.1744598353958.1744598810&amp;_bd_prev_page=https%3A%2F%2Funiform.onward-cd.co.jp%2F&amp;_bdrpf=1</t>
  </si>
  <si>
    <t>114260983545</t>
  </si>
  <si>
    <t>https://smart2.onward-cd.co.jp/uniform_service_guide?_bd_prev_page=https%253A%252F%252Funiform.onward-cd.co.jp%252Fservice-document%252F&amp;_gl=1*1adr3c0*_gcl_au*NDUyNTEwODEuMTc1MjkzMjQ0MQ..*_ga*NDUwMDY2MzAyLjE3NTI5MzI0NDE.*_ga_RLD9Y6J4JX*czE3NTI5MzI0NDAkbzEkZzAkdDE3NTI5MzI0NDAkajYwJGwwJGgw&amp;_bdsid=3Ytoth.pcapVal.1731314606228.1731314624&amp;_bdrpf=1</t>
  </si>
  <si>
    <t>174409218775</t>
  </si>
  <si>
    <t>https://smart2.onward-cd.co.jp/uniform_service_guide?_bd_prev_page=https%253A%252F%252Funiform.onward-cd.co.jp%252Fservice-document%252F&amp;_gl=1*95ln1g*_gcl_au*MTkyMDA0NjQzMy4xNzU4MDA5Nzcy*_ga*MjEwNjI3NTE0OS4xNzU4MDA5Nzcy*_ga_RLD9Y6J4JX*czE3NTgxMDMyMzUkbzIkZzEkdDE3NTgxMDMzMjEkajYwJGwwJGgw&amp;_bdsid=3Ytoth.pcapVal.1731314606228.1731314624&amp;_bdrpf=1</t>
  </si>
  <si>
    <t>249356749536</t>
  </si>
  <si>
    <t>https://uniform.onward-cd.co.jp/?_hsenc=p2ANqtz-9Fl89x94Y2aWR1UZk220nefcQKUvgSeNMsnMDWW0hKsyz0_7O_GT2EFlseBhlPHMilW7ag9YSRF4LE-DCi4dDmfg2FIQ&amp;_hsmi=9308065</t>
  </si>
  <si>
    <t>321212245753</t>
  </si>
  <si>
    <t>多摩化学工業株式会社</t>
  </si>
  <si>
    <t>https://smart2.onward-cd.co.jp/contact_c?_gl=1*6ajjy5*_gcl_au*MTAxMjY5NTA5NC4xNzUzMjUyNjgw*_ga*MTI3MDk4MjE2MS4xNzUzMjUyNjgw*_ga_RLD9Y6J4JX*czE3NTMyNTI2ODAkbzEkZzAkdDE3NTMyNTI2ODAkajYwJGwwJGgw</t>
  </si>
  <si>
    <t>170667070175</t>
  </si>
  <si>
    <t>https://uniform.onward-cd.co.jp/?utm_term=%E6%A5%AD%E5%8B%99%20%E7%94%A8%20%E5%88%B6%E6%9C%8D&amp;utm_campaign=1-1)+%E4%BC%81%E6%A5%ADUN_%E3%82%AA%E3%83%AA%E3%82%B8%E3%83%8A%E3%83%AB%E3%83%A6%E3%83%8B%E3%83%95%E3%82%A9%E3%83%BC%E3%83%A0&amp;utm_source=adwords&amp;utm_medium=ppc&amp;hsa_acc=1350021615&amp;hsa_cam=21739626435&amp;hsa_grp=164786146461&amp;hsa_ad=714833839358&amp;hsa_src=g&amp;hsa_tgt=kwd-299070413239&amp;hsa_kw=%E6%A5%AD%E5%8B%99%20%E7%94%A8%20%E5%88%B6%E6%9C%8D&amp;hsa_mt=b&amp;hsa_net=adwords&amp;hsa_ver=3&amp;gad_source=1&amp;gad_campaignid=21739626435&amp;gbraid=0AAAAA997okzw_wId64EHexHpqZYZa1SqA&amp;gclid=Cj0KCQiA4eHLBhCzARIsAJ2NZoKvMBugIGRt6TVs7ppB6xNo1pDRpKZArmLWkv_kXV_roMCebXkR55YaAv3VEALw_wcB</t>
  </si>
  <si>
    <t>https://smart2.onward-cd.co.jp/contact_c?_gl=1*1c7fokf*_gcl_aw*R0NMLjE3Njk1Njg1OTEuQ2owS0NRaUE0ZUhMQmhDekFSSXNBSjJOWm9Ldk1CdWdJR1J0NlRWczdwcEI2eE5vMXBEUnBLWkFybUxXa3Zfa1hWX3JvTUNlYlhrUjU1WWFBdjNWRUFMd193Y0I.*_gcl_au*OTQwMTAzNDY1LjE3Njk1Njg1OTA.*_ga*NjY4MzE4MjMuMTc2OTU2ODU5MA..*_ga_RLD9Y6J4JX*czE3Njk1Njg1OTAkbzEkZzAkdDE3Njk1Njg1OTAkajYwJGwwJGgw</t>
  </si>
  <si>
    <t>402142239431</t>
  </si>
  <si>
    <t>172022109913</t>
  </si>
  <si>
    <t>125342385891</t>
  </si>
  <si>
    <t>chatgpt.com</t>
  </si>
  <si>
    <t>https://uniform.onward-cd.co.jp/?utm_source=chatgpt.com</t>
  </si>
  <si>
    <t>https://uniform.onward-cd.co.jp/?_hsenc=p2ANqtz-9XAJdiqorD21XqZg8xDetclvii1JyGclxil8U-su80THGHKPr6Lcmc5bSL1vg6NV5juYpS0smaPdZyFZudCp2osEXNfA&amp;_hsmi=9359256</t>
  </si>
  <si>
    <t>274932879086</t>
  </si>
  <si>
    <t>東京エアポートレストラン株式会社</t>
  </si>
  <si>
    <t>安池 絵梨奈</t>
  </si>
  <si>
    <t>uniform.onward-cd.co.jp/service</t>
  </si>
  <si>
    <t>https://smart2.onward-cd.co.jp/contact_c?_gl=1*6vn44r*_gcl_au*MjA5NjIyNzY0Mi4xNzUyNzA4MTE3LjE2NTIwNjA5MDMuMTc1MjcwODE5MC4xNzUyNzA4MjEz*_ga*OTkzNzkwNTguMTc1MjcwODEwMg..*_ga_RLD9Y6J4JX*czE3NTI3MDgxMTYkbzEkZzEkdDE3NTI3MDgyMzkkajQxJGwwJGgw</t>
  </si>
  <si>
    <t>171580545757</t>
  </si>
  <si>
    <t>https://uniform.onward-cd.co.jp/case/nomura-pt</t>
  </si>
  <si>
    <t>148455344844</t>
  </si>
  <si>
    <t>(株)サタケ</t>
  </si>
  <si>
    <t>https://smart2.onward-cd.co.jp/contact_c?_gl=1*3mpgl3*_gcl_au*NzYyOTY1NTU5LjE3NTM2ODQ2Mzc.*_ga*NTk3NDU3NTQ1LjE3NTM2ODQ2Mzg.*_ga_RLD9Y6J4JX*czE3NTM2ODQ2MzckbzEkZzEkdDE3NTM2ODU2NTkkajYwJGwwJGgw</t>
  </si>
  <si>
    <t>186357206724</t>
  </si>
  <si>
    <t>https://smart.onward-cd.co.jp/uniform_service_guide/thanks?_bd_prev_page=https%3A%2F%2Funiform.onward-cd.co.jp%2F&amp;_bdrpf=1&amp;_bdsid=17f6Fe.ptD9QTi.1750397721711.1750397763&amp;_gl=1%2At0nyu3%2A_gcl_au%2AMTkyMDU0NzIwLjE3NDk3ODIzMTg.%2A_ga%2AMTI2ODc4MTYyMy4xNzQ5NzgyMzE5%2A_ga_RLD9Y6J4JX%2AczE3NTAzOTc3MjEkbzMkZzEkdDE3NTAzOTc3NTckajI0JGwwJGgw&amp;bdlic=&amp;bdmlc=&amp;bdpsc=&amp;bdsmc=</t>
  </si>
  <si>
    <t>143880464067</t>
  </si>
  <si>
    <t>https://smart2.onward-cd.co.jp/contact_c?_gl=1*1y167w5*_gcl_au*MzM1Mjg2NTA4LjE3NjM4ODczNjEuMTQ3MjQzODg2LjE3NjQyMTM4NTMuMTc2NDIxNDAyOQ..*_ga*MTQ2MTIyNzc4NC4xNzYzNzk4MTI5*_ga_RLD9Y6J4JX*czE3NjQyMTM3NDkkbzMkZzEkdDE3NjQyMTQxMDMkajUzJGwwJGgw</t>
  </si>
  <si>
    <t>331193283285</t>
  </si>
  <si>
    <t>219462354634</t>
  </si>
  <si>
    <t>株式会社プレジィール</t>
  </si>
  <si>
    <t>中澤 亜美</t>
  </si>
  <si>
    <t>https://smart2.onward-cd.co.jp/contact_c?_gl=1*glny1c*_gcl_au*MTcwMDIxNjA2OS4xNzUyNjI1Njkz*_ga*OTI5MTc2Mzc0LjE3NTI2MjU2ODg.*_ga_RLD9Y6J4JX*czE3NTI2MjU2OTIkbzEkZzEkdDE3NTI2MjcyMjgkajQ3JGwwJGgw</t>
  </si>
  <si>
    <t>171320438484</t>
  </si>
  <si>
    <t>https://smart.onward-cd.co.jp/uniform_service_guide?_bdsid=2AcsGM.p924eCH.1745462697924.1745462704&amp;_bd_prev_page=https%3A%2F%2Funiform.onward-cd.co.jp%2Fwp-content%2Fuploads%2F2024%2F09%2Funiform_introduction_guide.pdf&amp;_bdrpf=1&amp;_gl=1*594mn*_gcl_au*MTA0Nzg0NTU3MS4xNzM4NzE0NzM0*_ga*MjA4MDk3OTU1Ny4xNzI3Njg1MjUw*_ga_RLD9Y6J4JX*MTc0NTQ2MjY5OC40LjAuMTc0NTQ2MjY5OC42MC4wLjA.</t>
  </si>
  <si>
    <t>114996563684</t>
  </si>
  <si>
    <t>東　利枝</t>
  </si>
  <si>
    <t>https://smart2.onward-cd.co.jp/contact_c?_gl=1*on28j5*_gcl_au*OTkzMTk5Nzg3LjE3NTk5MDY5MDM.*_ga*MjUzOTE2NDA4LjE3NTk5MDY5MDM.*_ga_RLD9Y6J4JX*czE3NTk5MDY5MDMkbzEkZzAkdDE3NTk5MDY5MDMkajYwJGwwJGgw</t>
  </si>
  <si>
    <t>262628868815</t>
  </si>
  <si>
    <t>https://uniform.onward-cd.co.jp/?utm_term=%E4%BC%81%E6%A5%AD%20%E5%88%B6%E6%9C%8D&amp;utm_campaign=1-1)+%E4%BC%81%E6%A5%ADUN_%E3%82%AA%E3%83%AA%E3%82%B8%E3%83%8A%E3%83%AB%E3%83%A6%E3%83%8B%E3%83%95%E3%82%A9%E3%83%BC%E3%83%A0&amp;utm_source=adwords&amp;utm_medium=ppc&amp;hsa_acc=1350021615&amp;hsa_cam=21739626435&amp;hsa_grp=164786146461&amp;hsa_ad=714833839358&amp;hsa_src=g&amp;hsa_tgt=kwd-297888918854&amp;hsa_kw=%E4%BC%81%E6%A5%AD%20%E5%88%B6%E6%9C%8D&amp;hsa_mt=b&amp;hsa_net=adwords&amp;hsa_ver=3&amp;gad_source=1&amp;gad_campaignid=21739626435&amp;gbraid=0AAAAA997okwzwORmnSQbM1Zax591l4JBV&amp;gclid=CjwKCAjwwNbEBhBpEiwAFYLtGAnbVC-LBvsuu4vvgtQF5FRwza0ADFiNzs9zruTVQooZ0pYKunOusBoCN7YQAvD_BwE</t>
  </si>
  <si>
    <t>https://smart2.onward-cd.co.jp/contact_c?_gl=1*1qif80n*_gcl_aw*R0NMLjE3NTQ2Mzg0NTAuQ2p3S0NBand3TmJFQmhCcEVpd0FGWUx0R0FuYlZDLUxCdnN1dTR2dmd0UUY1RlJ3emEwQURGaU56czl6cnVUVlFvb1owcFlLdW5PdXNCb0NON1lRQXZEX0J3RQ..*_gcl_au*MjAwMTg5ODMwMS4xNzU0NjM4NDQ4LjQ3MTkzODg0MC4xNzU0NjM4NTExLjE3NTQ2Mzg1ODA.*_ga*NDAwNDA4ODA5LjE3NTQ2Mzg0NDk.*_ga_RLD9Y6J4JX*czE3NTQ2Mzg0NDgkbzEkZzEkdDE3NTQ2Mzg3MjckajM4JGwwJGgw</t>
  </si>
  <si>
    <t>200258886349</t>
  </si>
  <si>
    <t>星 広子</t>
  </si>
  <si>
    <t>259055676092</t>
  </si>
  <si>
    <t>シダックス大新東ヒューマンサービス株式会社</t>
  </si>
  <si>
    <t>池田麻美</t>
  </si>
  <si>
    <t>mami-ikeda@shidax.co.jp</t>
  </si>
  <si>
    <t>https://smart2.onward-cd.co.jp/uniform_pre-preparation_checksheet?_gl=1*1x45uro*_gcl_au*MTI3MzM2NjA3NC4xNzY4MzAxNDM1LjkxMDU5MDAwLjE3NjgzMDE3ODguMTc2ODMwMTc4Nw..*_ga*MTU5NzI5OTUzMy4xNzY4MzAxNDM1*_ga_RLD9Y6J4JX*czE3NjgzMDE0MzQkbzEkZzEkdDE3NjgzMDE5MDEkajU5JGwwJGgw</t>
  </si>
  <si>
    <t>381316168389</t>
  </si>
  <si>
    <t>株式会社ＫＵＲＯＫＯ</t>
  </si>
  <si>
    <t>187703104219</t>
  </si>
  <si>
    <t>https://uniform.onward-cd.co.jp/?utm_term=%E3%83%A6%E3%83%8B%E3%83%95%E3%82%A9%E3%83%BC%E3%83%A0%20%E3%83%87%E3%82%B6%E3%82%A4%E3%83%B3&amp;utm_campaign=1-1)+%E4%BC%81%E6%A5%ADUN_%E3%82%AA%E3%83%AA%E3%82%B8%E3%83%8A%E3%83%AB%E3%83%A6%E3%83%8B%E3%83%95%E3%82%A9%E3%83%BC%E3%83%A0&amp;utm_source=adwords&amp;utm_medium=ppc&amp;hsa_acc=1350021615&amp;hsa_cam=21739626435&amp;hsa_grp=164786146461&amp;hsa_ad=714833839358&amp;hsa_src=g&amp;hsa_tgt=kwd-3719446992&amp;hsa_kw=%E3%83%A6%E3%83%8B%E3%83%95%E3%82%A9%E3%83%BC%E3%83%A0%20%E3%83%87%E3%82%B6%E3%82%A4%E3%83%B3&amp;hsa_mt=b&amp;hsa_net=adwords&amp;hsa_ver=3&amp;gad_source=1&amp;gad_campaignid=21739626435&amp;gbraid=0AAAAA997okwtOfHj_dsf67xA-73vkydEi&amp;gclid=Cj0KCQjwrc7GBhCfARIsAHGcW5U0ys5Z6g3Q6TQWMENwr9L4FBFKOWWaNDfb1y37RhkrdB-6NTcM3K8aAqdOEALw_wcB</t>
  </si>
  <si>
    <t>https://smart2.onward-cd.co.jp/contact_c?_gl=1*y717rr*_gcl_aw*R0NMLjE3NjM1NDI4ODQuQ2p3S0NBaUE4dlhJQmhBdEVpd0FmM0ItZzkxdy12RllrUFBHN2xCUUVud3FJUjI3elFUMHRTM3hpU3dQOFd0M0JINmFZMkRxd3NRZFRCb0NLcGtRQXZEX0J3RQ..*_gcl_au*NjI5ODc5NjI2LjE3NTg3NzYwMTY.*_ga*NzcwMDY2MTMxLjE3NTg3NzYwMTY.*_ga_RLD9Y6J4JX*czE3NjM1NDI4NzUkbzMkZzAkdDE3NjM1NDI4NzYkajU5JGwwJGgw</t>
  </si>
  <si>
    <t>260061010627</t>
  </si>
  <si>
    <t>株式会社リテック</t>
  </si>
  <si>
    <t>中澤 朗久</t>
  </si>
  <si>
    <t>185833878221</t>
  </si>
  <si>
    <t>坂本 太我</t>
  </si>
  <si>
    <t>https://uniform.onward-cd.co.jp/?utm_term=%E3%83%A6%E3%83%8B%E3%83%95%E3%82%A9%E3%83%BC%E3%83%A0%20%E3%83%87%E3%82%B6%E3%82%A4%E3%83%B3&amp;utm_campaign=1-1)+%E4%BC%81%E6%A5%ADUN_%E3%82%AA%E3%83%AA%E3%82%B8%E3%83%8A%E3%83%AB%E3%83%A6%E3%83%8B%E3%83%95%E3%82%A9%E3%83%BC%E3%83%A0&amp;utm_source=adwords&amp;utm_medium=ppc&amp;hsa_acc=1350021615&amp;hsa_cam=21739626435&amp;hsa_grp=164786146461&amp;hsa_ad=714833839358&amp;hsa_src=g&amp;hsa_tgt=kwd-3719446992&amp;hsa_kw=%E3%83%A6%E3%83%8B%E3%83%95%E3%82%A9%E3%83%BC%E3%83%A0%20%E3%83%87%E3%82%B6%E3%82%A4%E3%83%B3&amp;hsa_mt=b&amp;hsa_net=adwords&amp;hsa_ver=3&amp;gad_source=1&amp;gad_campaignid=21739626435&amp;gbraid=0AAAAA997okzXw1nzrqn0zF9u0NFSZJ6ci&amp;gclid=Cj0KCQiArt_JBhCTARIsADQZaynexy0xSbot8K8S6_d2Jl8nzxz4XbGM_gMlDd8h7O02RYGXkv1lVeAaAt1tEALw_wcB</t>
  </si>
  <si>
    <t>348583320282</t>
  </si>
  <si>
    <t>onward-hd.co.jp</t>
  </si>
  <si>
    <t>www.onward-hd.co.jp/</t>
  </si>
  <si>
    <t>https://smart2.onward-cd.co.jp/contact_c?_gl=1*1rl6w5h*_gcl_au*OTY0Mzc0NjMzLjE3NjgyMDc3Mjk.*_ga*MTg5NTc1MzU5Ny4xNzY4MjA3NzI5*_ga_RLD9Y6J4JX*czE3Njg1Mzg0MzYkbzQkZzAkdDE3Njg1Mzg0MzYkajYwJGwwJGgw</t>
  </si>
  <si>
    <t>379788270320</t>
  </si>
  <si>
    <t>https://smart2.onward-cd.co.jp/uniform_service_guide?_bd_prev_page=https%253A%252F%252Funiform.onward-cd.co.jp%252Fservice-document%252F&amp;_gl=1*1i4r8i2*_gcl_au*MTQ5MzA2NjM3Ni4xNzU0OTE5NDc0*_ga*MjAzNDA5NDU1MS4xNzU0OTE5NDc1*_ga_RLD9Y6J4JX*czE3NTQ5MTk0NzQkbzEkZzEkdDE3NTQ5MTk1NTYkajM4JGwwJGgw&amp;_bdsid=3Ytoth.pcapVal.1731314606228.1731314624&amp;_bdrpf=1</t>
  </si>
  <si>
    <t>203806402235</t>
  </si>
  <si>
    <t>亀井　巌</t>
  </si>
  <si>
    <t>https://smart2.onward-cd.co.jp/contact_c?_gl=1*1ldftm*_gcl_au*MjA5MjYyMTQxOC4xNzcxNDYxMjU4*_ga*NjYwMDgzNTE1LjE3NzE0NjEyNTg.*_ga_RLD9Y6J4JX*czE3NzE0ODk2OTAkbzIkZzAkdDE3NzE0ODk2OTAkajYwJGwwJGgw</t>
  </si>
  <si>
    <t>353872818913</t>
  </si>
  <si>
    <t>285851891433</t>
  </si>
  <si>
    <t>https://uniform.onward-cd.co.jp/?gad_source=1&amp;gad_campaignid=21739626435&amp;gbraid=0AAAAA997okw-1o5klrQQFOSd01xtVxFEs&amp;gclid=EAIaIQobChMI8Mng9Mn3jQMVBm0PAh3VjzSsEAAYAyAAEgLpRPD_BwE</t>
  </si>
  <si>
    <t>147642067684</t>
  </si>
  <si>
    <t>https://uniform.onward-cd.co.jp/service/?utm_term=%E3%82%B7%E3%83%A7%E3%83%83%E3%83%97%20%E5%88%B6%E6%9C%8D&amp;utm_campaign=1-3)+%E4%BC%81%E6%A5%ADUN_%E9%A3%B2%E9%A3%9F%E3%83%BB%E6%8E%A5%E5%AE%A2&amp;utm_source=adwords&amp;utm_medium=ppc&amp;hsa_acc=1350021615&amp;hsa_cam=22625120783&amp;hsa_grp=180014084629&amp;hsa_ad=755651351995&amp;hsa_src=g&amp;hsa_tgt=kwd-301436952928&amp;hsa_kw=%E3%82%B7%E3%83%A7%E3%83%83%E3%83%97%20%E5%88%B6%E6%9C%8D&amp;hsa_mt=b&amp;hsa_net=adwords&amp;hsa_ver=3&amp;gad_source=1&amp;gad_campaignid=22625120783&amp;gbraid=0AAAAA997okxwlZ1rSlsBTc_niuAKHSqkB&amp;gclid=CjwKCAjwlaTGBhANEiwAoRgXBU5kvT_UWf-wubJy7WqyxPwCkyAEYnvmoCR5Eiecbg8eyFXdK8J1DRoCLUYQAvD_BwE</t>
  </si>
  <si>
    <t>https://smart2.onward-cd.co.jp/uniform_service_guide?_gl=1*ojxx8y*_gcl_aw*R0NMLjE3NTgwMDY3NTAuQ2p3S0NBandsYVRHQmhBTkVpd0FvUmdYQlU1a3ZUX1VXZi13dWJKeTdXcXl4UHdDa3lBRVludm1vQ1I1RWllY2JnOGV5RlhkSzhKMURSb0NMVVlRQXZEX0J3RQ..*_gcl_au*NjcyNzc3OTI1LjE3NTgwMDY3NDk.*_ga*MTc3NDUxODAyMS4xNzU4MDA2NzQ5*_ga_RLD9Y6J4JX*czE3NTgwMDY3NDkkbzEkZzEkdDE3NTgwMDY4MzgkajMxJGwwJGgw</t>
  </si>
  <si>
    <t>247938133711</t>
  </si>
  <si>
    <t>https://smart2.onward-cd.co.jp/uniform_service_guide?_bd_prev_page=https%253A%252F%252Funiform.onward-cd.co.jp%252Fservice-document%252F&amp;_gl=1*1qv6d17*_gcl_au*Nzk5NjgzMDEzLjE3NTYwOTI5MDQ.*_ga*Nzk4NTYyMDIyLjE3NTYwOTI3NjU.*_ga_RLD9Y6J4JX*czE3NTYwOTI5MDQkbzEkZzAkdDE3NTYwOTI5MDQkajYwJGwwJGgw&amp;_bdsid=3Ytoth.pcapVal.1731314606228.1731314624&amp;_bdrpf=1</t>
  </si>
  <si>
    <t>218260042459</t>
  </si>
  <si>
    <t>常田 英明</t>
  </si>
  <si>
    <t>https://uniform.onward-cd.co.jp/?_hsenc=p2ANqtz-9HaNRwiAh80kbyuY4PldGtAQmqrOwwgxV9R2RHfCzcNc80Ea6Y-qO9toLr2hB968ke10kazvX91ZNI0I59WCw_ARQMnIEMKDOOABkVuUWcCI2z8RM&amp;_hsmi=9308065</t>
  </si>
  <si>
    <t>353849935606</t>
  </si>
  <si>
    <t>https://smart2.onward-cd.co.jp/contact_c?_gl=1*1naha3k*_gcl_au*MTQwNzg0NzIxMi4xNzU3MzE5NDYwLjE3OTc0NjkwMTguMTc1NzMxOTYxNi4xNzU3MzE5NjE2*_ga*MjExNTQ5NDc5OC4xNzU3MzE5NDYw*_ga_RLD9Y6J4JX*czE3NTc0NzAzODEkbzIkZzEkdDE3NTc0NzA3MDkkajM0JGwwJGgw</t>
  </si>
  <si>
    <t>238572680949</t>
  </si>
  <si>
    <t>https://medical.onward-cd.co.jp/</t>
  </si>
  <si>
    <t>199628007124</t>
  </si>
  <si>
    <t>https://uniform.onward-cd.co.jp/service/?utm_term=%E9%A3%B2%E9%A3%9F%20%E5%BA%97%20%E3%83%A6%E3%83%8B%E3%83%95%E3%82%A9%E3%83%BC%E3%83%A0%20%E3%81%8A%E3%81%97%E3%82%83%E3%82%8C&amp;utm_campaign=1-3)+%E4%BC%81%E6%A5%ADUN_%E9%A3%B2%E9%A3%9F%E3%83%BB%E6%8E%A5%E5%AE%A2&amp;utm_source=adwords&amp;utm_medium=ppc&amp;hsa_acc=1350021615&amp;hsa_cam=22625120783&amp;hsa_grp=180014084629&amp;hsa_ad=755651351995&amp;hsa_src=g&amp;hsa_tgt=kwd-314818827733&amp;hsa_kw=%E9%A3%B2%E9%A3%9F%20%E5%BA%97%20%E3%83%A6%E3%83%8B%E3%83%95%E3%82%A9%E3%83%BC%E3%83%A0%20%E3%81%8A%E3%81%97%E3%82%83%E3%82%8C&amp;hsa_mt=b&amp;hsa_net=adwords&amp;hsa_ver=3&amp;gad_source=1&amp;gad_campaignid=22625120783&amp;gbraid=0AAAAA997okzodydpIR0hWqRz-aqBjOGKl&amp;gclid=Cj0KCQjw8eTFBhCXARIsAIkiuOwn0MeepSls0gcv4A7j_UahOZH8oEaGS8dXysUVRBQA6KYPI9vdkRsaAi38EALw_wcB</t>
  </si>
  <si>
    <t>https://smart2.onward-cd.co.jp/contact_c?_gl=1*8z1060*_gcl_aw*R0NMLjE3NTcwMzg2NDQuQ2owS0NRanc4ZVRGQmhDWEFSSXNBSWtpdU93bjBNZWVwU2xzMGdjdjRBN2pfVWFoT1pIOG9FYUdTOGRYeXNVVlJCUUE2S1lQSTl2ZGtSc2FBaTM4RUFMd193Y0I.*_gcl_au*MTM4MjU4MTExMy4xNzU3MDM3MTM1*_ga*MzQzOTY5MTE1LjE3NTcwMzcxMzY.*_ga_RLD9Y6J4JX*czE3NTg1MjY1NDEkbzIkZzEkdDE3NTg1MjY1ODckajE0JGwwJGgw</t>
  </si>
  <si>
    <t>235859693302</t>
  </si>
  <si>
    <t>https://school.onward-cd.co.jp/column/schooluniform_effect/</t>
  </si>
  <si>
    <t>https://smart2.onward-cd.co.jp/uniform_introduction_guide?_gl=1*yqq21x*_gcl_au*MjAyMTYxNzgzNS4xNzUxNjcwMzE1*_ga*MTQyODk4MjE4Mi4xNzUxNjcwMzE2*_ga_RLD9Y6J4JX*czE3NTE2NzAzNDQkbzEkZzAkdDE3NTE2NzAzNDQkajYwJGwwJGgw</t>
  </si>
  <si>
    <t>162501722860</t>
  </si>
  <si>
    <t>https://uniform.onward-cd.co.jp/column/ecovadis_acquisition/?utm_campaign=un21&amp;utm_medium=email&amp;_hsenc=p2ANqtz-_qZRABtoTYIWFtsDEhP_gBvAv3B4ecHUwpnSQ1iShx9AxnpvYujOzop3kKZCmtx_b-80c7lVMMUL4VhHhU4xJWm_rOmDgA51u484l8cIpYyq_ZCao&amp;_hsmi=22101777&amp;utm_content=cta1&amp;utm_source=hubspot</t>
  </si>
  <si>
    <t>https://smart2.onward-cd.co.jp/contact_c?utm_campaign=un16&amp;utm_medium=email&amp;_hsenc=p2ANqtz--JG7KkGuk-UvPT0BULKMdlgWpDibSBYxgf6izFTzJpiiTkqMGIlFa8-FyM_0nvLpsiUjLN-q4AeM7jcvyJ1SXBUNW48Q3k0t0i3-Q6TzKUY_Vyu-A&amp;_hsmi=24316789&amp;utm_content=cta1&amp;utm_source=hubspot</t>
  </si>
  <si>
    <t>386616428248</t>
  </si>
  <si>
    <t>https://smart.onward-cd.co.jp/contact_c/thanks?_bd_prev_page=https%3A%2F%2Funiform.onward-cd.co.jp%2F&amp;_bdrpf=1&amp;_bdsid=3qShLp.pknWB3x.1749193191210.1749193216&amp;_gl=1%2A1b9t9a0%2A_gcl_au%2AODU1NTg0MTU5LjE3NDkxOTMxOTE.%2A_ga%2AMzI2MTUxMjczLjE3Mzk4NjI5ODc.%2A_ga_RLD9Y6J4JX%2AczE3NDkxOTMxOTEkbzIkZzAkdDE3NDkxOTMxOTEkajYwJGwwJGgw&amp;bdlic=&amp;bdmlc=&amp;bdpsc=&amp;bdsmc=</t>
  </si>
  <si>
    <t>138418345702</t>
  </si>
  <si>
    <t>316008790715</t>
  </si>
  <si>
    <t>https://smart2.onward-cd.co.jp/uniform_introduction_guide?_gl=1*xi8bcf*_gcl_au*NTUzMjI2NzY2LjE3NjA2NjY3ODcuMTkyNTc3OTU2OS4xNzYxMDI3NTIxLjE3NjEwMjc4ODc.*_ga*MTAzNzczMTc2MS4xNzYwNjY2Nzg4*_ga_RLD9Y6J4JX*czE3NjEwMjcwNzUkbzMkZzEkdDE3NjEwMjc4OTYkajYwJGwwJGgw</t>
  </si>
  <si>
    <t>288271915709</t>
  </si>
  <si>
    <t>https://uniform.onward-cd.co.jp/?utm_term=%E4%BC%81%E6%A5%AD%20%E5%88%B6%E6%9C%8D&amp;utm_campaign=1-1)+%E4%BC%81%E6%A5%ADUN_%E3%82%AA%E3%83%AA%E3%82%B8%E3%83%8A%E3%83%AB%E3%83%A6%E3%83%8B%E3%83%95%E3%82%A9%E3%83%BC%E3%83%A0&amp;utm_source=adwords&amp;utm_medium=ppc&amp;hsa_acc=1350021615&amp;hsa_cam=21739626435&amp;hsa_grp=164786146461&amp;hsa_ad=714833839358&amp;hsa_src=g&amp;hsa_tgt=kwd-297888918854&amp;hsa_kw=%E4%BC%81%E6%A5%AD%20%E5%88%B6%E6%9C%8D&amp;hsa_mt=b&amp;hsa_net=adwords&amp;hsa_ver=3&amp;gad_source=1&amp;gad_campaignid=21739626435&amp;gbraid=0AAAAA997okze8qZo6Q_l-iUQ8YC-aT5gh&amp;gclid=Cj0KCQjwh5vFBhCyARIsAHBx2wwjgzPxAasyjjfTu3-9F_p2yPIvzXkpgz6i04UR1tem2zv_umJqkxkaAln8EALw_wcB</t>
  </si>
  <si>
    <t>https://smart2.onward-cd.co.jp/uniform_service_guide?_bd_prev_page=https%253A%252F%252Funiform.onward-cd.co.jp%252Fservice-document%252F&amp;_gl=1*ca56lu*_gcl_aw*R0NMLjE3NTU4Mzg0MzMuQ2owS0NRandoNXZGQmhDeUFSSXNBSEJ4Mnd3amd6UHhBYXN5ampmVHUzLTlGX3AyeVBJdnpYa3BnejZpMDRVUjF0ZW0yenZfdW1KcWt4a2FBbG44RUFMd193Y0I.*_gcl_au*MzQzMzg5Mjg4LjE3NTU4Mzg0Mjk.*_ga*MTU0NDIwNjE3NC4xNzU1ODM4NDI5*_ga_RLD9Y6J4JX*czE3NTU4Mzg0MjkkbzEkZzAkdDE3NTU4Mzg0MjkkajYwJGwwJGgw&amp;_bdsid=3Ytoth.pcapVal.1731314606228.1731314624&amp;_bdrpf=1</t>
  </si>
  <si>
    <t>215570697956</t>
  </si>
  <si>
    <t>331461508849</t>
  </si>
  <si>
    <t>https://uniform.onward-cd.co.jp/case/taisei/</t>
  </si>
  <si>
    <t>377162405606</t>
  </si>
  <si>
    <t>森田 崇嗣</t>
  </si>
  <si>
    <t>20250704_オリジナルユニフォーム.xlsx</t>
  </si>
  <si>
    <t>https://smart2.onward-cd.co.jp/uniform_pre-preparation_checksheet?utm_campaign=un-13&amp;utm_medium=email&amp;_hsenc=p2ANqtz-8r5a6evY-DkDxGiED-yF_e5URzLI92rIUqAya0e_iEBcI4mPshN9oddja1xAPG64_LgJ3iWZU9e0u0PeRCXPvwSRTZ05OcCqhfAuNNdf6LHN-aL5c&amp;_hsmi=13001991&amp;utm_content=cta1&amp;utm_source=hubspot</t>
  </si>
  <si>
    <t>谷　彪河</t>
  </si>
  <si>
    <t>161315141349</t>
  </si>
  <si>
    <t>JT（日本たばこ産業株式会社）</t>
  </si>
  <si>
    <t>20250715_インサイトセールス</t>
  </si>
  <si>
    <t>https://smart2.onward-cd.co.jp/uniform_service_guide?utm_content=cta3&amp;utm_source=hubspot&amp;utm_campaign=un5re&amp;utm_medium=email&amp;_hsenc=p2ANqtz--1xk5QgmTWD2uVcT5O-t3LbnDTFeJgm_UZTJqv6wYW2PcT2kMU0X7FvDpUTq2Pwwsec1ELwX3-Hx_NB3JODdCu9oA4pw&amp;_hsmi=22490132</t>
  </si>
  <si>
    <t>山口　将仁</t>
  </si>
  <si>
    <t>170960150238</t>
  </si>
  <si>
    <t>https://smart2.onward-cd.co.jp/contact_c?_gl=1*181x7es*_gcl_au*MTcyMjAyNzk5NC4xNzY4ODg5NzUzLjEwNTkyOTE5MzkuMTc2ODk2MTExMS4xNzY4OTYxMjM1*_ga*MTk2OTA3Njc4OS4xNzY4ODg5NzUz*_ga_RLD9Y6J4JX*czE3Njg5NjEwOTUkbzIkZzEkdDE3Njg5NjE3NDMkajYwJGwwJGgw</t>
  </si>
  <si>
    <t>391490206433</t>
  </si>
  <si>
    <t>190421380841</t>
  </si>
  <si>
    <t>https://smart2.onward-cd.co.jp/uniform_service_guide?_bd_prev_page=https%253A%252F%252Funiform.onward-cd.co.jp%252Fservice-document%252F&amp;_gl=1*1a442s5*_gcl_au*NDQyNzE1MzExLjE3NjMwMTUyMjg.*_ga*MTg4OTA3NDE3MS4xNzYzMDE1MTU4*_ga_RLD9Y6J4JX*czE3NjMwMTUyMjckbzEkZzAkdDE3NjMwMTUyMjckajYwJGwwJGgw&amp;_bdsid=3Ytoth.pcapVal.1731314606228.1731314624&amp;_bdrpf=1</t>
  </si>
  <si>
    <t>321132838599</t>
  </si>
  <si>
    <t>https://smart.onward-cd.co.jp/uniform_introduction_guide/thanks?_bd_prev_page=https%3A%2F%2Funiform.onward-cd.co.jp%2Fservice%2F&amp;_bdrpf=0&amp;_bdsid=2m8TQi.ptcQGym.1749340563606.1749340669&amp;_gl=1%2Ataevy0%2A_gcl_au%2AMTgzNjU1ODY1LjE3NDkzNDA1NjM.%2A_ga%2AMTg5OTU0ODYzMS4xNzQ5MzQwNTUw%2A_ga_RLD9Y6J4JX%2AczE3NDkzNDA1NjMkbzEkZzEkdDE3NDkzNDA2MjEkajIkbDAkaDA.&amp;bdlic=&amp;bdmlc=&amp;bdpsc=&amp;bdsmc=</t>
  </si>
  <si>
    <t>139335242445</t>
  </si>
  <si>
    <t>パナソニックホームズ株式会社</t>
  </si>
  <si>
    <t>https://smart2.onward-cd.co.jp/uniform_service_guide?_bd_prev_page=https%253A%252F%252Funiform.onward-cd.co.jp%252Fservice-document%252F&amp;_gl=1*1v460mt*_gcl_au*ODk0NjU1NTEwLjE3NjAzMTI2NjA.*_ga*MTM3Nzc5Njg3My4xNzYwMzEyNjYw*_ga_RLD9Y6J4JX*czE3NjAzMTI2NTkkbzEkZzAkdDE3NjAzMTI2NjAkajU5JGwwJGgw&amp;_bdsid=3Ytoth.pcapVal.1731314606228.1731314624&amp;_bdrpf=1</t>
  </si>
  <si>
    <t>282877167305</t>
  </si>
  <si>
    <t>https://smart2.onward-cd.co.jp/uniform_pre-preparation_checksheet?_gl=1*14km68y*_gcl_au*MzY0NDQ0NTY0LjE3NTYzNDk3OTQ.*_ga*MTMxMjMzMTg0Ni4xNzU2MzQ5Nzk1*_ga_RLD9Y6J4JX*czE3NTY5NDc0MTEkbzMkZzAkdDE3NTY5NDc0MTEkajYwJGwwJGgw</t>
  </si>
  <si>
    <t>228760772336</t>
  </si>
  <si>
    <t>飲食 店 ユニフォーム</t>
  </si>
  <si>
    <t>https://uniform.onward-cd.co.jp/service/?utm_term=%E9%A3%B2%E9%A3%9F%20%E5%BA%97%20%E3%83%A6%E3%83%8B%E3%83%95%E3%82%A9%E3%83%BC%E3%83%A0&amp;utm_campaign=1-3)+%E4%BC%81%E6%A5%ADUN_%E9%A3%B2%E9%A3%9F%E3%83%BB%E6%8E%A5%E5%AE%A2&amp;utm_source=adwords&amp;utm_medium=ppc&amp;hsa_acc=1350021615&amp;hsa_cam=22625120783&amp;hsa_grp=180014084629&amp;hsa_ad=755651351995&amp;hsa_src=g&amp;hsa_tgt=kwd-301337316458&amp;hsa_kw=%E9%A3%B2%E9%A3%9F%20%E5%BA%97%20%E3%83%A6%E3%83%8B%E3%83%95%E3%82%A9%E3%83%BC%E3%83%A0&amp;hsa_mt=b&amp;hsa_net=adwords&amp;hsa_ver=3&amp;gad_source=1&amp;gad_campaignid=22625120783&amp;gbraid=0AAAAA997okyWpDYDgFIesHPUdIo5GM6wR&amp;gclid=Cj0KCQjwm93DBhD_ARIsADR_DjGZ7EPDNFNUz4X-WY9zWyFpR27WKXTRHRI1ATa-KtTF6SsCUB43bTAaAhksEALw_wcB</t>
  </si>
  <si>
    <t>https://smart2.onward-cd.co.jp/contact_c?_gl=1*eh4ou1*_gcl_aw*R0NMLjE3NTI3MTY5NjEuQ2owS0NRandtOTNEQmhEX0FSSXNBRFJfRGpHWjdFUERORk5VejRYLVdZOXpXeUZwUjI3V0tYVFJIUkkxQVRhLUt0VEY2U3NDVUI0M2JUQWFBaGtzRUFMd193Y0I.*_gcl_au*MTIyMTE5MzA5NS4xNzUyNzE2OTM1*_ga*MzUxOTAyNDkwLjE3NTI3MTY5MzU.*_ga_RLD9Y6J4JX*czE3NTU1NjkwMTAkbzIkZzEkdDE3NTU1NjkwNzAkajYwJGwwJGgw</t>
  </si>
  <si>
    <t>172039405285</t>
  </si>
  <si>
    <t>https://smart2.onward-cd.co.jp/uniform_service_guide?_bd_prev_page=https%253A%252F%252Funiform.onward-cd.co.jp%252Fservice-document%252F&amp;_gl=1*a39e4j*_gcl_au*MTY2OTYyMTg3NC4xNzU1ODU0MTQw*_ga*MTQyMjE2MzM1Mi4xNzU1ODU0MTI1*_ga_RLD9Y6J4JX*czE3NTU4NTQxNDAkbzEkZzEkdDE3NTU4NTQyMjQkajYwJGwwJGgw&amp;_bdsid=3Ytoth.pcapVal.1731314606228.1731314624&amp;_bdrpf=1</t>
  </si>
  <si>
    <t>215841671905</t>
  </si>
  <si>
    <t>293280795374</t>
  </si>
  <si>
    <t>駒木 未来</t>
  </si>
  <si>
    <t>240463567564</t>
  </si>
  <si>
    <t>https://uniform.onward-cd.co.jp/?utm_term=%E6%A5%AD%E5%8B%99%20%E7%94%A8%20%E5%88%B6%E6%9C%8D&amp;utm_campaign=1-1)+%E4%BC%81%E6%A5%ADUN_%E3%82%AA%E3%83%AA%E3%82%B8%E3%83%8A%E3%83%AB%E3%83%A6%E3%83%8B%E3%83%95%E3%82%A9%E3%83%BC%E3%83%A0&amp;utm_source=adwords&amp;utm_medium=ppc&amp;hsa_acc=1350021615&amp;hsa_cam=21739626435&amp;hsa_grp=164786146461&amp;hsa_ad=714833839358&amp;hsa_src=g&amp;hsa_tgt=kwd-299070413239&amp;hsa_kw=%E6%A5%AD%E5%8B%99%20%E7%94%A8%20%E5%88%B6%E6%9C%8D&amp;hsa_mt=b&amp;hsa_net=adwords&amp;hsa_ver=3&amp;gad_source=1&amp;gad_campaignid=21739626435&amp;gbraid=0AAAAA997okzVagByzgI-r3CurTgp3pcZA&amp;gclid=CjwKCAiA9aPKBhBhEiwAyz82JxQ3wxCm-EG6KaQoseenibpRiRcQ-A4Mdc_UbkXMeGC-JDlPJNRXuxoCYwAQAvD_BwE</t>
  </si>
  <si>
    <t>362111459046</t>
  </si>
  <si>
    <t>394499657438</t>
  </si>
  <si>
    <t>https://smart2.onward-cd.co.jp/contact_c?_gl=1*1epkg6m*_gcl_au*Njc4MzQ3MDM2LjE3NTg3OTI3OTI.*_ga*ODM5NDI3NDc4LjE3NTg3OTI3OTM.*_ga_RLD9Y6J4JX*czE3NTg3OTI3OTIkbzEkZzEkdDE3NTg3OTMyODkkajQwJGwwJGgw</t>
  </si>
  <si>
    <t>260496523970</t>
  </si>
  <si>
    <t>https://smart.onward-cd.co.jp/uniform_service_guide/thanks?_bd_prev_page=https%3A%2F%2Funiform.onward-cd.co.jp%2Fservice-document%2F&amp;_bdrpf=1&amp;_bdsid=1~j+HV.pqORnYy.1747119940834.1747120090&amp;_gl=1%2A1auqu2v%2A_gcl_au%2AMjA2MzA1NjA0MS4xNzQ2NzU3MDU5LjE1ODAwOTQ3MDIuMTc0Njc1Nzg1OS4xNzQ2NzU3ODg1%2A_ga%2AOTA1MjU0NDIzLjE3NDY3NTY5OTk.%2A_ga_RLD9Y6J4JX%2AczE3NDcxMTk5NDEkbzIkZzEkdDE3NDcxMjAwODQkajI1JGwwJGgw&amp;bdlic=&amp;bdmlc=&amp;bdpsc=&amp;bdsmc=</t>
  </si>
  <si>
    <t>124185514724</t>
  </si>
  <si>
    <t>https://uniform.onward-cd.co.jp/?gad_source=1&amp;gad_campaignid=21739626435&amp;gbraid=0AAAAA997okxlVAGV6B1GL-PjfrsifPP2e&amp;gclid=Cj0KCQjwuvrBBhDcARIsAKRrkjdtan1RYrTVAnM033yVzkxYKTDwLWAeSDVN5KicXRuVOpbBvZklvVIaAn4IEALw_wcB</t>
  </si>
  <si>
    <t>137371170508</t>
  </si>
  <si>
    <t>128519673545</t>
  </si>
  <si>
    <t>Oriental Allure</t>
  </si>
  <si>
    <t>https://smart2.onward-cd.co.jp/uniform_introduction_guide?_bd_prev_page=https%253A%252F%252Funiform.onward-cd.co.jp%252Fcolumn%252Foriginal_uniform_effect&amp;_gl=1*4noszp*_ga_RLD9Y6J4JX*czE3NTE4NTM3MTgkbzIkZzAkdDE3NTE4NTM3MTgkajYwJGwwJGgw&amp;_bdsid=31eYIG.pv3%2Bfkb.1751339562251.1751853720&amp;_bdrpf=0</t>
  </si>
  <si>
    <t>164426788561</t>
  </si>
  <si>
    <t>https://uniform.onward-cd.co.jp/?utm_term=%E3%83%A6%E3%83%8B%E3%83%95%E3%82%A9%E3%83%BC%E3%83%A0%20%E3%83%87%E3%82%B6%E3%82%A4%E3%83%B3&amp;utm_campaign=1-1)+%E4%BC%81%E6%A5%ADUN_%E3%82%AA%E3%83%AA%E3%82%B8%E3%83%8A%E3%83%AB%E3%83%A6%E3%83%8B%E3%83%95%E3%82%A9%E3%83%BC%E3%83%A0&amp;utm_source=adwords&amp;utm_medium=ppc&amp;hsa_acc=1350021615&amp;hsa_cam=21739626435&amp;hsa_grp=164786146461&amp;hsa_ad=714833839358&amp;hsa_src=g&amp;hsa_tgt=kwd-3719446992&amp;hsa_kw=%E3%83%A6%E3%83%8B%E3%83%95%E3%82%A9%E3%83%BC%E3%83%A0%20%E3%83%87%E3%82%B6%E3%82%A4%E3%83%B3&amp;hsa_mt=b&amp;hsa_net=adwords&amp;hsa_ver=3&amp;gad_source=1&amp;gad_campaignid=21739626435&amp;gclid=Cj0KCQjwsPzHBhDCARIsALlWNG1BAM0v4-lqM4n6TDbMGA8UXeVOeMzYDJf6sIuDM9-bw4rGl2Tun4MaAoXKEALw_wcB</t>
  </si>
  <si>
    <t>301680574199</t>
  </si>
  <si>
    <t>https://uniform.onward-cd.co.jp/?utm_term=%E4%BC%81%E6%A5%AD%20%E5%88%B6%E6%9C%8D&amp;utm_campaign=1-1)+%E4%BC%81%E6%A5%ADUN_%E3%82%AA%E3%83%AA%E3%82%B8%E3%83%8A%E3%83%AB%E3%83%A6%E3%83%8B%E3%83%95%E3%82%A9%E3%83%BC%E3%83%A0&amp;utm_source=adwords&amp;utm_medium=ppc&amp;hsa_acc=1350021615&amp;hsa_cam=21739626435&amp;hsa_grp=164786146461&amp;hsa_ad=714833839358&amp;hsa_src=g&amp;hsa_tgt=kwd-297888918854&amp;hsa_kw=%E4%BC%81%E6%A5%AD%20%E5%88%B6%E6%9C%8D&amp;hsa_mt=b&amp;hsa_net=adwords&amp;hsa_ver=3&amp;gad_source=1&amp;gad_campaignid=21739626435&amp;gclid=EAIaIQobChMI55WC3MWYjwMVqSZ7Bx2DTiwUEAAYASAAEgJfUvD_BwE</t>
  </si>
  <si>
    <t>https://smart2.onward-cd.co.jp/contact_c?_gl=1*xatdq5*_gcl_aw*R0NMLjE3NTU2NjQzNTMuRUFJYUlRb2JDaE1JZ3ZXY19jYVlqd01WbThzV0JSMzBTdzFDRUFBWUFpQUFFZ0lCa3ZEX0J3RQ..*_gcl_au*MzcwNjY1OTEzLjE3NTU2NjM5MTMuMTExNjQ3NjQ2NC4xNzU1NjY0Nzg1LjE3NTU2NjQ5ODU.*_ga*MTg1ODYzODY4Mi4xNzU1NjYzOTE0*_ga_RLD9Y6J4JX*czE3NTYzNTQ2NTUkbzIkZzAkdDE3NTYzNTQ2NTUkajYwJGwwJGgw</t>
  </si>
  <si>
    <t>213457545928</t>
  </si>
  <si>
    <t>338125291223</t>
  </si>
  <si>
    <t>UTグループ株式会社</t>
  </si>
  <si>
    <t>https://smart2.onward-cd.co.jp/contact_c?_gl=1*1bz110b*_gcl_au*MTIzMTE5MjMwNi4xNzY0MjkxMjA0LjcwNDA0Mzc5OS4xNzY0MjkxMzY4LjE3NjQyOTEzNjg.*_ga*MjEzMDM3MjY0LjE3NjQyOTEyMDU.*_ga_RLD9Y6J4JX*czE3NjQzMDY1NDQkbzIkZzEkdDE3NjQzMDY1OTckajckbDAkaDA.</t>
  </si>
  <si>
    <t>336555511486</t>
  </si>
  <si>
    <t>200063941343</t>
  </si>
  <si>
    <t>https://smart2.onward-cd.co.jp/uniform_service_guide?_bd_prev_page=https%253A%252F%252Funiform.onward-cd.co.jp%252Fservice-document%252F&amp;_gl=1*bjimj7*_gcl_au*MTM0NzM3MTA2Ni4xNzYxOTY5MTkx*_ga*MjAxMjI5MDMxMS4xNzYxOTY5MTky*_ga_RLD9Y6J4JX*czE3NjE5NjkxOTEkbzEkZzAkdDE3NjE5NjkxOTEkajYwJGwwJGgw&amp;_bdsid=3Ytoth.pcapVal.1731314606228.1731314624&amp;_bdrpf=1</t>
  </si>
  <si>
    <t>307575609065</t>
  </si>
  <si>
    <t>https://uniform.onward-cd.co.jp/?utm_term=%E4%BC%81%E6%A5%AD%20%E5%88%B6%E6%9C%8D&amp;utm_campaign=1-1)+%E4%BC%81%E6%A5%ADUN_%E3%82%AA%E3%83%AA%E3%82%B8%E3%83%8A%E3%83%AB%E3%83%A6%E3%83%8B%E3%83%95%E3%82%A9%E3%83%BC%E3%83%A0&amp;utm_source=adwords&amp;utm_medium=ppc&amp;hsa_acc=1350021615&amp;hsa_cam=21739626435&amp;hsa_grp=164786146461&amp;hsa_ad=714833839358&amp;hsa_src=g&amp;hsa_tgt=kwd-297888918854&amp;hsa_kw=%E4%BC%81%E6%A5%AD%20%E5%88%B6%E6%9C%8D&amp;hsa_mt=b&amp;hsa_net=adwords&amp;hsa_ver=3&amp;gad_source=1&amp;gad_campaignid=21739626435&amp;gbraid=0AAAAA997okwn8T30CA9jRnVbofEhM_455&amp;gclid=Cj0KCQjw-4XFBhCBARIsAAdNOkt0ukXZ4TyCTkrvpl3tonfcGA3hu15ZgEo4_S-OdTH-UiRNIPm6EQsaAq2AEALw_wcB</t>
  </si>
  <si>
    <t>https://smart2.onward-cd.co.jp/uniform_service_guide?_bd_prev_page=https%253A%252F%252Funiform.onward-cd.co.jp%252Fservice-document%252F&amp;_gl=1*2pefl5*_gcl_aw*R0NMLjE3NTU0ODQyNTcuQ2owS0NRanctNFhGQmhDQkFSSXNBQWROT2t0MHVrWFo0VHlDVGtydnBsM3RvbmZjR0EzaHUxNVpnRW80X1MtT2RUSC1VaVJOSVBtNkVRc2FBcTJBRUFMd193Y0I.*_gcl_au*ODQ1NjAzNDM1LjE3NTU0ODQyMzY.*_ga*MjEyNzQ5OTMyNS4xNzU1NDg0MjM2*_ga_RLD9Y6J4JX*czE3NTU0ODQyMzUkbzEkZzEkdDE3NTU0ODQyNTckajM4JGwwJGgw&amp;_bdsid=3Ytoth.pcapVal.1731314606228.1731314624&amp;_bdrpf=1</t>
  </si>
  <si>
    <t>211706779345</t>
  </si>
  <si>
    <t>理想科学工業株式会社</t>
  </si>
  <si>
    <t>戸﨑 真弓</t>
  </si>
  <si>
    <t>https://smart2.onward-cd.co.jp/uniform_service_guide?_gl=1*1gw8ndl*_gcl_au*NDIwODgyNzczLjE3NTI4MjQzNTU.*_ga*MTg1MjE5NDQ3NC4xNzUyODI0MzIx*_ga_RLD9Y6J4JX*czE3NTI4MjQzNTUkbzEkZzEkdDE3NTI4MjU4MTAkajYwJGwwJGgw</t>
  </si>
  <si>
    <t>172958229185</t>
  </si>
  <si>
    <t>173928088313</t>
  </si>
  <si>
    <t>345747756777</t>
  </si>
  <si>
    <t>山﨑 やよい</t>
  </si>
  <si>
    <t>213578089187</t>
  </si>
  <si>
    <t>岩瀬俊広</t>
  </si>
  <si>
    <t>iwase@kajima-renovate.co.jp</t>
  </si>
  <si>
    <t>376023319282</t>
  </si>
  <si>
    <t>渡辺 真由</t>
  </si>
  <si>
    <t>uniform.onward-cd.co.jp/reasons</t>
  </si>
  <si>
    <t>146781040322</t>
  </si>
  <si>
    <t>https://smart2.onward-cd.co.jp/uniform_service_guide?_bd_prev_page=https%253A%252F%252Funiform.onward-cd.co.jp%252Fservice-document%252F&amp;_gl=1*137d4jl*_gcl_au*NTMwODg0NTQ0LjE3NTk4MTIzNTA.*_ga*MTg5MDU3NjE4Ny4xNzU5ODEyMzUw*_ga_RLD9Y6J4JX*czE3NTk4MTIzNDkkbzEkZzAkdDE3NTk4MTIzNDkkajYwJGwwJGgw&amp;_bdsid=3Ytoth.pcapVal.1731314606228.1731314624&amp;_bdrpf=1</t>
  </si>
  <si>
    <t>274896708295</t>
  </si>
  <si>
    <t>https://uniform.onward-cd.co.jp/?utm_term=%E3%83%A6%E3%83%8B%E3%83%95%E3%82%A9%E3%83%BC%E3%83%A0%20%E3%83%87%E3%82%B6%E3%82%A4%E3%83%B3&amp;utm_campaign=1-1)+%E4%BC%81%E6%A5%ADUN_%E3%82%AA%E3%83%AA%E3%82%B8%E3%83%8A%E3%83%AB%E3%83%A6%E3%83%8B%E3%83%95%E3%82%A9%E3%83%BC%E3%83%A0&amp;utm_source=adwords&amp;utm_medium=ppc&amp;hsa_acc=1350021615&amp;hsa_cam=21739626435&amp;hsa_grp=164786146461&amp;hsa_ad=714833839358&amp;hsa_src=g&amp;hsa_tgt=kwd-3719446992&amp;hsa_kw=%E3%83%A6%E3%83%8B%E3%83%95%E3%82%A9%E3%83%BC%E3%83%A0%20%E3%83%87%E3%82%B6%E3%82%A4%E3%83%B3&amp;hsa_mt=b&amp;hsa_net=adwords&amp;hsa_ver=3&amp;gad_source=1&amp;gad_campaignid=21739626435&amp;gbraid=0AAAAA997okwlqJ3wsorKwmySENVsE35Dk&amp;gclid=CjwKCAiA55rJBhByEiwAFkY1QAkUzDH20asOQa-jEYSON7cHj9il-pSjFZtJt44-Lasfi7kU3-KpVRoCNzUQAvD_BwE</t>
  </si>
  <si>
    <t>335772298942</t>
  </si>
  <si>
    <t>statics.teams.cdn.office.net</t>
  </si>
  <si>
    <t>statics.teams.cdn.office.net/</t>
  </si>
  <si>
    <t>https://smart2.onward-cd.co.jp/uniform_service_guide?_bd_prev_page=https%253A%252F%252Funiform.onward-cd.co.jp%252Fservice-document%252F&amp;_gl=1*1qlmpiv*_gcl_au*MTIzNDc0ODU1MC4xNzUyNzk5MTg5*_ga*MTcwODM2OTA0Ny4xNzUyNzk5MTg5*_ga_RLD9Y6J4JX*czE3NTI3OTkxODkkbzEkZzAkdDE3NTI3OTkxODkkajYwJGwwJGgw&amp;_bdsid=3Ytoth.pcapVal.1731314606228.1731314624&amp;_bdrpf=1</t>
  </si>
  <si>
    <t>172697709299</t>
  </si>
  <si>
    <t>480510967508</t>
  </si>
  <si>
    <t>https://smart2.onward-cd.co.jp/uniform_service_guide?_bd_prev_page=https%253A%252F%252Funiform.onward-cd.co.jp%252Fservice-document%252F&amp;_gl=1*233a3h*_gcl_aw*R0NMLjE3NzA5Njc4NzIuQ2owS0NRaUFoYUhNQmhEMkFSSXNBUEFVX0Q3YnVGUUZaMmp3bXVkcXdHQnZoMjloeFk5S19JdEhEVHVCMElDeHdKanFjRlZyWHZOa29NRWFBcXZKRUFMd193Y0I.*_gcl_au*MTY4ODI0MDA5Ny4xNzcwOTY3NTY3LjIyNDY4MTE4OS4xNzcwOTY3NjAyLjE3NzA5Njc3Nzk.*_ga*Mzc0Njk2Njg1LjE3NzA5Njc1Njg.*_ga_RLD9Y6J4JX*czE3NzA5Njc1NjckbzEkZzEkdDE3NzA5Njc4NzEkajU5JGwwJGgw&amp;_bdsid=3Ytoth.pcapVal.1731314606228.1731314624&amp;_bdrpf=1</t>
  </si>
  <si>
    <t>426558972620</t>
  </si>
  <si>
    <t>277793660626</t>
  </si>
  <si>
    <t>https://uniform.onward-cd.co.jp/service/?utm_term=%E9%A3%B2%E9%A3%9F%20%E5%BA%97%20%E3%83%A6%E3%83%8B%E3%83%95%E3%82%A9%E3%83%BC%E3%83%A0&amp;utm_campaign=1-3)+%E4%BC%81%E6%A5%ADUN_%E9%A3%B2%E9%A3%9F%E3%83%BB%E6%8E%A5%E5%AE%A2&amp;utm_source=adwords&amp;utm_medium=ppc&amp;hsa_acc=1350021615&amp;hsa_cam=22625120783&amp;hsa_grp=180014084629&amp;hsa_ad=755651351995&amp;hsa_src=g&amp;hsa_tgt=kwd-301337316458&amp;hsa_kw=%E9%A3%B2%E9%A3%9F%20%E5%BA%97%20%E3%83%A6%E3%83%8B%E3%83%95%E3%82%A9%E3%83%BC%E3%83%A0&amp;hsa_mt=b&amp;hsa_net=adwords&amp;hsa_ver=3&amp;gad_source=1&amp;gad_campaignid=22625120783&amp;gbraid=0AAAAA997okwiLw6JMGjOB7oxB6FKxnuf5&amp;gclid=Cj0KCQjwtMHEBhC-ARIsABua5iRYJWlp5yfwDesxPm_Ni37NdUnabqN5W_YZUWvh2o_6hkl5Vbk76bwaAmVnEALw_wcB</t>
  </si>
  <si>
    <t>195505590987</t>
  </si>
  <si>
    <t>https://uniform.onward-cd.co.jp/?utm_term=%E3%83%A6%E3%83%8B%E3%83%95%E3%82%A9%E3%83%BC%E3%83%A0%20%E3%83%87%E3%82%B6%E3%82%A4%E3%83%B3&amp;utm_campaign=1-1)+%E4%BC%81%E6%A5%ADUN_%E3%82%AA%E3%83%AA%E3%82%B8%E3%83%8A%E3%83%AB%E3%83%A6%E3%83%8B%E3%83%95%E3%82%A9%E3%83%BC%E3%83%A0&amp;utm_source=adwords&amp;utm_medium=ppc&amp;hsa_acc=1350021615&amp;hsa_cam=21739626435&amp;hsa_grp=164786146461&amp;hsa_ad=714833839358&amp;hsa_src=g&amp;hsa_tgt=kwd-3719446992&amp;hsa_kw=%E3%83%A6%E3%83%8B%E3%83%95%E3%82%A9%E3%83%BC%E3%83%A0%20%E3%83%87%E3%82%B6%E3%82%A4%E3%83%B3&amp;hsa_mt=b&amp;hsa_net=adwords&amp;hsa_ver=3&amp;gad_source=1&amp;gad_campaignid=21739626435&amp;gbraid=0AAAAA997okw1TTZ6HOordRjSXM6ZFF5JW&amp;gclid=Cj0KCQjwxL7GBhDXARIsAGOcmIPGSHt6WJ4oSYfUyK9n-7qLai8DE4JV3GaJjx85w3QenRQgrgz7IicaAl02EALw_wcB</t>
  </si>
  <si>
    <t>255812308672</t>
  </si>
  <si>
    <t>https://smart2.onward-cd.co.jp/uniform_service_guide?_bd_prev_page=https%253A%252F%252Funiform.onward-cd.co.jp%252Fservice-document%252F&amp;_gl=1*1cpt17u*_gcl_au*MTUyNTUzMzg1MC4xNzU3NzQ4MzYw*_ga*MjExNDM1MzcwNy4xNzU3NzQ4MzYx*_ga_RLD9Y6J4JX*czE3NTc3NDgzNjAkbzEkZzAkdDE3NTc3NDgzNjEkajU5JGwwJGgw&amp;_bdsid=3Ytoth.pcapVal.1731314606228.1731314624&amp;_bdrpf=1</t>
  </si>
  <si>
    <t>244352924390</t>
  </si>
  <si>
    <t>新部 貴理</t>
  </si>
  <si>
    <t>241550985976</t>
  </si>
  <si>
    <t>232930782968</t>
  </si>
  <si>
    <t>smart2.onward-cd.co.jp/uniform_introduction_guide</t>
  </si>
  <si>
    <t>https://smart2.onward-cd.co.jp/uniform_introduction_guide?bdl=2&amp;bdmlc=MTAwNDE2XzMyOF8wXzE</t>
  </si>
  <si>
    <t>https://smart2.onward-cd.co.jp/uniform_introduction_guide?bdl=1&amp;bdmlc=MTAwNDE2XzMyOF8wXzE</t>
  </si>
  <si>
    <t>358338540239</t>
  </si>
  <si>
    <t>489990222581</t>
  </si>
  <si>
    <t>沼田幸広</t>
  </si>
  <si>
    <t>yuki-numata@shirasagidenki.co.jp</t>
  </si>
  <si>
    <t>https://smart2.onward-cd.co.jp/uniform_introduction_guide?_gl=1*1vajaca*_gcl_au*NDYzNzY1ODExLjE3NjE0NzIzNDMuOTM0OTYxMTE2LjE3NjE0Nzg0ODQuMTc2MTQ3ODQ4Mw..*_ga*NzQxNjI3ODA4LjE3NjE0NzIzNDM.*_ga_RLD9Y6J4JX*czE3NjE0NzgyNzYkbzMkZzEkdDE3NjE0Nzg1NzMkajU2JGwwJGgw</t>
  </si>
  <si>
    <t>299290436342</t>
  </si>
  <si>
    <t>362212394687</t>
  </si>
  <si>
    <t>https://smart2.onward-cd.co.jp/uniform_service_guide?_bd_prev_page=https%253A%252F%252Funiform.onward-cd.co.jp%252Fservice-document%252F&amp;_gl=1*hjmqf6*_gcl_au*MTc4NjU5NDcxMS4xNzUyNDUyMDk0*_ga*MTYxOTY3OTU0My4xNzUyNDUyMDY3*_ga_RLD9Y6J4JX*czE3NTI0NTIwOTQkbzEkZzAkdDE3NTI0NTIwOTQkajYwJGwwJGgw&amp;_bdsid=3Ytoth.pcapVal.1731314606228.1731314624&amp;_bdrpf=1</t>
  </si>
  <si>
    <t>169755289293</t>
  </si>
  <si>
    <t>https://smart2.onward-cd.co.jp/contact_c?_gl=1*l6twjh*_gcl_au*MTY4NTQwNDA1NS4xNzYyODUyMjMx*_ga*MTQyNjY1ODA2OC4xNzYyODUyMjMx*_ga_RLD9Y6J4JX*czE3NjI4NTIyMzEkbzEkZzEkdDE3NjI4NTIzMDIkajYwJGwwJGgw</t>
  </si>
  <si>
    <t>https://smart2.onward-cd.co.jp/contact_c?_gl=1*tbs*_gcl_au*MjA0NjAxODAwLjE3NzEyMDkxMDA.*_ga*ODMyODUxOTg0LjE3NzEyMDkxMDA.*_ga_RLD9Y6J4JX*czE3NzEyMDkxMDAkbzEkZzAkdDE3NzEyMDkxMDAkajYwJGwwJGgw</t>
  </si>
  <si>
    <t>325182574312</t>
  </si>
  <si>
    <t>TOPPAN株式会社</t>
  </si>
  <si>
    <t>https://uniform.onward-cd.co.jp/?gad_source=1&amp;gad_campaignid=21739626435&amp;gbraid=0AAAAA997okwOxMK1nW9lFLMqMpflPuFvg&amp;gclid=CjwKCAjw3_PCBhA2EiwAkH_j4i6oBlJEjH7LgGRv361ooCUU9a81XmiMyVOIgFyzLs1s2NqAaqSNLxoCQaEQAvD_BwE</t>
  </si>
  <si>
    <t>https://smart2.onward-cd.co.jp/contact_c?_gl=1*80nhv2*_gcl_aw*R0NMLjE3NTMyNTcwMTMuQ2owS0NRandrSUxFQmhEZUFSSXNBTC0tcGp4TnFNRGc5dFhMeGFhVGlPT05EMnRtc3E5MnZUM2QwSVRSMGwwWWJZeHdYOWd4RmQ3LTJOVWFBbmhnRUFMd193Y0I.*_gcl_au*NTMxMjc2NDM4LjE3NTEwMDc1MjE.*_ga*MTkzMTkwMjA3Ny4xNzUxMDA3NTIx*_ga_RLD9Y6J4JX*czE3NTMyNTcwMTIkbzUkZzEkdDE3NTMyNTcyMDckajYwJGwwJGgw</t>
  </si>
  <si>
    <t>157172432604</t>
  </si>
  <si>
    <t>https://smart2.onward-cd.co.jp/uniform_service_guide?_bd_prev_page=https%253A%252F%252Funiform.onward-cd.co.jp%252Fservice-document%252F&amp;_gl=1*c1kxlv*_gcl_au*MTYxMDQ5NjUzMy4xNzYwNjY2MjUy*_ga*ODczOTM3NTYuMTc2MDY2NjI1Mg..*_ga_RLD9Y6J4JX*czE3NjA2NjYyNTIkbzEkZzAkdDE3NjA2NjYyNTckajU1JGwwJGgw&amp;_bdsid=3Ytoth.pcapVal.1731314606228.1731314624&amp;_bdrpf=1</t>
  </si>
  <si>
    <t>288333648611</t>
  </si>
  <si>
    <t>https://uniform.onward-cd.co.jp/?_hsenc=p2ANqtz-9Z-dPWh4Qg3BZqxXIXGjbWn9C89AM1F1Fnh30AyZV8VP9lk5jbfZjr07cWzStP_qhUOUtudUhnEt5g5zjegL6P1hPQ8A&amp;_hsmi=9308065</t>
  </si>
  <si>
    <t>216568415937</t>
  </si>
  <si>
    <t>https://smart2.onward-cd.co.jp/uniform_service_guide?_bd_prev_page=https%253A%252F%252Funiform.onward-cd.co.jp%252Fservice-document%252F&amp;_gl=1*cszg01*_gcl_au*MTc5NjU2Njg2My4xNzU2NzkwMzg2*_ga*MTE0MjY1ODYzOS4xNzU2NzkwMzg2*_ga_RLD9Y6J4JX*czE3NTY3OTAzODUkbzEkZzEkdDE3NTY3OTA1NzIkajEwJGwwJGgw&amp;_bdsid=3Ytoth.pcapVal.1731314606228.1731314624&amp;_bdrpf=1</t>
  </si>
  <si>
    <t>231008219836</t>
  </si>
  <si>
    <t>docs.google.com</t>
  </si>
  <si>
    <t>docs.google.com/</t>
  </si>
  <si>
    <t>https://uniform.onward-cd.co.jp/column/brand_color/</t>
  </si>
  <si>
    <t>https://smart2.onward-cd.co.jp/contact_c?_gl=1*ng2e4v*_gcl_au*NjA4ODE4NDMyLjE3NTg1OTUzMzg.*_ga*MTg4NjEzMzMxOS4xNzU4NTk1MzQw*_ga_40P3EPKK4E*czE3NTg1OTU5OTgkbzEkZzAkdDE3NTg1OTYwMDUkajUzJGwwJGgw</t>
  </si>
  <si>
    <t>257128255178</t>
  </si>
  <si>
    <t>645864313530</t>
  </si>
  <si>
    <t>会社名</t>
    <rPh sb="0" eb="3">
      <t>カイシャメイ</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</si>
</sst>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
    <numFmt numFmtId="177" formatCode="yyyy/m/d\ h:mm;@"/>
    <numFmt numFmtId="178" formatCode="yyyy\-mm\-dd\ hh:mm"/>
  </numFmts>
  <fonts count="32">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b/>
      <sz val="11"/>
      <color theme="1"/>
      <name val="游ゴシック"/>
      <family val="3"/>
      <charset val="128"/>
      <scheme val="minor"/>
    </font>
    <font>
      <b/>
      <sz val="12"/>
      <color rgb="FF56585B"/>
      <name val="Calibri"/>
      <family val="2"/>
    </font>
    <font>
      <sz val="12"/>
      <color rgb="FF000000"/>
      <name val="Calibri"/>
      <family val="2"/>
    </font>
    <font>
      <sz val="11"/>
      <color indexed="8"/>
      <name val="游ゴシック"/>
      <family val="2"/>
      <scheme val="minor"/>
    </font>
    <font>
      <sz val="11"/>
      <color rgb="FF000000"/>
      <name val="游ゴシック"/>
      <family val="3"/>
      <charset val="128"/>
    </font>
    <font>
      <b/>
      <sz val="8"/>
      <color theme="1"/>
      <name val="游ゴシック"/>
      <family val="2"/>
      <charset val="128"/>
      <scheme val="minor"/>
    </font>
    <font>
      <u/>
      <sz val="11"/>
      <color theme="10"/>
      <name val="游ゴシック"/>
      <family val="2"/>
      <charset val="128"/>
      <scheme val="minor"/>
    </font>
    <font>
      <sz val="11"/>
      <color rgb="FFC00000"/>
      <name val="游ゴシック"/>
      <family val="2"/>
      <charset val="128"/>
      <scheme val="minor"/>
    </font>
    <font>
      <sz val="11"/>
      <color rgb="FF000000"/>
      <name val="游ゴシック"/>
      <family val="2"/>
      <charset val="128"/>
      <scheme val="minor"/>
    </font>
    <font>
      <sz val="11"/>
      <color rgb="FF000000"/>
      <name val="MS PGothic"/>
      <family val="3"/>
      <charset val="128"/>
    </font>
    <font>
      <sz val="11"/>
      <color theme="1"/>
      <name val="MS PGothic"/>
      <family val="3"/>
      <charset val="128"/>
    </font>
    <font>
      <sz val="12"/>
      <color rgb="FF000000"/>
      <name val="MS PGothic"/>
      <family val="3"/>
      <charset val="128"/>
    </font>
    <font>
      <sz val="12"/>
      <color rgb="FF000000"/>
      <name val="ＭＳ Ｐゴシック"/>
      <family val="3"/>
      <charset val="128"/>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4"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E9E8E5"/>
        <bgColor rgb="FF000000"/>
      </patternFill>
    </fill>
    <fill>
      <patternFill patternType="solid">
        <fgColor rgb="FFFFFFFF"/>
        <bgColor rgb="FF000000"/>
      </patternFill>
    </fill>
    <fill>
      <patternFill patternType="solid">
        <fgColor theme="7"/>
        <bgColor indexed="64"/>
      </patternFill>
    </fill>
    <fill>
      <patternFill patternType="solid">
        <fgColor rgb="FFFFC000"/>
        <bgColor rgb="FF000000"/>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rgb="FF00B0F0"/>
        <bgColor rgb="FF000000"/>
      </patternFill>
    </fill>
    <fill>
      <patternFill patternType="solid">
        <fgColor rgb="FFFFFF00"/>
        <bgColor rgb="FF000000"/>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rgb="FFFF0000"/>
      </left>
      <right style="thick">
        <color rgb="FFFF0000"/>
      </right>
      <top style="thick">
        <color rgb="FFFF0000"/>
      </top>
      <bottom style="thick">
        <color rgb="FFFF0000"/>
      </bottom>
      <diagonal/>
    </border>
    <border>
      <left style="thin">
        <color rgb="FFD5D3D1"/>
      </left>
      <right/>
      <top style="thin">
        <color rgb="FFD5D3D1"/>
      </top>
      <bottom style="thin">
        <color rgb="FFD5D3D1"/>
      </bottom>
      <diagonal/>
    </border>
    <border>
      <left/>
      <right style="thin">
        <color rgb="FFD5D3D1"/>
      </right>
      <top style="thin">
        <color rgb="FFD5D3D1"/>
      </top>
      <bottom style="thin">
        <color rgb="FFD5D3D1"/>
      </bottom>
      <diagonal/>
    </border>
    <border>
      <left/>
      <right style="thin">
        <color rgb="FFD5D3D1"/>
      </right>
      <top/>
      <bottom style="thin">
        <color rgb="FFD5D3D1"/>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top style="thin">
        <color rgb="FF000000"/>
      </top>
      <bottom style="thin">
        <color rgb="FF000000"/>
      </bottom>
      <diagonal/>
    </border>
  </borders>
  <cellStyleXfs count="46">
    <xf numFmtId="0" fontId="0" fillId="0" borderId="0">
      <alignment vertical="center"/>
    </xf>
    <xf numFmtId="9" fontId="1" fillId="0" borderId="0" applyFont="0" applyFill="0" applyBorder="0" applyAlignment="0" applyProtection="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22" fillId="0" borderId="0">
      <alignment vertical="center"/>
    </xf>
    <xf numFmtId="0" fontId="25" fillId="0" borderId="0" applyNumberFormat="0" applyFill="0" applyBorder="0" applyAlignment="0" applyProtection="0">
      <alignment vertical="center"/>
    </xf>
    <xf numFmtId="0" fontId="22" fillId="0" borderId="0"/>
  </cellStyleXfs>
  <cellXfs count="84">
    <xf numFmtId="0" fontId="0" fillId="0" borderId="0" xfId="0">
      <alignment vertical="center"/>
    </xf>
    <xf numFmtId="0" fontId="0" fillId="0" borderId="0" xfId="0" pivotButton="1">
      <alignment vertical="center"/>
    </xf>
    <xf numFmtId="0" fontId="0" fillId="0" borderId="0" xfId="0" applyAlignment="1">
      <alignment horizontal="left" vertical="center"/>
    </xf>
    <xf numFmtId="9" fontId="0" fillId="0" borderId="0" xfId="1" applyFont="1">
      <alignment vertical="center"/>
    </xf>
    <xf numFmtId="0" fontId="0" fillId="33" borderId="0" xfId="0" applyFill="1">
      <alignment vertical="center"/>
    </xf>
    <xf numFmtId="9" fontId="0" fillId="33" borderId="0" xfId="1" applyFont="1" applyFill="1">
      <alignment vertical="center"/>
    </xf>
    <xf numFmtId="0" fontId="19" fillId="34" borderId="0" xfId="0" applyFont="1" applyFill="1">
      <alignment vertical="center"/>
    </xf>
    <xf numFmtId="0" fontId="0" fillId="35" borderId="0" xfId="0" applyFill="1">
      <alignment vertical="center"/>
    </xf>
    <xf numFmtId="14" fontId="0" fillId="0" borderId="0" xfId="0" applyNumberFormat="1">
      <alignment vertical="center"/>
    </xf>
    <xf numFmtId="0" fontId="0" fillId="36" borderId="0" xfId="0" applyFill="1">
      <alignment vertical="center"/>
    </xf>
    <xf numFmtId="0" fontId="19" fillId="35" borderId="0" xfId="0" applyFont="1" applyFill="1" applyAlignment="1">
      <alignment horizontal="left" vertical="center"/>
    </xf>
    <xf numFmtId="0" fontId="19" fillId="35" borderId="0" xfId="0" applyFont="1" applyFill="1">
      <alignment vertical="center"/>
    </xf>
    <xf numFmtId="0" fontId="19" fillId="35" borderId="10" xfId="0" applyFont="1" applyFill="1" applyBorder="1">
      <alignment vertical="center"/>
    </xf>
    <xf numFmtId="0" fontId="19" fillId="0" borderId="0" xfId="0" applyFont="1">
      <alignment vertical="center"/>
    </xf>
    <xf numFmtId="9" fontId="19" fillId="0" borderId="0" xfId="1" applyFont="1" applyFill="1">
      <alignment vertical="center"/>
    </xf>
    <xf numFmtId="0" fontId="0" fillId="37" borderId="0" xfId="0" applyFill="1">
      <alignment vertical="center"/>
    </xf>
    <xf numFmtId="0" fontId="0" fillId="38" borderId="0" xfId="0" applyFill="1">
      <alignment vertical="center"/>
    </xf>
    <xf numFmtId="0" fontId="23" fillId="0" borderId="0" xfId="0" applyFont="1">
      <alignment vertical="center"/>
    </xf>
    <xf numFmtId="22" fontId="23" fillId="0" borderId="0" xfId="0" applyNumberFormat="1" applyFont="1">
      <alignment vertical="center"/>
    </xf>
    <xf numFmtId="0" fontId="21" fillId="40" borderId="13" xfId="0" applyFont="1" applyFill="1" applyBorder="1">
      <alignment vertical="center"/>
    </xf>
    <xf numFmtId="14" fontId="21" fillId="40" borderId="13" xfId="0" applyNumberFormat="1" applyFont="1" applyFill="1" applyBorder="1">
      <alignment vertical="center"/>
    </xf>
    <xf numFmtId="0" fontId="23" fillId="41" borderId="0" xfId="0" applyFont="1" applyFill="1">
      <alignment vertical="center"/>
    </xf>
    <xf numFmtId="0" fontId="0" fillId="41" borderId="0" xfId="0" applyFill="1">
      <alignment vertical="center"/>
    </xf>
    <xf numFmtId="0" fontId="0" fillId="0" borderId="14" xfId="0" applyBorder="1">
      <alignment vertical="center"/>
    </xf>
    <xf numFmtId="0" fontId="23" fillId="0" borderId="14" xfId="0" applyFont="1" applyBorder="1" applyAlignment="1">
      <alignment horizontal="center" vertical="center"/>
    </xf>
    <xf numFmtId="0" fontId="0" fillId="36" borderId="14" xfId="0" applyFill="1" applyBorder="1">
      <alignment vertical="center"/>
    </xf>
    <xf numFmtId="0" fontId="0" fillId="36" borderId="14" xfId="0" applyFill="1" applyBorder="1" applyAlignment="1">
      <alignment horizontal="center" vertical="center"/>
    </xf>
    <xf numFmtId="55" fontId="0" fillId="0" borderId="14" xfId="0" applyNumberFormat="1" applyBorder="1">
      <alignment vertical="center"/>
    </xf>
    <xf numFmtId="0" fontId="0" fillId="36" borderId="14" xfId="0" applyFill="1" applyBorder="1" applyAlignment="1">
      <alignment horizontal="right" vertical="center"/>
    </xf>
    <xf numFmtId="0" fontId="0" fillId="0" borderId="14" xfId="0" applyBorder="1" applyAlignment="1">
      <alignment horizontal="center" vertical="center"/>
    </xf>
    <xf numFmtId="0" fontId="23" fillId="0" borderId="15" xfId="0" applyFont="1" applyBorder="1" applyAlignment="1">
      <alignment horizontal="center" vertical="center"/>
    </xf>
    <xf numFmtId="0" fontId="0" fillId="0" borderId="15" xfId="0" applyBorder="1">
      <alignment vertical="center"/>
    </xf>
    <xf numFmtId="0" fontId="0" fillId="36" borderId="15" xfId="0" applyFill="1" applyBorder="1">
      <alignment vertical="center"/>
    </xf>
    <xf numFmtId="0" fontId="0" fillId="0" borderId="16" xfId="0" applyBorder="1">
      <alignment vertical="center"/>
    </xf>
    <xf numFmtId="0" fontId="0" fillId="36" borderId="17" xfId="0" applyFill="1" applyBorder="1">
      <alignment vertical="center"/>
    </xf>
    <xf numFmtId="0" fontId="0" fillId="0" borderId="17" xfId="0" applyBorder="1">
      <alignment vertical="center"/>
    </xf>
    <xf numFmtId="0" fontId="0" fillId="34" borderId="0" xfId="0" applyFill="1">
      <alignment vertical="center"/>
    </xf>
    <xf numFmtId="14" fontId="21" fillId="40" borderId="12" xfId="0" applyNumberFormat="1" applyFont="1" applyFill="1" applyBorder="1">
      <alignment vertical="center"/>
    </xf>
    <xf numFmtId="0" fontId="0" fillId="36" borderId="17" xfId="0" applyFill="1" applyBorder="1" applyAlignment="1">
      <alignment horizontal="center" vertical="center"/>
    </xf>
    <xf numFmtId="0" fontId="24" fillId="36" borderId="14" xfId="0" applyFont="1" applyFill="1" applyBorder="1" applyAlignment="1">
      <alignment vertical="center" wrapText="1"/>
    </xf>
    <xf numFmtId="0" fontId="0" fillId="43" borderId="0" xfId="0" applyFill="1">
      <alignment vertical="center"/>
    </xf>
    <xf numFmtId="0" fontId="0" fillId="44" borderId="0" xfId="0" applyFill="1">
      <alignment vertical="center"/>
    </xf>
    <xf numFmtId="0" fontId="26" fillId="0" borderId="0" xfId="0" applyFont="1">
      <alignment vertical="center"/>
    </xf>
    <xf numFmtId="0" fontId="27" fillId="45" borderId="0" xfId="0" applyFont="1" applyFill="1">
      <alignment vertical="center"/>
    </xf>
    <xf numFmtId="0" fontId="28" fillId="0" borderId="0" xfId="0" applyFont="1">
      <alignment vertical="center"/>
    </xf>
    <xf numFmtId="177" fontId="28" fillId="0" borderId="0" xfId="0" applyNumberFormat="1" applyFont="1">
      <alignment vertical="center"/>
    </xf>
    <xf numFmtId="0" fontId="29" fillId="0" borderId="0" xfId="0" applyFont="1">
      <alignment vertical="center"/>
    </xf>
    <xf numFmtId="176" fontId="28" fillId="42" borderId="0" xfId="0" applyNumberFormat="1" applyFont="1" applyFill="1">
      <alignment vertical="center"/>
    </xf>
    <xf numFmtId="176" fontId="28" fillId="42" borderId="0" xfId="0" applyNumberFormat="1" applyFont="1" applyFill="1" applyAlignment="1">
      <alignment horizontal="center" vertical="center"/>
    </xf>
    <xf numFmtId="176" fontId="29" fillId="0" borderId="0" xfId="0" applyNumberFormat="1" applyFont="1">
      <alignment vertical="center"/>
    </xf>
    <xf numFmtId="0" fontId="28" fillId="36" borderId="0" xfId="0" applyFont="1" applyFill="1">
      <alignment vertical="center"/>
    </xf>
    <xf numFmtId="0" fontId="28" fillId="34" borderId="0" xfId="0" applyFont="1" applyFill="1">
      <alignment vertical="center"/>
    </xf>
    <xf numFmtId="0" fontId="29" fillId="34" borderId="0" xfId="0" applyFont="1" applyFill="1">
      <alignment vertical="center"/>
    </xf>
    <xf numFmtId="0" fontId="28" fillId="43" borderId="0" xfId="0" applyFont="1" applyFill="1">
      <alignment vertical="center"/>
    </xf>
    <xf numFmtId="176" fontId="29" fillId="43" borderId="0" xfId="0" applyNumberFormat="1" applyFont="1" applyFill="1">
      <alignment vertical="center"/>
    </xf>
    <xf numFmtId="0" fontId="29" fillId="43" borderId="0" xfId="0" applyFont="1" applyFill="1">
      <alignment vertical="center"/>
    </xf>
    <xf numFmtId="0" fontId="29" fillId="44" borderId="0" xfId="0" applyFont="1" applyFill="1">
      <alignment vertical="center"/>
    </xf>
    <xf numFmtId="176" fontId="29" fillId="36" borderId="0" xfId="0" applyNumberFormat="1" applyFont="1" applyFill="1">
      <alignment vertical="center"/>
    </xf>
    <xf numFmtId="177" fontId="29" fillId="0" borderId="0" xfId="0" applyNumberFormat="1" applyFont="1">
      <alignment vertical="center"/>
    </xf>
    <xf numFmtId="0" fontId="29" fillId="36" borderId="0" xfId="0" applyFont="1" applyFill="1">
      <alignment vertical="center"/>
    </xf>
    <xf numFmtId="177" fontId="29" fillId="0" borderId="0" xfId="0" applyNumberFormat="1" applyFont="1" applyAlignment="1"/>
    <xf numFmtId="177" fontId="28" fillId="0" borderId="0" xfId="0" applyNumberFormat="1" applyFont="1" applyAlignment="1">
      <alignment vertical="center" wrapText="1"/>
    </xf>
    <xf numFmtId="0" fontId="29" fillId="38" borderId="0" xfId="0" applyFont="1" applyFill="1">
      <alignment vertical="center"/>
    </xf>
    <xf numFmtId="0" fontId="29" fillId="0" borderId="0" xfId="0" applyFont="1" applyAlignment="1">
      <alignment vertical="center" wrapText="1"/>
    </xf>
    <xf numFmtId="22" fontId="28" fillId="0" borderId="0" xfId="0" applyNumberFormat="1" applyFont="1">
      <alignment vertical="center"/>
    </xf>
    <xf numFmtId="0" fontId="30" fillId="0" borderId="0" xfId="0" applyFont="1">
      <alignment vertical="center"/>
    </xf>
    <xf numFmtId="22" fontId="30" fillId="0" borderId="0" xfId="0" applyNumberFormat="1" applyFont="1">
      <alignment vertical="center"/>
    </xf>
    <xf numFmtId="0" fontId="30" fillId="36" borderId="0" xfId="0" applyFont="1" applyFill="1">
      <alignment vertical="center"/>
    </xf>
    <xf numFmtId="177" fontId="29" fillId="0" borderId="0" xfId="0" applyNumberFormat="1" applyFont="1" applyAlignment="1">
      <alignment vertical="center" wrapText="1"/>
    </xf>
    <xf numFmtId="0" fontId="31" fillId="0" borderId="0" xfId="0" applyFont="1">
      <alignment vertical="center"/>
    </xf>
    <xf numFmtId="22" fontId="31" fillId="0" borderId="0" xfId="0" applyNumberFormat="1" applyFont="1">
      <alignment vertical="center"/>
    </xf>
    <xf numFmtId="0" fontId="22" fillId="0" borderId="0" xfId="45"/>
    <xf numFmtId="178" fontId="22" fillId="0" borderId="0" xfId="45" applyNumberFormat="1"/>
    <xf numFmtId="176" fontId="29" fillId="0" borderId="0" xfId="0" applyNumberFormat="1" applyFont="1" applyAlignment="1">
      <alignment horizontal="center" vertical="center"/>
    </xf>
    <xf numFmtId="0" fontId="31" fillId="46" borderId="0" xfId="0" applyFont="1" applyFill="1">
      <alignment vertical="center"/>
    </xf>
    <xf numFmtId="22" fontId="31" fillId="46" borderId="0" xfId="0" applyNumberFormat="1" applyFont="1" applyFill="1">
      <alignment vertical="center"/>
    </xf>
    <xf numFmtId="0" fontId="28" fillId="47" borderId="0" xfId="0" applyFont="1" applyFill="1">
      <alignment vertical="center"/>
    </xf>
    <xf numFmtId="55" fontId="28" fillId="47" borderId="0" xfId="0" applyNumberFormat="1" applyFont="1" applyFill="1">
      <alignment vertical="center"/>
    </xf>
    <xf numFmtId="0" fontId="21" fillId="40" borderId="12" xfId="0" applyFont="1" applyFill="1" applyBorder="1">
      <alignment vertical="center"/>
    </xf>
    <xf numFmtId="0" fontId="20" fillId="39" borderId="12" xfId="0" applyFont="1" applyFill="1" applyBorder="1">
      <alignment vertical="center"/>
    </xf>
    <xf numFmtId="0" fontId="21" fillId="40" borderId="11" xfId="0" applyFont="1" applyFill="1" applyBorder="1">
      <alignment vertical="center"/>
    </xf>
    <xf numFmtId="0" fontId="21" fillId="40" borderId="12" xfId="0" applyFont="1" applyFill="1" applyBorder="1">
      <alignment vertical="center"/>
    </xf>
    <xf numFmtId="0" fontId="20" fillId="39" borderId="11" xfId="0" applyFont="1" applyFill="1" applyBorder="1">
      <alignment vertical="center"/>
    </xf>
    <xf numFmtId="0" fontId="20" fillId="39" borderId="12" xfId="0" applyFont="1" applyFill="1" applyBorder="1">
      <alignment vertical="center"/>
    </xf>
  </cellXfs>
  <cellStyles count="46">
    <cellStyle name="20% - アクセント 1" xfId="20" builtinId="30" customBuiltin="1"/>
    <cellStyle name="20% - アクセント 2" xfId="24" builtinId="34" customBuiltin="1"/>
    <cellStyle name="20% - アクセント 3" xfId="28" builtinId="38" customBuiltin="1"/>
    <cellStyle name="20% - アクセント 4" xfId="32" builtinId="42" customBuiltin="1"/>
    <cellStyle name="20% - アクセント 5" xfId="36" builtinId="46" customBuiltin="1"/>
    <cellStyle name="20% - アクセント 6" xfId="40" builtinId="50" customBuiltin="1"/>
    <cellStyle name="40% - アクセント 1" xfId="21" builtinId="31" customBuiltin="1"/>
    <cellStyle name="40% - アクセント 2" xfId="25" builtinId="35" customBuiltin="1"/>
    <cellStyle name="40% - アクセント 3" xfId="29" builtinId="39" customBuiltin="1"/>
    <cellStyle name="40% - アクセント 4" xfId="33" builtinId="43" customBuiltin="1"/>
    <cellStyle name="40% - アクセント 5" xfId="37" builtinId="47" customBuiltin="1"/>
    <cellStyle name="40% - アクセント 6" xfId="41" builtinId="51" customBuiltin="1"/>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Hyperlink" xfId="44" xr:uid="{00000000-000B-0000-0000-000008000000}"/>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2" builtinId="15" customBuiltin="1"/>
    <cellStyle name="チェック セル" xfId="14" builtinId="23" customBuiltin="1"/>
    <cellStyle name="どちらでもない" xfId="9" builtinId="28" customBuiltin="1"/>
    <cellStyle name="パーセント" xfId="1" builtinId="5"/>
    <cellStyle name="メモ" xfId="16" builtinId="10" customBuiltin="1"/>
    <cellStyle name="リンク セル" xfId="13" builtinId="24" customBuiltin="1"/>
    <cellStyle name="悪い" xfId="8" builtinId="27" customBuiltin="1"/>
    <cellStyle name="計算" xfId="12" builtinId="22" customBuiltin="1"/>
    <cellStyle name="警告文" xfId="15" builtinId="11" customBuiltin="1"/>
    <cellStyle name="見出し 1" xfId="3" builtinId="16" customBuiltin="1"/>
    <cellStyle name="見出し 2" xfId="4" builtinId="17" customBuiltin="1"/>
    <cellStyle name="見出し 3" xfId="5" builtinId="18" customBuiltin="1"/>
    <cellStyle name="見出し 4" xfId="6" builtinId="19" customBuiltin="1"/>
    <cellStyle name="集計" xfId="18" builtinId="25" customBuiltin="1"/>
    <cellStyle name="出力" xfId="11" builtinId="21" customBuiltin="1"/>
    <cellStyle name="説明文" xfId="17" builtinId="53" customBuiltin="1"/>
    <cellStyle name="入力" xfId="10" builtinId="20" customBuiltin="1"/>
    <cellStyle name="標準" xfId="0" builtinId="0"/>
    <cellStyle name="標準 2" xfId="43" xr:uid="{2E5F97DB-7F78-4A89-85F1-BBD0B473027D}"/>
    <cellStyle name="標準 3" xfId="45" xr:uid="{4C3E74FF-21E1-40B3-82F4-9B1E571C971D}"/>
    <cellStyle name="良い" xfId="7" builtinId="26" customBuiltin="1"/>
  </cellStyles>
  <dxfs count="5">
    <dxf>
      <fill>
        <patternFill patternType="solid">
          <bgColor rgb="FFFFFF00"/>
        </patternFill>
      </fill>
    </dxf>
    <dxf>
      <font>
        <color rgb="FF9C0006"/>
      </font>
    </dxf>
    <dxf>
      <fill>
        <patternFill patternType="solid">
          <bgColor rgb="FFFFC7CE"/>
        </patternFill>
      </fill>
    </dxf>
    <dxf>
      <font>
        <color rgb="FF9C0006"/>
      </font>
    </dxf>
    <dxf>
      <font>
        <color rgb="FF9C0006"/>
      </font>
      <fill>
        <patternFill>
          <bgColor rgb="FFFFC7CE"/>
        </patternFill>
      </fill>
    </dxf>
  </dxfs>
  <tableStyles count="0" defaultTableStyle="TableStyleMedium2" defaultPivotStyle="PivotStyleLight16"/>
  <colors>
    <mruColors>
      <color rgb="FFF2F266"/>
      <color rgb="FF000000"/>
      <color rgb="FF7EDE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UN</a:t>
            </a:r>
            <a:r>
              <a:rPr lang="ja-JP" altLang="en-US"/>
              <a:t>｜</a:t>
            </a:r>
            <a:r>
              <a:rPr lang="en-US" altLang="ja-JP"/>
              <a:t>SQL/MQL</a:t>
            </a:r>
            <a:r>
              <a:rPr lang="ja-JP" altLang="en-US"/>
              <a:t>月次推移</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SQL</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流入チャネル別集計!$A$32:$A$49</c:f>
              <c:numCache>
                <c:formatCode>yyyy"年"m"月"</c:formatCode>
                <c:ptCount val="18"/>
                <c:pt idx="0">
                  <c:v>45536</c:v>
                </c:pt>
                <c:pt idx="1">
                  <c:v>45566</c:v>
                </c:pt>
                <c:pt idx="2">
                  <c:v>45597</c:v>
                </c:pt>
                <c:pt idx="3">
                  <c:v>45627</c:v>
                </c:pt>
                <c:pt idx="4">
                  <c:v>45658</c:v>
                </c:pt>
                <c:pt idx="5">
                  <c:v>45689</c:v>
                </c:pt>
                <c:pt idx="6">
                  <c:v>45717</c:v>
                </c:pt>
                <c:pt idx="7">
                  <c:v>45748</c:v>
                </c:pt>
                <c:pt idx="8">
                  <c:v>45778</c:v>
                </c:pt>
                <c:pt idx="9">
                  <c:v>45809</c:v>
                </c:pt>
                <c:pt idx="10">
                  <c:v>45839</c:v>
                </c:pt>
                <c:pt idx="11">
                  <c:v>45870</c:v>
                </c:pt>
                <c:pt idx="12">
                  <c:v>45901</c:v>
                </c:pt>
                <c:pt idx="13">
                  <c:v>45931</c:v>
                </c:pt>
                <c:pt idx="14">
                  <c:v>45962</c:v>
                </c:pt>
                <c:pt idx="15">
                  <c:v>45992</c:v>
                </c:pt>
                <c:pt idx="16">
                  <c:v>46023</c:v>
                </c:pt>
                <c:pt idx="17">
                  <c:v>46054</c:v>
                </c:pt>
              </c:numCache>
            </c:numRef>
          </c:cat>
          <c:val>
            <c:numRef>
              <c:f>流入チャネル別集計!$B$32:$B$49</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2-AD94-492B-8BBC-D1750E971837}"/>
            </c:ext>
          </c:extLst>
        </c:ser>
        <c:ser>
          <c:idx val="1"/>
          <c:order val="1"/>
          <c:tx>
            <c:v>MQL</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流入チャネル別集計!$A$32:$A$49</c:f>
              <c:numCache>
                <c:formatCode>yyyy"年"m"月"</c:formatCode>
                <c:ptCount val="18"/>
                <c:pt idx="0">
                  <c:v>45536</c:v>
                </c:pt>
                <c:pt idx="1">
                  <c:v>45566</c:v>
                </c:pt>
                <c:pt idx="2">
                  <c:v>45597</c:v>
                </c:pt>
                <c:pt idx="3">
                  <c:v>45627</c:v>
                </c:pt>
                <c:pt idx="4">
                  <c:v>45658</c:v>
                </c:pt>
                <c:pt idx="5">
                  <c:v>45689</c:v>
                </c:pt>
                <c:pt idx="6">
                  <c:v>45717</c:v>
                </c:pt>
                <c:pt idx="7">
                  <c:v>45748</c:v>
                </c:pt>
                <c:pt idx="8">
                  <c:v>45778</c:v>
                </c:pt>
                <c:pt idx="9">
                  <c:v>45809</c:v>
                </c:pt>
                <c:pt idx="10">
                  <c:v>45839</c:v>
                </c:pt>
                <c:pt idx="11">
                  <c:v>45870</c:v>
                </c:pt>
                <c:pt idx="12">
                  <c:v>45901</c:v>
                </c:pt>
                <c:pt idx="13">
                  <c:v>45931</c:v>
                </c:pt>
                <c:pt idx="14">
                  <c:v>45962</c:v>
                </c:pt>
                <c:pt idx="15">
                  <c:v>45992</c:v>
                </c:pt>
                <c:pt idx="16">
                  <c:v>46023</c:v>
                </c:pt>
                <c:pt idx="17">
                  <c:v>46054</c:v>
                </c:pt>
              </c:numCache>
            </c:numRef>
          </c:cat>
          <c:val>
            <c:numRef>
              <c:f>流入チャネル別集計!$C$32:$C$49</c:f>
              <c:numCache>
                <c:formatCode>General</c:formatCode>
                <c:ptCount val="18"/>
                <c:pt idx="0">
                  <c:v>3</c:v>
                </c:pt>
                <c:pt idx="1">
                  <c:v>7</c:v>
                </c:pt>
                <c:pt idx="2">
                  <c:v>25</c:v>
                </c:pt>
                <c:pt idx="3">
                  <c:v>10</c:v>
                </c:pt>
                <c:pt idx="4">
                  <c:v>16</c:v>
                </c:pt>
                <c:pt idx="5">
                  <c:v>18</c:v>
                </c:pt>
                <c:pt idx="6">
                  <c:v>19</c:v>
                </c:pt>
                <c:pt idx="7">
                  <c:v>20</c:v>
                </c:pt>
                <c:pt idx="8">
                  <c:v>14</c:v>
                </c:pt>
                <c:pt idx="9">
                  <c:v>17</c:v>
                </c:pt>
                <c:pt idx="10">
                  <c:v>45</c:v>
                </c:pt>
                <c:pt idx="11">
                  <c:v>33</c:v>
                </c:pt>
                <c:pt idx="12">
                  <c:v>30</c:v>
                </c:pt>
                <c:pt idx="13">
                  <c:v>19</c:v>
                </c:pt>
                <c:pt idx="14">
                  <c:v>23</c:v>
                </c:pt>
                <c:pt idx="15">
                  <c:v>14</c:v>
                </c:pt>
                <c:pt idx="16">
                  <c:v>5</c:v>
                </c:pt>
                <c:pt idx="17">
                  <c:v>0</c:v>
                </c:pt>
              </c:numCache>
            </c:numRef>
          </c:val>
          <c:smooth val="0"/>
          <c:extLst>
            <c:ext xmlns:c16="http://schemas.microsoft.com/office/drawing/2014/chart" uri="{C3380CC4-5D6E-409C-BE32-E72D297353CC}">
              <c16:uniqueId val="{00000004-AD94-492B-8BBC-D1750E971837}"/>
            </c:ext>
          </c:extLst>
        </c:ser>
        <c:dLbls>
          <c:showLegendKey val="0"/>
          <c:showVal val="0"/>
          <c:showCatName val="0"/>
          <c:showSerName val="0"/>
          <c:showPercent val="0"/>
          <c:showBubbleSize val="0"/>
        </c:dLbls>
        <c:smooth val="0"/>
        <c:axId val="317651975"/>
        <c:axId val="882169863"/>
      </c:lineChart>
      <c:dateAx>
        <c:axId val="317651975"/>
        <c:scaling>
          <c:orientation val="minMax"/>
        </c:scaling>
        <c:delete val="0"/>
        <c:axPos val="b"/>
        <c:numFmt formatCode="yyyy&quot;年&quot;m&quot;月&quot;"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169863"/>
        <c:crosses val="autoZero"/>
        <c:auto val="1"/>
        <c:lblOffset val="100"/>
        <c:baseTimeUnit val="months"/>
      </c:dateAx>
      <c:valAx>
        <c:axId val="8821698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6519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942975</xdr:colOff>
      <xdr:row>29</xdr:row>
      <xdr:rowOff>219075</xdr:rowOff>
    </xdr:from>
    <xdr:to>
      <xdr:col>12</xdr:col>
      <xdr:colOff>390525</xdr:colOff>
      <xdr:row>48</xdr:row>
      <xdr:rowOff>219075</xdr:rowOff>
    </xdr:to>
    <xdr:graphicFrame macro="">
      <xdr:nvGraphicFramePr>
        <xdr:cNvPr id="2" name="グラフ 1">
          <a:extLst>
            <a:ext uri="{FF2B5EF4-FFF2-40B4-BE49-F238E27FC236}">
              <a16:creationId xmlns:a16="http://schemas.microsoft.com/office/drawing/2014/main" id="{12771FDF-DC0D-8230-24F0-3A5265F67A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57150</xdr:rowOff>
    </xdr:from>
    <xdr:to>
      <xdr:col>15</xdr:col>
      <xdr:colOff>590550</xdr:colOff>
      <xdr:row>13</xdr:row>
      <xdr:rowOff>200025</xdr:rowOff>
    </xdr:to>
    <xdr:sp macro="" textlink="">
      <xdr:nvSpPr>
        <xdr:cNvPr id="3" name="四角形 2">
          <a:extLst>
            <a:ext uri="{FF2B5EF4-FFF2-40B4-BE49-F238E27FC236}">
              <a16:creationId xmlns:a16="http://schemas.microsoft.com/office/drawing/2014/main" id="{E6FF80E0-6096-E50E-7D75-BFFA1EA76524}"/>
            </a:ext>
            <a:ext uri="{147F2762-F138-4A5C-976F-8EAC2B608ADB}">
              <a16:predDERef xmlns:a16="http://schemas.microsoft.com/office/drawing/2014/main" pred="{12771FDF-DC0D-8230-24F0-3A5265F67A6D}"/>
            </a:ext>
          </a:extLst>
        </xdr:cNvPr>
        <xdr:cNvSpPr/>
      </xdr:nvSpPr>
      <xdr:spPr>
        <a:xfrm>
          <a:off x="0" y="57150"/>
          <a:ext cx="13515975" cy="3124200"/>
        </a:xfrm>
        <a:prstGeom prst="rect">
          <a:avLst/>
        </a:prstGeom>
        <a:solidFill>
          <a:srgbClr val="000000">
            <a:alpha val="4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ja-JP" altLang="en-US" sz="2000" b="0" i="0" u="none" strike="noStrike">
              <a:solidFill>
                <a:schemeClr val="lt1"/>
              </a:solidFill>
              <a:latin typeface="Aptos Narrow" panose="020B0004020202020204" pitchFamily="34" charset="0"/>
            </a:rPr>
            <a:t>使わない</a:t>
          </a:r>
        </a:p>
      </xdr:txBody>
    </xdr:sp>
    <xdr:clientData/>
  </xdr:twoCellAnchor>
  <xdr:twoCellAnchor>
    <xdr:from>
      <xdr:col>0</xdr:col>
      <xdr:colOff>0</xdr:colOff>
      <xdr:row>14</xdr:row>
      <xdr:rowOff>114300</xdr:rowOff>
    </xdr:from>
    <xdr:to>
      <xdr:col>10</xdr:col>
      <xdr:colOff>85725</xdr:colOff>
      <xdr:row>21</xdr:row>
      <xdr:rowOff>142875</xdr:rowOff>
    </xdr:to>
    <xdr:sp macro="" textlink="">
      <xdr:nvSpPr>
        <xdr:cNvPr id="4" name="四角形 3">
          <a:extLst>
            <a:ext uri="{FF2B5EF4-FFF2-40B4-BE49-F238E27FC236}">
              <a16:creationId xmlns:a16="http://schemas.microsoft.com/office/drawing/2014/main" id="{CA67C6EF-304C-4D8C-98B8-702C43CAF7CE}"/>
            </a:ext>
            <a:ext uri="{147F2762-F138-4A5C-976F-8EAC2B608ADB}">
              <a16:predDERef xmlns:a16="http://schemas.microsoft.com/office/drawing/2014/main" pred="{E6FF80E0-6096-E50E-7D75-BFFA1EA76524}"/>
            </a:ext>
          </a:extLst>
        </xdr:cNvPr>
        <xdr:cNvSpPr/>
      </xdr:nvSpPr>
      <xdr:spPr>
        <a:xfrm>
          <a:off x="0" y="3324225"/>
          <a:ext cx="9582150" cy="1628775"/>
        </a:xfrm>
        <a:prstGeom prst="rect">
          <a:avLst/>
        </a:prstGeom>
        <a:solidFill>
          <a:srgbClr val="000000">
            <a:alpha val="4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ja-JP" altLang="en-US" sz="2000" b="0" i="0" u="none" strike="noStrike">
              <a:solidFill>
                <a:schemeClr val="lt1"/>
              </a:solidFill>
              <a:latin typeface="Aptos Narrow" panose="020B0004020202020204" pitchFamily="34" charset="0"/>
            </a:rPr>
            <a:t>使わない</a:t>
          </a:r>
        </a:p>
      </xdr:txBody>
    </xdr:sp>
    <xdr:clientData/>
  </xdr:twoCellAnchor>
  <xdr:twoCellAnchor>
    <xdr:from>
      <xdr:col>1</xdr:col>
      <xdr:colOff>47625</xdr:colOff>
      <xdr:row>21</xdr:row>
      <xdr:rowOff>142875</xdr:rowOff>
    </xdr:from>
    <xdr:to>
      <xdr:col>9</xdr:col>
      <xdr:colOff>666750</xdr:colOff>
      <xdr:row>28</xdr:row>
      <xdr:rowOff>104775</xdr:rowOff>
    </xdr:to>
    <xdr:sp macro="" textlink="">
      <xdr:nvSpPr>
        <xdr:cNvPr id="5" name="四角形 4">
          <a:extLst>
            <a:ext uri="{FF2B5EF4-FFF2-40B4-BE49-F238E27FC236}">
              <a16:creationId xmlns:a16="http://schemas.microsoft.com/office/drawing/2014/main" id="{1E46D968-B417-42E0-9FB1-0775F0774DFE}"/>
            </a:ext>
            <a:ext uri="{147F2762-F138-4A5C-976F-8EAC2B608ADB}">
              <a16:predDERef xmlns:a16="http://schemas.microsoft.com/office/drawing/2014/main" pred="{CA67C6EF-304C-4D8C-98B8-702C43CAF7CE}"/>
            </a:ext>
          </a:extLst>
        </xdr:cNvPr>
        <xdr:cNvSpPr/>
      </xdr:nvSpPr>
      <xdr:spPr>
        <a:xfrm>
          <a:off x="1285875" y="4953000"/>
          <a:ext cx="8191500" cy="1590675"/>
        </a:xfrm>
        <a:prstGeom prst="rect">
          <a:avLst/>
        </a:prstGeom>
        <a:solidFill>
          <a:srgbClr val="000000">
            <a:alpha val="4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ja-JP" altLang="en-US" sz="2000" b="0" i="0" u="none" strike="noStrike">
              <a:solidFill>
                <a:schemeClr val="lt1"/>
              </a:solidFill>
              <a:latin typeface="Aptos Narrow" panose="020B0004020202020204" pitchFamily="34" charset="0"/>
            </a:rPr>
            <a:t>使わない</a:t>
          </a:r>
        </a:p>
      </xdr:txBody>
    </xdr:sp>
    <xdr:clientData/>
  </xdr:twoCellAnchor>
</xdr:wsDr>
</file>

<file path=xl/persons/person.xml><?xml version="1.0" encoding="utf-8"?>
<personList xmlns="http://schemas.microsoft.com/office/spreadsheetml/2018/threadedcomments" xmlns:x="http://schemas.openxmlformats.org/spreadsheetml/2006/main">
  <person displayName="神吉 まあや" id="{D0471848-E893-4AD2-84FC-0B84431500FF}" userId="S::m-kanki@onward.co.jp::323b030d-3703-43a0-ab5a-3f93c9881e61"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神吉 まあや" refreshedDate="45681.492044212966" createdVersion="8" refreshedVersion="8" minRefreshableVersion="3" recordCount="68" xr:uid="{C49F238D-5CB2-4850-8BA5-75E929382692}">
  <cacheSource type="worksheet">
    <worksheetSource ref="A1:K97" sheet="流入チャネル別顧客一覧（6月末まで）"/>
  </cacheSource>
  <cacheFields count="10">
    <cacheField name="CVフラグ" numFmtId="0">
      <sharedItems count="3">
        <s v="お問い合わせ完了"/>
        <s v="お役立ち資料DL"/>
        <s v="サービス資料DL"/>
      </sharedItems>
    </cacheField>
    <cacheField name="回答日時" numFmtId="22">
      <sharedItems containsSemiMixedTypes="0" containsNonDate="0" containsDate="1" containsString="0" minDate="2024-09-17T11:01:44" maxDate="2025-01-24T09:16:27"/>
    </cacheField>
    <cacheField name="貴社名" numFmtId="0">
      <sharedItems/>
    </cacheField>
    <cacheField name="お名前" numFmtId="0">
      <sharedItems/>
    </cacheField>
    <cacheField name="着用人数" numFmtId="0">
      <sharedItems/>
    </cacheField>
    <cacheField name="direct" numFmtId="0">
      <sharedItems containsSemiMixedTypes="0" containsString="0" containsNumber="1" containsInteger="1" minValue="0" maxValue="1"/>
    </cacheField>
    <cacheField name="link" numFmtId="0">
      <sharedItems containsSemiMixedTypes="0" containsString="0" containsNumber="1" containsInteger="1" minValue="0" maxValue="1"/>
    </cacheField>
    <cacheField name="listing" numFmtId="0">
      <sharedItems containsSemiMixedTypes="0" containsString="0" containsNumber="1" containsInteger="1" minValue="0" maxValue="1"/>
    </cacheField>
    <cacheField name="mail" numFmtId="0">
      <sharedItems containsSemiMixedTypes="0" containsString="0" containsNumber="1" containsInteger="1" minValue="0" maxValue="1"/>
    </cacheField>
    <cacheField name="organic"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d v="2024-09-23T18:03:26"/>
    <s v="有限会社スズキワークス久留米"/>
    <s v="松尾　徹"/>
    <s v="～500着"/>
    <n v="0"/>
    <n v="1"/>
    <n v="0"/>
    <n v="0"/>
    <n v="0"/>
  </r>
  <r>
    <x v="0"/>
    <d v="2024-10-01T14:14:12"/>
    <s v="株式会社ウェーブロック・アドバンスト・テクノロジー"/>
    <s v="森田崇嗣"/>
    <s v="～500着"/>
    <n v="1"/>
    <n v="1"/>
    <n v="0"/>
    <n v="0"/>
    <n v="0"/>
  </r>
  <r>
    <x v="0"/>
    <d v="2024-10-28T10:01:17"/>
    <s v="株式会社　和真"/>
    <s v="渡邊　博行"/>
    <s v="～500着"/>
    <n v="0"/>
    <n v="1"/>
    <n v="1"/>
    <n v="0"/>
    <n v="1"/>
  </r>
  <r>
    <x v="0"/>
    <d v="2024-10-29T14:36:53"/>
    <s v="荒木建設工業株式会社"/>
    <s v="鈴木理沙"/>
    <s v="～500着"/>
    <n v="0"/>
    <n v="0"/>
    <n v="0"/>
    <n v="0"/>
    <n v="1"/>
  </r>
  <r>
    <x v="0"/>
    <d v="2024-10-30T18:52:07"/>
    <s v="KD"/>
    <s v="鎌田順也"/>
    <s v="～500着"/>
    <n v="0"/>
    <n v="1"/>
    <n v="0"/>
    <n v="0"/>
    <n v="0"/>
  </r>
  <r>
    <x v="0"/>
    <d v="2024-11-05T16:50:08"/>
    <s v="北海道空港株式会社"/>
    <s v="虎谷　えり子"/>
    <s v="～500着"/>
    <n v="1"/>
    <n v="0"/>
    <n v="0"/>
    <n v="0"/>
    <n v="1"/>
  </r>
  <r>
    <x v="0"/>
    <d v="2024-11-06T15:49:51"/>
    <s v="株式会社ａｐｒｅｃｉｏ"/>
    <s v="鈴木恵"/>
    <s v="～500着"/>
    <n v="0"/>
    <n v="0"/>
    <n v="0"/>
    <n v="0"/>
    <n v="1"/>
  </r>
  <r>
    <x v="0"/>
    <d v="2024-11-06T15:56:46"/>
    <s v="株式会社ウメケン"/>
    <s v="坂本和史"/>
    <s v="～500着"/>
    <n v="0"/>
    <n v="0"/>
    <n v="1"/>
    <n v="0"/>
    <n v="1"/>
  </r>
  <r>
    <x v="0"/>
    <d v="2024-11-07T09:31:49"/>
    <s v="アイ・ケイ・ケイホールディングス株式会社"/>
    <s v="長廣　望美"/>
    <s v="～1000着"/>
    <n v="1"/>
    <n v="1"/>
    <n v="0"/>
    <n v="0"/>
    <n v="0"/>
  </r>
  <r>
    <x v="0"/>
    <d v="2024-11-07T15:57:24"/>
    <s v="株式会社プレナス"/>
    <s v="平野公一"/>
    <s v="～1000着"/>
    <n v="0"/>
    <n v="0"/>
    <n v="1"/>
    <n v="0"/>
    <n v="1"/>
  </r>
  <r>
    <x v="0"/>
    <d v="2024-11-13T22:45:55"/>
    <s v="株式会社レンズアソシエイツ"/>
    <s v="松井香澄"/>
    <s v="1,001名以上"/>
    <n v="0"/>
    <n v="1"/>
    <n v="0"/>
    <n v="0"/>
    <n v="1"/>
  </r>
  <r>
    <x v="0"/>
    <d v="2024-11-18T04:51:25"/>
    <s v="株式会社DIGIVALUE"/>
    <s v="平出優"/>
    <s v="1,001名以上"/>
    <n v="1"/>
    <n v="0"/>
    <n v="0"/>
    <n v="0"/>
    <n v="0"/>
  </r>
  <r>
    <x v="0"/>
    <d v="2024-12-10T09:35:00"/>
    <s v="タカラスタンダード株式会社"/>
    <s v="弓削　綾羽"/>
    <s v="100～300名以上"/>
    <n v="0"/>
    <n v="0"/>
    <n v="0"/>
    <n v="0"/>
    <n v="1"/>
  </r>
  <r>
    <x v="0"/>
    <d v="2024-12-16T10:11:00"/>
    <s v="株式会社テイクアンドギヴ・ニーズ"/>
    <s v="佐々木綾子"/>
    <s v="1,001名以上"/>
    <n v="1"/>
    <n v="0"/>
    <n v="1"/>
    <n v="0"/>
    <n v="0"/>
  </r>
  <r>
    <x v="0"/>
    <d v="2024-12-23T13:08:38"/>
    <s v="国際観光資源開発株式会社"/>
    <s v="伊東  栄"/>
    <s v="100～300名以上"/>
    <n v="0"/>
    <n v="0"/>
    <n v="1"/>
    <n v="0"/>
    <n v="1"/>
  </r>
  <r>
    <x v="0"/>
    <d v="2024-12-25T16:55:53"/>
    <s v="株式会社電広"/>
    <s v="松永　泰知"/>
    <s v="1,001名以上"/>
    <n v="0"/>
    <n v="0"/>
    <n v="0"/>
    <n v="0"/>
    <n v="1"/>
  </r>
  <r>
    <x v="0"/>
    <d v="2025-01-06T13:56:34"/>
    <s v="フジケン株式会社"/>
    <s v="佐藤　孝之"/>
    <s v="100～300名以上"/>
    <n v="0"/>
    <n v="1"/>
    <n v="0"/>
    <n v="0"/>
    <n v="0"/>
  </r>
  <r>
    <x v="0"/>
    <d v="2025-01-10T10:29:49"/>
    <s v="松山油脂株式会社"/>
    <s v="丸山夏輝"/>
    <s v="100～300名以上"/>
    <n v="1"/>
    <n v="1"/>
    <n v="1"/>
    <n v="0"/>
    <n v="1"/>
  </r>
  <r>
    <x v="0"/>
    <d v="2025-01-14T09:29:59"/>
    <s v="イッツ・コミュニケーションズ株式会社"/>
    <s v="上岡眞由美"/>
    <s v="501～1,000名以上"/>
    <n v="0"/>
    <n v="1"/>
    <n v="0"/>
    <n v="0"/>
    <n v="1"/>
  </r>
  <r>
    <x v="0"/>
    <d v="2025-01-14T09:39:26"/>
    <s v="ムサシハーベスト株式会社"/>
    <s v="小川　理恵"/>
    <s v="1,001名以上"/>
    <n v="0"/>
    <n v="0"/>
    <n v="0"/>
    <n v="0"/>
    <n v="1"/>
  </r>
  <r>
    <x v="0"/>
    <d v="2025-01-14T12:14:35"/>
    <s v="株式会社グルーヴ"/>
    <s v="是木唯"/>
    <s v="100～300名以上"/>
    <n v="0"/>
    <n v="0"/>
    <n v="1"/>
    <n v="0"/>
    <n v="1"/>
  </r>
  <r>
    <x v="0"/>
    <d v="2025-01-20T15:17:42"/>
    <s v="株式会社CyberACE"/>
    <s v="金澤 仁喜"/>
    <s v="100～300名以上"/>
    <n v="1"/>
    <n v="0"/>
    <n v="0"/>
    <n v="0"/>
    <n v="1"/>
  </r>
  <r>
    <x v="0"/>
    <d v="2025-01-24T09:16:27"/>
    <s v="オリンパスサポートメイト（株）"/>
    <s v="宮澤　弘"/>
    <s v="100～300名以上"/>
    <n v="0"/>
    <n v="0"/>
    <n v="0"/>
    <n v="0"/>
    <n v="1"/>
  </r>
  <r>
    <x v="1"/>
    <d v="2024-09-17T11:01:44"/>
    <s v="株式会社アルテック"/>
    <s v="森﨑愛結"/>
    <s v="～500着"/>
    <n v="0"/>
    <n v="1"/>
    <n v="0"/>
    <n v="0"/>
    <n v="0"/>
  </r>
  <r>
    <x v="1"/>
    <d v="2024-09-30T17:39:33"/>
    <s v="コーアツ工業株式会社"/>
    <s v="満留邦啓"/>
    <s v="～500着"/>
    <n v="0"/>
    <n v="1"/>
    <n v="0"/>
    <n v="0"/>
    <n v="0"/>
  </r>
  <r>
    <x v="1"/>
    <d v="2024-10-09T11:52:28"/>
    <s v="株式会社北四国グラビア印刷"/>
    <s v="大場綾菜"/>
    <s v="～500着"/>
    <n v="0"/>
    <n v="0"/>
    <n v="0"/>
    <n v="0"/>
    <n v="1"/>
  </r>
  <r>
    <x v="1"/>
    <d v="2024-10-10T07:21:38"/>
    <s v="株式会社屋部土建"/>
    <s v="比嘉忍"/>
    <s v="～500着"/>
    <n v="0"/>
    <n v="1"/>
    <n v="0"/>
    <n v="0"/>
    <n v="0"/>
  </r>
  <r>
    <x v="1"/>
    <d v="2024-10-10T16:09:18"/>
    <s v="株式会社ダイワハイテックス"/>
    <s v="矢内明歌"/>
    <s v="～500着"/>
    <n v="0"/>
    <n v="1"/>
    <n v="0"/>
    <n v="0"/>
    <n v="0"/>
  </r>
  <r>
    <x v="1"/>
    <d v="2024-10-28T09:26:19"/>
    <s v="株式会社　和真"/>
    <s v="渡邊　博行"/>
    <s v="～500着"/>
    <n v="0"/>
    <n v="1"/>
    <n v="1"/>
    <n v="0"/>
    <n v="1"/>
  </r>
  <r>
    <x v="1"/>
    <d v="2024-11-05T14:52:37"/>
    <s v="株式会社ドトールコーヒー"/>
    <s v="鈴木 ヒロミ"/>
    <s v="1000着以上"/>
    <n v="1"/>
    <n v="0"/>
    <n v="0"/>
    <n v="0"/>
    <n v="0"/>
  </r>
  <r>
    <x v="1"/>
    <d v="2024-11-06T15:34:59"/>
    <s v="株式会社広島ホームテレビ"/>
    <s v="國清 泰臣"/>
    <s v="～500着"/>
    <n v="0"/>
    <n v="0"/>
    <n v="1"/>
    <n v="0"/>
    <n v="1"/>
  </r>
  <r>
    <x v="1"/>
    <d v="2024-11-11T10:29:15"/>
    <s v="HARADA株式会社"/>
    <s v="藤田洋介"/>
    <s v="100～300名以上"/>
    <n v="0"/>
    <n v="1"/>
    <n v="0"/>
    <n v="0"/>
    <n v="1"/>
  </r>
  <r>
    <x v="1"/>
    <d v="2024-11-13T10:20:11"/>
    <s v="JVCケンウッドデザイン"/>
    <s v="有本拓也"/>
    <s v="100～300名以上"/>
    <n v="0"/>
    <n v="0"/>
    <n v="1"/>
    <n v="0"/>
    <n v="1"/>
  </r>
  <r>
    <x v="1"/>
    <d v="2024-11-15T18:02:28"/>
    <s v="株式会社レンズアソシエイツ"/>
    <s v="松井香澄"/>
    <s v="501～1,000名以上"/>
    <n v="0"/>
    <n v="1"/>
    <n v="0"/>
    <n v="0"/>
    <n v="1"/>
  </r>
  <r>
    <x v="1"/>
    <d v="2024-11-19T10:56:38"/>
    <s v="東洋商事株式会社"/>
    <s v="伊東祐一"/>
    <s v="501～1,000名以上"/>
    <n v="0"/>
    <n v="0"/>
    <n v="0"/>
    <n v="1"/>
    <n v="0"/>
  </r>
  <r>
    <x v="1"/>
    <d v="2024-11-19T15:38:50"/>
    <s v="株式会社タカミヤ"/>
    <s v="五島正紀"/>
    <s v="301～500名以上"/>
    <n v="0"/>
    <n v="0"/>
    <n v="0"/>
    <n v="1"/>
    <n v="0"/>
  </r>
  <r>
    <x v="1"/>
    <d v="2024-11-20T14:39:10"/>
    <s v="（株）ヒューテックノオリン　阿見営業所"/>
    <s v="峯村　一恵"/>
    <s v="100～300名以上"/>
    <n v="0"/>
    <n v="0"/>
    <n v="0"/>
    <n v="0"/>
    <n v="1"/>
  </r>
  <r>
    <x v="1"/>
    <d v="2024-11-27T10:00:35"/>
    <s v="株式会社グラセル"/>
    <s v="山田優花"/>
    <s v="100～300名以上"/>
    <n v="1"/>
    <n v="0"/>
    <n v="1"/>
    <n v="0"/>
    <n v="1"/>
  </r>
  <r>
    <x v="1"/>
    <d v="2024-11-27T11:54:41"/>
    <s v="コナミスポーツ株式会社"/>
    <s v="グランサイズ恵比寿ガーデン"/>
    <s v="100～300名以上"/>
    <n v="0"/>
    <n v="0"/>
    <n v="0"/>
    <n v="0"/>
    <n v="1"/>
  </r>
  <r>
    <x v="1"/>
    <d v="2024-11-27T14:49:45"/>
    <s v="株式会社ロッテ"/>
    <s v="加藤玲子"/>
    <s v="301～500名以上"/>
    <n v="0"/>
    <n v="1"/>
    <n v="0"/>
    <n v="0"/>
    <n v="0"/>
  </r>
  <r>
    <x v="1"/>
    <d v="2024-12-10T09:22:15"/>
    <s v="タカラスタンダード株式会社"/>
    <s v="弓削　綾羽"/>
    <s v="100～300名以上"/>
    <n v="0"/>
    <n v="0"/>
    <n v="0"/>
    <n v="0"/>
    <n v="1"/>
  </r>
  <r>
    <x v="1"/>
    <d v="2024-12-12T09:01:50"/>
    <s v="有限会社オーソライズ"/>
    <s v="田宮雄二"/>
    <s v="100～300名以上"/>
    <n v="0"/>
    <n v="0"/>
    <n v="0"/>
    <n v="0"/>
    <n v="1"/>
  </r>
  <r>
    <x v="1"/>
    <d v="2024-12-12T11:55:17"/>
    <s v="双日テックイノベーション株式会社"/>
    <s v="小山田 速生"/>
    <s v="100～300名以上"/>
    <n v="0"/>
    <n v="0"/>
    <n v="0"/>
    <n v="0"/>
    <n v="1"/>
  </r>
  <r>
    <x v="1"/>
    <d v="2024-12-16T19:17:40"/>
    <s v="x"/>
    <s v="x"/>
    <s v="100～300名以上"/>
    <n v="0"/>
    <n v="1"/>
    <n v="0"/>
    <n v="0"/>
    <n v="0"/>
  </r>
  <r>
    <x v="1"/>
    <d v="2024-12-16T19:18:35"/>
    <s v="EDUX"/>
    <s v="Edric"/>
    <s v="301～500名以上"/>
    <n v="0"/>
    <n v="1"/>
    <n v="0"/>
    <n v="0"/>
    <n v="0"/>
  </r>
  <r>
    <x v="1"/>
    <d v="2024-12-23T16:59:41"/>
    <s v="株式会社モデュレックス"/>
    <s v="森田大介"/>
    <s v="100～300名以上"/>
    <n v="0"/>
    <n v="1"/>
    <n v="0"/>
    <n v="0"/>
    <n v="1"/>
  </r>
  <r>
    <x v="1"/>
    <d v="2025-01-07T10:31:41"/>
    <s v="sheraton Grande Tokyo Bay Hotel"/>
    <s v="島津精一"/>
    <s v="100～300名以上"/>
    <n v="0"/>
    <n v="0"/>
    <n v="0"/>
    <n v="1"/>
    <n v="0"/>
  </r>
  <r>
    <x v="1"/>
    <d v="2025-01-10T14:02:38"/>
    <s v="株式会社ヤクルト本社西日本支店"/>
    <s v="高宮祐樹"/>
    <s v="100～300名以上"/>
    <n v="0"/>
    <n v="0"/>
    <n v="0"/>
    <n v="0"/>
    <n v="1"/>
  </r>
  <r>
    <x v="1"/>
    <d v="2025-01-21T09:10:10"/>
    <s v="長野県パトロール株式会社"/>
    <s v="土屋美穂"/>
    <s v="100～300名以上"/>
    <n v="0"/>
    <n v="0"/>
    <n v="0"/>
    <n v="1"/>
    <n v="0"/>
  </r>
  <r>
    <x v="2"/>
    <d v="2024-09-23T17:49:43"/>
    <s v="有限会社スズキワークス久留米"/>
    <s v="松尾徹"/>
    <s v="～500着"/>
    <n v="0"/>
    <n v="1"/>
    <n v="0"/>
    <n v="0"/>
    <n v="0"/>
  </r>
  <r>
    <x v="2"/>
    <d v="2024-09-26T20:30:14"/>
    <s v="株式会社ウェーブロック・アドバンスト・テクノロジー"/>
    <s v="森田崇嗣"/>
    <s v="～500着"/>
    <n v="1"/>
    <n v="1"/>
    <n v="0"/>
    <n v="0"/>
    <n v="0"/>
  </r>
  <r>
    <x v="2"/>
    <d v="2024-11-01T17:24:31"/>
    <s v="山一産業株式会社"/>
    <s v="桂田美紀"/>
    <s v="～500着"/>
    <n v="0"/>
    <n v="0"/>
    <n v="1"/>
    <n v="0"/>
    <n v="1"/>
  </r>
  <r>
    <x v="2"/>
    <d v="2024-11-06T17:48:41"/>
    <s v="㈱プレナス"/>
    <s v="赤木康孝"/>
    <s v="1000着以上"/>
    <n v="0"/>
    <n v="0"/>
    <n v="1"/>
    <n v="0"/>
    <n v="1"/>
  </r>
  <r>
    <x v="2"/>
    <d v="2024-11-07T17:16:28"/>
    <s v="株式会社Travel98Japan"/>
    <s v="小林恵美"/>
    <s v="～500着"/>
    <n v="0"/>
    <n v="1"/>
    <n v="1"/>
    <n v="0"/>
    <n v="1"/>
  </r>
  <r>
    <x v="2"/>
    <d v="2024-11-11T11:53:50"/>
    <s v="宮崎ガス株式会社"/>
    <s v="矢野幸男"/>
    <s v=" 100～300名以上"/>
    <n v="0"/>
    <n v="1"/>
    <n v="1"/>
    <n v="0"/>
    <n v="0"/>
  </r>
  <r>
    <x v="2"/>
    <d v="2024-11-12T13:14:47"/>
    <s v="株式会社ASUNG HMP"/>
    <s v="頭田良二"/>
    <s v=" 100～300名以上"/>
    <n v="1"/>
    <n v="0"/>
    <n v="1"/>
    <n v="0"/>
    <n v="1"/>
  </r>
  <r>
    <x v="2"/>
    <d v="2024-11-13T15:50:45"/>
    <s v="薄木亨"/>
    <s v="薄木亨"/>
    <s v=" 100～300名以上"/>
    <n v="0"/>
    <n v="1"/>
    <n v="0"/>
    <n v="0"/>
    <n v="0"/>
  </r>
  <r>
    <x v="2"/>
    <d v="2024-11-13T15:52:15"/>
    <s v="薄木亨"/>
    <s v="薄木亨"/>
    <s v=" 100～300名以上"/>
    <n v="0"/>
    <n v="1"/>
    <n v="0"/>
    <n v="0"/>
    <n v="0"/>
  </r>
  <r>
    <x v="2"/>
    <d v="2024-11-14T12:42:47"/>
    <s v="株式会社イルカ"/>
    <s v="渡邊貴夫"/>
    <s v=" 100～300名以上"/>
    <n v="0"/>
    <n v="0"/>
    <n v="1"/>
    <n v="0"/>
    <n v="1"/>
  </r>
  <r>
    <x v="2"/>
    <d v="2024-11-15T15:23:11"/>
    <s v="株式会社リアルゲイト"/>
    <s v="野口雪見"/>
    <s v=" 100～300名以上"/>
    <n v="0"/>
    <n v="0"/>
    <n v="1"/>
    <n v="0"/>
    <n v="1"/>
  </r>
  <r>
    <x v="2"/>
    <d v="2024-11-27T11:25:34"/>
    <s v="コナミスポーツ株式会社"/>
    <s v="山下　武"/>
    <s v=" 100～300名以上"/>
    <n v="0"/>
    <n v="0"/>
    <n v="0"/>
    <n v="0"/>
    <n v="1"/>
  </r>
  <r>
    <x v="2"/>
    <d v="2024-11-29T10:23:29"/>
    <s v="株式会社杢目金屋"/>
    <s v="宮原慶子"/>
    <s v=" 100～300名以上"/>
    <n v="0"/>
    <n v="0"/>
    <n v="1"/>
    <n v="0"/>
    <n v="1"/>
  </r>
  <r>
    <x v="2"/>
    <d v="2024-12-16T19:24:00"/>
    <s v="EDUX"/>
    <s v="edricko"/>
    <s v=" 501～1,000名以上"/>
    <n v="0"/>
    <n v="1"/>
    <n v="0"/>
    <n v="0"/>
    <n v="0"/>
  </r>
  <r>
    <x v="2"/>
    <d v="2024-12-27T10:07:58"/>
    <s v="近畿車輛株式会社"/>
    <s v="中村　悟"/>
    <s v=" 501～1,000名以上"/>
    <n v="1"/>
    <n v="0"/>
    <n v="0"/>
    <n v="0"/>
    <n v="0"/>
  </r>
  <r>
    <x v="2"/>
    <d v="2025-01-09T18:17:42"/>
    <s v="株式会社IDOM"/>
    <s v="鈴木能希"/>
    <s v=" 501～1,000名以上"/>
    <n v="0"/>
    <n v="0"/>
    <n v="1"/>
    <n v="0"/>
    <n v="1"/>
  </r>
  <r>
    <x v="2"/>
    <d v="2025-01-16T18:18:29"/>
    <s v="株式会社モンブラン"/>
    <s v="迫田直幸"/>
    <s v=" 100～300名以上"/>
    <n v="0"/>
    <n v="0"/>
    <n v="1"/>
    <n v="0"/>
    <n v="1"/>
  </r>
  <r>
    <x v="2"/>
    <d v="2025-01-20T21:45:09"/>
    <s v="Matcham."/>
    <s v="Hector Manthorpe."/>
    <s v=" 100～300名以上"/>
    <n v="0"/>
    <n v="1"/>
    <n v="0"/>
    <n v="0"/>
    <n v="0"/>
  </r>
  <r>
    <x v="2"/>
    <d v="2025-01-21T09:08:43"/>
    <s v="長野県パトロール株式会社"/>
    <s v="土屋美穂"/>
    <s v=" 100～300名以上"/>
    <n v="0"/>
    <n v="0"/>
    <n v="0"/>
    <n v="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21A993-5567-4D4B-867C-7023C30EBDBD}" name="ピボットテーブル5"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location ref="A3:F7" firstHeaderRow="0" firstDataRow="1" firstDataCol="1"/>
  <pivotFields count="10">
    <pivotField axis="axisRow" showAll="0">
      <items count="4">
        <item x="0"/>
        <item x="1"/>
        <item x="2"/>
        <item t="default"/>
      </items>
    </pivotField>
    <pivotField numFmtId="22" showAll="0"/>
    <pivotField showAll="0"/>
    <pivotField showAll="0"/>
    <pivotField showAll="0"/>
    <pivotField dataField="1" showAll="0"/>
    <pivotField dataField="1" showAll="0"/>
    <pivotField dataField="1" showAll="0"/>
    <pivotField dataField="1" showAll="0"/>
    <pivotField dataField="1" showAll="0"/>
  </pivotFields>
  <rowFields count="1">
    <field x="0"/>
  </rowFields>
  <rowItems count="4">
    <i>
      <x/>
    </i>
    <i>
      <x v="1"/>
    </i>
    <i>
      <x v="2"/>
    </i>
    <i t="grand">
      <x/>
    </i>
  </rowItems>
  <colFields count="1">
    <field x="-2"/>
  </colFields>
  <colItems count="5">
    <i>
      <x/>
    </i>
    <i i="1">
      <x v="1"/>
    </i>
    <i i="2">
      <x v="2"/>
    </i>
    <i i="3">
      <x v="3"/>
    </i>
    <i i="4">
      <x v="4"/>
    </i>
  </colItems>
  <dataFields count="5">
    <dataField name="合計 / direct" fld="5" baseField="0" baseItem="0"/>
    <dataField name="合計 / link" fld="6" baseField="0" baseItem="0"/>
    <dataField name="合計 / listing" fld="7" baseField="0" baseItem="0"/>
    <dataField name="合計 / mail" fld="8" baseField="0" baseItem="0"/>
    <dataField name="合計 / organic"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G7" dT="2025-01-24T07:42:59.08" personId="{D0471848-E893-4AD2-84FC-0B84431500FF}" id="{E62DAAE9-A3BD-44A9-ACB8-4F68B9EE828C}">
    <text>非ユニーク</text>
  </threadedComment>
  <threadedComment ref="H7" dT="2025-01-27T02:15:47.68" personId="{D0471848-E893-4AD2-84FC-0B84431500FF}" id="{7D823943-D277-49E7-B9F5-C86E02EE409B}">
    <text>ユニーク</text>
  </threadedComment>
  <threadedComment ref="I7" dT="2025-01-24T07:43:12.93" personId="{D0471848-E893-4AD2-84FC-0B84431500FF}" id="{B9D058C7-8E09-4458-B306-D93C4E870640}">
    <text>ユニーク</text>
  </threadedComment>
  <threadedComment ref="G8" dT="2025-01-24T07:56:07.61" personId="{D0471848-E893-4AD2-84FC-0B84431500FF}" id="{8F9A7C67-5BA8-45B1-B635-FFD931FC8E44}">
    <text>非ユニーク</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07D05-4672-4537-B978-23D6BE269D02}">
  <dimension ref="A3:O49"/>
  <sheetViews>
    <sheetView topLeftCell="A30" workbookViewId="0">
      <selection activeCell="C45" sqref="C45"/>
    </sheetView>
  </sheetViews>
  <sheetFormatPr defaultRowHeight="18.75"/>
  <cols>
    <col min="1" max="1" width="16.25" bestFit="1" customWidth="1"/>
    <col min="2" max="2" width="12.375" bestFit="1" customWidth="1"/>
    <col min="3" max="3" width="11.875" bestFit="1" customWidth="1"/>
    <col min="4" max="4" width="12.625" bestFit="1" customWidth="1"/>
    <col min="5" max="5" width="11.875" bestFit="1" customWidth="1"/>
    <col min="6" max="6" width="14" bestFit="1" customWidth="1"/>
    <col min="8" max="8" width="15" customWidth="1"/>
    <col min="9" max="9" width="12.625" customWidth="1"/>
    <col min="11" max="11" width="11.75" customWidth="1"/>
  </cols>
  <sheetData>
    <row r="3" spans="1:15">
      <c r="A3" s="1" t="s">
        <v>0</v>
      </c>
      <c r="B3" t="s">
        <v>1</v>
      </c>
      <c r="C3" t="s">
        <v>2</v>
      </c>
      <c r="D3" t="s">
        <v>3</v>
      </c>
      <c r="E3" t="s">
        <v>4</v>
      </c>
      <c r="F3" t="s">
        <v>5</v>
      </c>
      <c r="G3" s="6" t="s">
        <v>6</v>
      </c>
      <c r="H3" s="6" t="s">
        <v>7</v>
      </c>
      <c r="I3" s="10" t="s">
        <v>8</v>
      </c>
      <c r="J3" s="13" t="s">
        <v>9</v>
      </c>
      <c r="K3" s="13" t="s">
        <v>10</v>
      </c>
      <c r="L3" s="13" t="s">
        <v>11</v>
      </c>
      <c r="M3" s="13" t="s">
        <v>12</v>
      </c>
      <c r="N3" s="13" t="s">
        <v>13</v>
      </c>
      <c r="O3" s="13" t="s">
        <v>14</v>
      </c>
    </row>
    <row r="4" spans="1:15">
      <c r="A4" s="2" t="s">
        <v>15</v>
      </c>
      <c r="B4">
        <v>7</v>
      </c>
      <c r="C4">
        <v>9</v>
      </c>
      <c r="D4">
        <v>7</v>
      </c>
      <c r="E4">
        <v>0</v>
      </c>
      <c r="F4">
        <v>16</v>
      </c>
      <c r="G4" s="6">
        <f>SUM(B4:F4)</f>
        <v>39</v>
      </c>
      <c r="H4" s="6">
        <v>23</v>
      </c>
      <c r="I4" s="11">
        <v>9</v>
      </c>
      <c r="J4" s="13" cm="1">
        <f t="array" ref="J4">SUMPRODUCT((流入チャネル別顧客一覧_7月以降完全ユニークではない!$B:$B="お問い合わせ完了")*((流入チャネル別顧客一覧_7月以降完全ユニークではない!$K:$K="商談済み")+(流入チャネル別顧客一覧_7月以降完全ユニークではない!$K:$K="見積提出済み")+(流入チャネル別顧客一覧_7月以降完全ユニークではない!$K:$K="受注済み")))</f>
        <v>0</v>
      </c>
      <c r="K4" s="14">
        <f>J4/H4</f>
        <v>0</v>
      </c>
      <c r="L4" s="13" cm="1">
        <f t="array" ref="L4">SUMPRODUCT((流入チャネル別顧客一覧_7月以降完全ユニークではない!$B:$B="お問い合わせ完了")*(流入チャネル別顧客一覧_7月以降完全ユニークではない!$K:$K="見積提出済み"))</f>
        <v>0</v>
      </c>
      <c r="M4" s="14">
        <f>L4/H4</f>
        <v>0</v>
      </c>
      <c r="N4" s="13" cm="1">
        <f t="array" ref="N4">SUMPRODUCT((流入チャネル別顧客一覧_7月以降完全ユニークではない!$B:$B="お問い合わせ完了")*(流入チャネル別顧客一覧_7月以降完全ユニークではない!$K:$K="受注済み"))</f>
        <v>0</v>
      </c>
      <c r="O4" s="14">
        <f>N4/H4</f>
        <v>0</v>
      </c>
    </row>
    <row r="5" spans="1:15">
      <c r="A5" s="2" t="s">
        <v>16</v>
      </c>
      <c r="B5">
        <v>2</v>
      </c>
      <c r="C5">
        <v>11</v>
      </c>
      <c r="D5">
        <v>4</v>
      </c>
      <c r="E5">
        <v>4</v>
      </c>
      <c r="F5">
        <v>14</v>
      </c>
      <c r="G5" s="6">
        <f>SUM(B5:F5)</f>
        <v>35</v>
      </c>
      <c r="H5" s="6">
        <v>15</v>
      </c>
      <c r="I5" s="11">
        <v>1</v>
      </c>
      <c r="J5" s="13" cm="1">
        <f t="array" ref="J5">SUMPRODUCT((流入チャネル別顧客一覧_7月以降完全ユニークではない!$B:$B="お役立ち資料DL")*((流入チャネル別顧客一覧_7月以降完全ユニークではない!$K:$K="商談済み")+(流入チャネル別顧客一覧_7月以降完全ユニークではない!$K:$K="見積提出済み")+(流入チャネル別顧客一覧_7月以降完全ユニークではない!$K:$K="受注済み")))</f>
        <v>0</v>
      </c>
      <c r="K5" s="14">
        <f>J5/H5</f>
        <v>0</v>
      </c>
      <c r="L5" s="13" cm="1">
        <f t="array" ref="L5">SUMPRODUCT((流入チャネル別顧客一覧_7月以降完全ユニークではない!$B:$B="お役立ち資料DL")*(流入チャネル別顧客一覧_7月以降完全ユニークではない!$K:$K="見積提出済み"))</f>
        <v>0</v>
      </c>
      <c r="M5" s="14">
        <f>L5/H5</f>
        <v>0</v>
      </c>
      <c r="N5" s="13" cm="1">
        <f t="array" ref="N5">SUMPRODUCT((流入チャネル別顧客一覧_7月以降完全ユニークではない!$B:$B="お役立ち資料DL")*(流入チャネル別顧客一覧_7月以降完全ユニークではない!$K:$K="見積提出済み"))</f>
        <v>0</v>
      </c>
      <c r="O5" s="14">
        <f>N5/H5</f>
        <v>0</v>
      </c>
    </row>
    <row r="6" spans="1:15" ht="19.5" thickBot="1">
      <c r="A6" s="2" t="s">
        <v>17</v>
      </c>
      <c r="B6">
        <v>3</v>
      </c>
      <c r="C6">
        <v>8</v>
      </c>
      <c r="D6">
        <v>10</v>
      </c>
      <c r="E6">
        <v>1</v>
      </c>
      <c r="F6">
        <v>10</v>
      </c>
      <c r="G6" s="6">
        <f>SUM(B6:F6)</f>
        <v>32</v>
      </c>
      <c r="H6" s="6">
        <v>20</v>
      </c>
      <c r="I6" s="11">
        <v>4</v>
      </c>
      <c r="J6" s="13" cm="1">
        <f t="array" ref="J6">SUMPRODUCT((流入チャネル別顧客一覧_7月以降完全ユニークではない!$B:$B="サービス資料DL")*((流入チャネル別顧客一覧_7月以降完全ユニークではない!$K:$K="商談済み")+(流入チャネル別顧客一覧_7月以降完全ユニークではない!$K:$K="見積提出済み")+(流入チャネル別顧客一覧_7月以降完全ユニークではない!$K:$K="受注済み")))</f>
        <v>0</v>
      </c>
      <c r="K6" s="14">
        <f>J6/H6</f>
        <v>0</v>
      </c>
      <c r="L6" s="13" cm="1">
        <f t="array" ref="L6">SUMPRODUCT((流入チャネル別顧客一覧_7月以降完全ユニークではない!$B:$B="サービス資料DL")*(流入チャネル別顧客一覧_7月以降完全ユニークではない!$K:$K="見積提出済み"))</f>
        <v>0</v>
      </c>
      <c r="M6" s="14">
        <f>L6/H6</f>
        <v>0</v>
      </c>
      <c r="N6" s="13" cm="1">
        <f t="array" ref="N6">SUMPRODUCT((流入チャネル別顧客一覧_7月以降完全ユニークではない!$B:$B="サービス資料DL")*(流入チャネル別顧客一覧_7月以降完全ユニークではない!$K:$K="見積提出済み"))</f>
        <v>0</v>
      </c>
      <c r="O6" s="14">
        <f>N6/H6</f>
        <v>0</v>
      </c>
    </row>
    <row r="7" spans="1:15" ht="20.25" thickTop="1" thickBot="1">
      <c r="A7" s="2" t="s">
        <v>18</v>
      </c>
      <c r="B7">
        <v>12</v>
      </c>
      <c r="C7">
        <v>28</v>
      </c>
      <c r="D7">
        <v>21</v>
      </c>
      <c r="E7">
        <v>5</v>
      </c>
      <c r="F7">
        <v>40</v>
      </c>
      <c r="G7" s="6">
        <f>SUM(B7:F7)</f>
        <v>106</v>
      </c>
      <c r="H7" s="6">
        <f>SUM(H4:H6)</f>
        <v>58</v>
      </c>
      <c r="I7" s="12">
        <f>SUM(I4:I6)</f>
        <v>14</v>
      </c>
      <c r="J7" s="13">
        <f>SUM(J4:J6)</f>
        <v>0</v>
      </c>
      <c r="K7" s="14">
        <f>J7/H7</f>
        <v>0</v>
      </c>
      <c r="L7" s="13">
        <f>SUM(L4:L6)</f>
        <v>0</v>
      </c>
      <c r="M7" s="14">
        <f>L7/H7</f>
        <v>0</v>
      </c>
      <c r="N7" s="13">
        <f>SUM(N4:N6)</f>
        <v>0</v>
      </c>
      <c r="O7" s="14">
        <f>N7/H7</f>
        <v>0</v>
      </c>
    </row>
    <row r="8" spans="1:15" ht="19.5" thickTop="1">
      <c r="A8" s="10" t="s">
        <v>19</v>
      </c>
      <c r="B8" s="11">
        <v>4</v>
      </c>
      <c r="C8" s="11">
        <v>4</v>
      </c>
      <c r="D8" s="11">
        <v>5</v>
      </c>
      <c r="E8" s="11">
        <v>1</v>
      </c>
      <c r="F8" s="11">
        <v>9</v>
      </c>
      <c r="G8" s="6">
        <f>SUM(B8:F8)</f>
        <v>23</v>
      </c>
      <c r="H8" s="6"/>
    </row>
    <row r="10" spans="1:15">
      <c r="A10" s="4" t="s">
        <v>0</v>
      </c>
      <c r="B10" s="4" t="s">
        <v>1</v>
      </c>
      <c r="C10" s="4" t="s">
        <v>2</v>
      </c>
      <c r="D10" s="4" t="s">
        <v>3</v>
      </c>
      <c r="E10" s="4" t="s">
        <v>4</v>
      </c>
      <c r="F10" s="4" t="s">
        <v>5</v>
      </c>
    </row>
    <row r="11" spans="1:15">
      <c r="A11" t="s">
        <v>15</v>
      </c>
      <c r="B11" s="3">
        <f>GETPIVOTDATA("合計 / direct",$A3,"CVフラグ","お問い合わせ完了")/$G4</f>
        <v>0.17948717948717949</v>
      </c>
      <c r="C11" s="3">
        <f>GETPIVOTDATA("合計 / link",$A3,"CVフラグ","お問い合わせ完了")/$G4</f>
        <v>0.23076923076923078</v>
      </c>
      <c r="D11" s="3">
        <f>GETPIVOTDATA("合計 / listing",$A3,"CVフラグ","お問い合わせ完了")/$G4</f>
        <v>0.17948717948717949</v>
      </c>
      <c r="E11" s="3">
        <f>GETPIVOTDATA("合計 / mail",$A3,"CVフラグ","お問い合わせ完了")/$G4</f>
        <v>0</v>
      </c>
      <c r="F11" s="3">
        <f>GETPIVOTDATA("合計 / organic",$A3,"CVフラグ","お問い合わせ完了")/$G4</f>
        <v>0.41025641025641024</v>
      </c>
    </row>
    <row r="12" spans="1:15">
      <c r="A12" t="s">
        <v>20</v>
      </c>
      <c r="B12" s="3">
        <f>GETPIVOTDATA("合計 / direct",$A4,"CVフラグ","お役立ち資料DL")/$G5</f>
        <v>5.7142857142857141E-2</v>
      </c>
      <c r="C12" s="3">
        <f>GETPIVOTDATA("合計 / link",$A4,"CVフラグ","お役立ち資料DL")/$G5</f>
        <v>0.31428571428571428</v>
      </c>
      <c r="D12" s="3">
        <f>GETPIVOTDATA("合計 / listing",$A4,"CVフラグ","お役立ち資料DL")/$G5</f>
        <v>0.11428571428571428</v>
      </c>
      <c r="E12" s="3">
        <f>GETPIVOTDATA("合計 / mail",$A4,"CVフラグ","お役立ち資料DL")/$G5</f>
        <v>0.11428571428571428</v>
      </c>
      <c r="F12" s="3">
        <f>GETPIVOTDATA("合計 / organic",$A4,"CVフラグ","お役立ち資料DL")/$G5</f>
        <v>0.4</v>
      </c>
    </row>
    <row r="13" spans="1:15">
      <c r="A13" t="s">
        <v>21</v>
      </c>
      <c r="B13" s="3">
        <f>GETPIVOTDATA("合計 / direct",$A5,"CVフラグ","サービス資料DL")/$G6</f>
        <v>9.375E-2</v>
      </c>
      <c r="C13" s="3">
        <f>GETPIVOTDATA("合計 / link",$A5,"CVフラグ","サービス資料DL")/$G6</f>
        <v>0.25</v>
      </c>
      <c r="D13" s="3">
        <f>GETPIVOTDATA("合計 / listing",$A5,"CVフラグ","サービス資料DL")/$G6</f>
        <v>0.3125</v>
      </c>
      <c r="E13" s="3">
        <f>GETPIVOTDATA("合計 / mail",$A5,"CVフラグ","サービス資料DL")/$G6</f>
        <v>3.125E-2</v>
      </c>
      <c r="F13" s="3">
        <f>GETPIVOTDATA("合計 / organic",$A5,"CVフラグ","サービス資料DL")/$G6</f>
        <v>0.3125</v>
      </c>
    </row>
    <row r="14" spans="1:15">
      <c r="A14" s="4" t="s">
        <v>18</v>
      </c>
      <c r="B14" s="5">
        <f>GETPIVOTDATA("合計 / direct",$A$3)/$G7</f>
        <v>0.11320754716981132</v>
      </c>
      <c r="C14" s="5">
        <f>GETPIVOTDATA("合計 / link",$A$3)/$G7</f>
        <v>0.26415094339622641</v>
      </c>
      <c r="D14" s="5">
        <f>GETPIVOTDATA("合計 / listing",$A$3)/$G7</f>
        <v>0.19811320754716982</v>
      </c>
      <c r="E14" s="5">
        <f>GETPIVOTDATA("合計 / mail",$A$3)/$G7</f>
        <v>4.716981132075472E-2</v>
      </c>
      <c r="F14" s="5">
        <f>GETPIVOTDATA("合計 / organic",$A$3)/$G7</f>
        <v>0.37735849056603776</v>
      </c>
    </row>
    <row r="16" spans="1:15">
      <c r="A16" s="22" t="s">
        <v>22</v>
      </c>
      <c r="B16" s="22"/>
      <c r="C16" s="22"/>
      <c r="D16" s="22"/>
      <c r="E16" s="22"/>
      <c r="F16" s="22"/>
      <c r="G16" s="22"/>
      <c r="H16" s="22"/>
      <c r="I16" s="22"/>
      <c r="J16" s="22"/>
    </row>
    <row r="17" spans="1:11">
      <c r="A17" s="33"/>
      <c r="B17" s="29" t="s">
        <v>23</v>
      </c>
      <c r="C17" s="30" t="s">
        <v>24</v>
      </c>
      <c r="D17" s="24" t="s">
        <v>25</v>
      </c>
      <c r="E17" s="24" t="s">
        <v>26</v>
      </c>
      <c r="F17" s="24" t="s">
        <v>27</v>
      </c>
      <c r="G17" s="24" t="s">
        <v>28</v>
      </c>
      <c r="H17" s="24" t="s">
        <v>29</v>
      </c>
      <c r="I17" s="24" t="s">
        <v>30</v>
      </c>
      <c r="J17" s="26" t="s">
        <v>18</v>
      </c>
    </row>
    <row r="18" spans="1:11">
      <c r="A18" s="23" t="s">
        <v>31</v>
      </c>
      <c r="B18" s="31">
        <f>COUNTIFS('流入チャネル別顧客一覧（6月末まで）'!$A:$A,"入力画面: UN_お問合せ・ご相談",'流入チャネル別顧客一覧（6月末まで）'!H:H,1)</f>
        <v>1</v>
      </c>
      <c r="C18" s="31">
        <f>COUNTIFS('流入チャネル別顧客一覧（6月末まで）'!$A:$A,"入力画面: UN_お問合せ・ご相談",'流入チャネル別顧客一覧（6月末まで）'!I:I,1)</f>
        <v>2</v>
      </c>
      <c r="D18" s="23">
        <f>COUNTIFS('流入チャネル別顧客一覧（6月末まで）'!$A:$A,"入力画面: UN_お問合せ・ご相談",'流入チャネル別顧客一覧（6月末まで）'!J:J,1)</f>
        <v>14</v>
      </c>
      <c r="E18" s="23">
        <f>COUNTIFS('流入チャネル別顧客一覧（6月末まで）'!$A:$A,"入力画面: UN_お問合せ・ご相談",'流入チャネル別顧客一覧（6月末まで）'!K:K,1)</f>
        <v>23</v>
      </c>
      <c r="F18" s="23">
        <f>COUNTIFS('流入チャネル別顧客一覧（6月末まで）'!$A:$A,"入力画面: UN_お問合せ・ご相談",'流入チャネル別顧客一覧（6月末まで）'!L:L,1)</f>
        <v>18</v>
      </c>
      <c r="G18" s="23">
        <f>COUNTIFS('流入チャネル別顧客一覧（6月末まで）'!$A:$A,"入力画面: UN_お問合せ・ご相談",'流入チャネル別顧客一覧（6月末まで）'!M:M,1)</f>
        <v>0</v>
      </c>
      <c r="H18" s="23">
        <f>COUNTIFS('流入チャネル別顧客一覧（6月末まで）'!$A:$A,"入力画面: UN_お問合せ・ご相談",'流入チャネル別顧客一覧（6月末まで）'!N:N,1)</f>
        <v>21</v>
      </c>
      <c r="I18" s="23">
        <f>COUNTIFS('流入チャネル別顧客一覧（6月末まで）'!$A:$A,"入力画面: UN_お問合せ・ご相談",'流入チャネル別顧客一覧（6月末まで）'!O:O,1)</f>
        <v>6</v>
      </c>
      <c r="J18" s="25">
        <f>SUM(B18:I18)</f>
        <v>85</v>
      </c>
    </row>
    <row r="19" spans="1:11">
      <c r="A19" s="23" t="s">
        <v>32</v>
      </c>
      <c r="B19" s="31">
        <f>COUNTIFS('流入チャネル別顧客一覧（6月末まで）'!$A:$A,"入力画面: UN_WPダウンロードフォーム",'流入チャネル別顧客一覧（6月末まで）'!H:H,1)</f>
        <v>0</v>
      </c>
      <c r="C19" s="31">
        <f>COUNTIFS('流入チャネル別顧客一覧（6月末まで）'!$A:$A,"入力画面: UN_WPダウンロードフォーム",'流入チャネル別顧客一覧（6月末まで）'!I:I,1)</f>
        <v>5</v>
      </c>
      <c r="D19" s="23">
        <f>COUNTIFS('流入チャネル別顧客一覧（6月末まで）'!$A:$A,"入力画面: UN_WPダウンロードフォーム",'流入チャネル別顧客一覧（6月末まで）'!J:J,1)</f>
        <v>6</v>
      </c>
      <c r="E19" s="23">
        <f>COUNTIFS('流入チャネル別顧客一覧（6月末まで）'!$A:$A,"入力画面: UN_WPダウンロードフォーム",'流入チャネル別顧客一覧（6月末まで）'!K:K,1)</f>
        <v>21</v>
      </c>
      <c r="F19" s="23">
        <f>COUNTIFS('流入チャネル別顧客一覧（6月末まで）'!$A:$A,"入力画面: UN_WPダウンロードフォーム",'流入チャネル別顧客一覧（6月末まで）'!L:L,1)</f>
        <v>16</v>
      </c>
      <c r="G19" s="23">
        <f>COUNTIFS('流入チャネル別顧客一覧（6月末まで）'!$A:$A,"入力画面: UN_WPダウンロードフォーム",'流入チャネル別顧客一覧（6月末まで）'!M:M,1)</f>
        <v>10</v>
      </c>
      <c r="H19" s="23">
        <f>COUNTIFS('流入チャネル別顧客一覧（6月末まで）'!$A:$A,"入力画面: UN_WPダウンロードフォーム",'流入チャネル別顧客一覧（6月末まで）'!N:N,1)</f>
        <v>17</v>
      </c>
      <c r="I19" s="23">
        <f>COUNTIFS('流入チャネル別顧客一覧（6月末まで）'!$A:$A,"入力画面: UN_WPダウンロードフォーム",'流入チャネル別顧客一覧（6月末まで）'!O:O,1)</f>
        <v>1</v>
      </c>
      <c r="J19" s="25">
        <f>SUM(B19:I19)</f>
        <v>76</v>
      </c>
    </row>
    <row r="20" spans="1:11">
      <c r="A20" s="23" t="s">
        <v>33</v>
      </c>
      <c r="B20" s="31">
        <f>COUNTIFS('流入チャネル別顧客一覧（6月末まで）'!$A:$A,"入力画面: UN_資料ダウンロードフォーム",'流入チャネル別顧客一覧（6月末まで）'!H:H,1)</f>
        <v>0</v>
      </c>
      <c r="C20" s="31">
        <f>COUNTIFS('流入チャネル別顧客一覧（6月末まで）'!$A:$A,"入力画面: UN_資料ダウンロードフォーム",'流入チャネル別顧客一覧（6月末まで）'!I:I,1)</f>
        <v>2</v>
      </c>
      <c r="D20" s="23">
        <f>COUNTIFS('流入チャネル別顧客一覧（6月末まで）'!$A:$A,"入力画面: UN_資料ダウンロードフォーム",'流入チャネル別顧客一覧（6月末まで）'!J:J,1)</f>
        <v>14</v>
      </c>
      <c r="E20" s="23">
        <f>COUNTIFS('流入チャネル別顧客一覧（6月末まで）'!$A:$A,"入力画面: UN_資料ダウンロードフォーム",'流入チャネル別顧客一覧（6月末まで）'!K:K,1)</f>
        <v>18</v>
      </c>
      <c r="F20" s="23">
        <f>COUNTIFS('流入チャネル別顧客一覧（6月末まで）'!$A:$A,"入力画面: UN_資料ダウンロードフォーム",'流入チャネル別顧客一覧（6月末まで）'!L:L,1)</f>
        <v>25</v>
      </c>
      <c r="G20" s="23">
        <f>COUNTIFS('流入チャネル別顧客一覧（6月末まで）'!$A:$A,"入力画面: UN_資料ダウンロードフォーム",'流入チャネル別顧客一覧（6月末まで）'!M:M,1)</f>
        <v>2</v>
      </c>
      <c r="H20" s="23">
        <f>COUNTIFS('流入チャネル別顧客一覧（6月末まで）'!$A:$A,"入力画面: UN_資料ダウンロードフォーム",'流入チャネル別顧客一覧（6月末まで）'!N:N,1)</f>
        <v>20</v>
      </c>
      <c r="I20" s="23">
        <f>COUNTIFS('流入チャネル別顧客一覧（6月末まで）'!$A:$A,"入力画面: UN_資料ダウンロードフォーム",'流入チャネル別顧客一覧（6月末まで）'!O:O,1)</f>
        <v>1</v>
      </c>
      <c r="J20" s="25">
        <f>SUM(B20:I20)</f>
        <v>82</v>
      </c>
    </row>
    <row r="21" spans="1:11">
      <c r="A21" s="25" t="s">
        <v>18</v>
      </c>
      <c r="B21" s="32">
        <f>SUM(B18:B20)</f>
        <v>1</v>
      </c>
      <c r="C21" s="32">
        <f>SUM(C18:C20)</f>
        <v>9</v>
      </c>
      <c r="D21" s="25">
        <f t="shared" ref="D21:J21" si="0">SUM(D18:D20)</f>
        <v>34</v>
      </c>
      <c r="E21" s="25">
        <f t="shared" si="0"/>
        <v>62</v>
      </c>
      <c r="F21" s="25">
        <f t="shared" si="0"/>
        <v>59</v>
      </c>
      <c r="G21" s="25">
        <f t="shared" si="0"/>
        <v>12</v>
      </c>
      <c r="H21" s="25">
        <f t="shared" si="0"/>
        <v>58</v>
      </c>
      <c r="I21" s="25">
        <f t="shared" si="0"/>
        <v>8</v>
      </c>
      <c r="J21" s="25">
        <f t="shared" si="0"/>
        <v>243</v>
      </c>
    </row>
    <row r="23" spans="1:11">
      <c r="A23" s="22" t="s">
        <v>34</v>
      </c>
      <c r="B23" s="22"/>
      <c r="C23" s="22"/>
      <c r="D23" s="22"/>
      <c r="E23" s="22"/>
      <c r="F23" s="22"/>
      <c r="G23" s="22"/>
      <c r="H23" s="22"/>
      <c r="I23" s="22"/>
      <c r="J23" s="22"/>
    </row>
    <row r="24" spans="1:11" ht="25.5">
      <c r="A24" s="33"/>
      <c r="B24" s="29" t="s">
        <v>23</v>
      </c>
      <c r="C24" s="30" t="s">
        <v>24</v>
      </c>
      <c r="D24" s="24" t="s">
        <v>25</v>
      </c>
      <c r="E24" s="24" t="s">
        <v>26</v>
      </c>
      <c r="F24" s="24" t="s">
        <v>27</v>
      </c>
      <c r="G24" s="24" t="s">
        <v>28</v>
      </c>
      <c r="H24" s="24" t="s">
        <v>29</v>
      </c>
      <c r="I24" s="24" t="s">
        <v>30</v>
      </c>
      <c r="J24" s="38" t="s">
        <v>18</v>
      </c>
      <c r="K24" s="39" t="s">
        <v>35</v>
      </c>
    </row>
    <row r="25" spans="1:11">
      <c r="A25" s="23" t="s">
        <v>31</v>
      </c>
      <c r="B25" s="31">
        <f>COUNTIFS('流入チャネル別顧客一覧（6月末まで）'!$A:$A,"入力画面: UN_お問合せ・ご相談",流入チャネル別顧客一覧_7月以降完全ユニークではない!G:G,1)</f>
        <v>0</v>
      </c>
      <c r="C25" s="31">
        <f>COUNTIFS(流入チャネル別顧客一覧_7月以降完全ユニークではない!$B:$B,"入力画面: UN_お問合せ・ご相談",流入チャネル別顧客一覧_7月以降完全ユニークではない!H:H,1)</f>
        <v>2</v>
      </c>
      <c r="D25" s="23">
        <f>COUNTIFS(流入チャネル別顧客一覧_7月以降完全ユニークではない!$B:$B,"入力画面: UN_お問合せ・ご相談",流入チャネル別顧客一覧_7月以降完全ユニークではない!I:I,1)</f>
        <v>13</v>
      </c>
      <c r="E25" s="23">
        <f>COUNTIFS(流入チャネル別顧客一覧_7月以降完全ユニークではない!$B:$B,"入力画面: UN_お問合せ・ご相談",流入チャネル別顧客一覧_7月以降完全ユニークではない!J:J,1)</f>
        <v>16</v>
      </c>
      <c r="F25" s="23">
        <f>COUNTIFS(流入チャネル別顧客一覧_7月以降完全ユニークではない!$B:$B,"入力画面: UN_お問合せ・ご相談",流入チャネル別顧客一覧_7月以降完全ユニークではない!K:K,1)</f>
        <v>11</v>
      </c>
      <c r="G25" s="23">
        <f>COUNTIFS(流入チャネル別顧客一覧_7月以降完全ユニークではない!$B:$B,"入力画面: UN_お問合せ・ご相談",流入チャネル別顧客一覧_7月以降完全ユニークではない!L:L,1)</f>
        <v>0</v>
      </c>
      <c r="H25" s="23">
        <f>COUNTIFS(流入チャネル別顧客一覧_7月以降完全ユニークではない!$B:$B,"入力画面: UN_お問合せ・ご相談",流入チャネル別顧客一覧_7月以降完全ユニークではない!M:M,1)</f>
        <v>8</v>
      </c>
      <c r="I25" s="23">
        <f>COUNTIFS(流入チャネル別顧客一覧_7月以降完全ユニークではない!$B:$B,"入力画面: UN_お問合せ・ご相談",流入チャネル別顧客一覧_7月以降完全ユニークではない!N:N,1)</f>
        <v>5</v>
      </c>
      <c r="J25" s="34">
        <f>SUM(B25:I25)</f>
        <v>55</v>
      </c>
      <c r="K25" s="25">
        <f>COUNTIF(流入チャネル別顧客一覧_7月以降完全ユニークではない!B:B,"入力画面: UN_お問合せ・ご相談")</f>
        <v>175</v>
      </c>
    </row>
    <row r="26" spans="1:11">
      <c r="A26" s="23" t="s">
        <v>32</v>
      </c>
      <c r="B26" s="31">
        <f>COUNTIFS('流入チャネル別顧客一覧（6月末まで）'!$A:$A,"入力画面: UN_WPダウンロードフォーム",流入チャネル別顧客一覧_7月以降完全ユニークではない!G:G,1)</f>
        <v>0</v>
      </c>
      <c r="C26" s="31">
        <f>COUNTIFS(流入チャネル別顧客一覧_7月以降完全ユニークではない!$B:$B,"入力画面: UN_WPダウンロードフォーム",流入チャネル別顧客一覧_7月以降完全ユニークではない!H:H,1)</f>
        <v>4</v>
      </c>
      <c r="D26" s="23">
        <f>COUNTIFS(流入チャネル別顧客一覧_7月以降完全ユニークではない!$B:$B,"入力画面: UN_WPダウンロードフォーム",流入チャネル別顧客一覧_7月以降完全ユニークではない!I:I,1)</f>
        <v>5</v>
      </c>
      <c r="E26" s="23">
        <f>COUNTIFS(流入チャネル別顧客一覧_7月以降完全ユニークではない!$B:$B,"入力画面: UN_WPダウンロードフォーム",流入チャネル別顧客一覧_7月以降完全ユニークではない!J:J,1)</f>
        <v>14</v>
      </c>
      <c r="F26" s="23">
        <f>COUNTIFS(流入チャネル別顧客一覧_7月以降完全ユニークではない!$B:$B,"入力画面: UN_WPダウンロードフォーム",流入チャネル別顧客一覧_7月以降完全ユニークではない!K:K,1)</f>
        <v>12</v>
      </c>
      <c r="G26" s="23">
        <f>COUNTIFS(流入チャネル別顧客一覧_7月以降完全ユニークではない!$B:$B,"入力画面: UN_WPダウンロードフォーム",流入チャネル別顧客一覧_7月以降完全ユニークではない!L:L,1)</f>
        <v>8</v>
      </c>
      <c r="H26" s="23">
        <f>COUNTIFS(流入チャネル別顧客一覧_7月以降完全ユニークではない!$B:$B,"入力画面: UN_WPダウンロードフォーム",流入チャネル別顧客一覧_7月以降完全ユニークではない!M:M,1)</f>
        <v>7</v>
      </c>
      <c r="I26" s="23">
        <f>COUNTIFS(流入チャネル別顧客一覧_7月以降完全ユニークではない!$B:$B,"入力画面: UN_WPダウンロードフォーム",流入チャネル別顧客一覧_7月以降完全ユニークではない!N:N,1)</f>
        <v>0</v>
      </c>
      <c r="J26" s="34">
        <f>SUM(B26:I26)</f>
        <v>50</v>
      </c>
      <c r="K26" s="25">
        <f>COUNTIF(流入チャネル別顧客一覧_7月以降完全ユニークではない!B:B,"入力画面: UN_WPダウンロードフォーム")</f>
        <v>57</v>
      </c>
    </row>
    <row r="27" spans="1:11">
      <c r="A27" s="23" t="s">
        <v>33</v>
      </c>
      <c r="B27" s="31">
        <f>COUNTIFS('流入チャネル別顧客一覧（6月末まで）'!$A:$A,"入力画面: UN_資料ダウンロードフォーム",流入チャネル別顧客一覧_7月以降完全ユニークではない!G:G,1)</f>
        <v>1</v>
      </c>
      <c r="C27" s="31">
        <f>COUNTIFS(流入チャネル別顧客一覧_7月以降完全ユニークではない!$B:$B,"入力画面: UN_資料ダウンロードフォーム",流入チャネル別顧客一覧_7月以降完全ユニークではない!H:H,1)</f>
        <v>2</v>
      </c>
      <c r="D27" s="23">
        <f>COUNTIFS(流入チャネル別顧客一覧_7月以降完全ユニークではない!$B:$B,"入力画面: UN_資料ダウンロードフォーム",流入チャネル別顧客一覧_7月以降完全ユニークではない!I:I,1)</f>
        <v>9</v>
      </c>
      <c r="E27" s="23">
        <f>COUNTIFS(流入チャネル別顧客一覧_7月以降完全ユニークではない!$B:$B,"入力画面: UN_資料ダウンロードフォーム",流入チャネル別顧客一覧_7月以降完全ユニークではない!J:J,1)</f>
        <v>9</v>
      </c>
      <c r="F27" s="23">
        <f>COUNTIFS(流入チャネル別顧客一覧_7月以降完全ユニークではない!$B:$B,"入力画面: UN_資料ダウンロードフォーム",流入チャネル別顧客一覧_7月以降完全ユニークではない!K:K,1)</f>
        <v>17</v>
      </c>
      <c r="G27" s="23">
        <f>COUNTIFS(流入チャネル別顧客一覧_7月以降完全ユニークではない!$B:$B,"入力画面: UN_資料ダウンロードフォーム",流入チャネル別顧客一覧_7月以降完全ユニークではない!L:L,1)</f>
        <v>0</v>
      </c>
      <c r="H27" s="23">
        <f>COUNTIFS(流入チャネル別顧客一覧_7月以降完全ユニークではない!$B:$B,"入力画面: UN_資料ダウンロードフォーム",流入チャネル別顧客一覧_7月以降完全ユニークではない!M:M,1)</f>
        <v>6</v>
      </c>
      <c r="I27" s="23">
        <f>COUNTIFS(流入チャネル別顧客一覧_7月以降完全ユニークではない!$B:$B,"入力画面: UN_資料ダウンロードフォーム",流入チャネル別顧客一覧_7月以降完全ユニークではない!N:N,1)</f>
        <v>0</v>
      </c>
      <c r="J27" s="34">
        <f>SUM(B27:I27)</f>
        <v>44</v>
      </c>
      <c r="K27" s="25">
        <f>COUNTIF(流入チャネル別顧客一覧_7月以降完全ユニークではない!B:B,"入力画面: UN_資料ダウンロードフォーム")</f>
        <v>128</v>
      </c>
    </row>
    <row r="28" spans="1:11">
      <c r="A28" s="25" t="s">
        <v>18</v>
      </c>
      <c r="B28" s="32">
        <f t="shared" ref="B28:K28" si="1">SUM(B25:B27)</f>
        <v>1</v>
      </c>
      <c r="C28" s="32">
        <f t="shared" si="1"/>
        <v>8</v>
      </c>
      <c r="D28" s="25">
        <f t="shared" si="1"/>
        <v>27</v>
      </c>
      <c r="E28" s="25">
        <f t="shared" si="1"/>
        <v>39</v>
      </c>
      <c r="F28" s="25">
        <f t="shared" si="1"/>
        <v>40</v>
      </c>
      <c r="G28" s="25">
        <f t="shared" si="1"/>
        <v>8</v>
      </c>
      <c r="H28" s="25">
        <f t="shared" si="1"/>
        <v>21</v>
      </c>
      <c r="I28" s="25">
        <f t="shared" si="1"/>
        <v>5</v>
      </c>
      <c r="J28" s="34">
        <f t="shared" si="1"/>
        <v>149</v>
      </c>
      <c r="K28" s="25">
        <f t="shared" si="1"/>
        <v>360</v>
      </c>
    </row>
    <row r="30" spans="1:11">
      <c r="A30" t="s">
        <v>36</v>
      </c>
      <c r="B30" t="s">
        <v>37</v>
      </c>
      <c r="C30" t="s">
        <v>38</v>
      </c>
    </row>
    <row r="31" spans="1:11">
      <c r="A31" s="28" t="s">
        <v>18</v>
      </c>
      <c r="B31" s="34" t="e">
        <f>SUM(B32:B49)</f>
        <v>#REF!</v>
      </c>
      <c r="C31" s="25">
        <f>SUM(C32:C49)</f>
        <v>318</v>
      </c>
    </row>
    <row r="32" spans="1:11">
      <c r="A32" s="27">
        <v>45536</v>
      </c>
      <c r="B32" s="35" t="e">
        <f>COUNTIFS(流入チャネル別顧客一覧_7月以降完全ユニークではない!$O:$O,"2024-09",流入チャネル別顧客一覧_7月以降完全ユニークではない!#REF!,1)</f>
        <v>#REF!</v>
      </c>
      <c r="C32" s="23">
        <f>COUNTIF(流入チャネル別顧客一覧_7月以降完全ユニークではない!$O:$O,A32)</f>
        <v>3</v>
      </c>
    </row>
    <row r="33" spans="1:3">
      <c r="A33" s="27">
        <v>45566</v>
      </c>
      <c r="B33" s="35" t="e">
        <f>COUNTIFS(流入チャネル別顧客一覧_7月以降完全ユニークではない!$O:$O,"2024-10",流入チャネル別顧客一覧_7月以降完全ユニークではない!#REF!,1)</f>
        <v>#REF!</v>
      </c>
      <c r="C33" s="23">
        <f>COUNTIF(流入チャネル別顧客一覧_7月以降完全ユニークではない!$O:$O,A33)</f>
        <v>7</v>
      </c>
    </row>
    <row r="34" spans="1:3">
      <c r="A34" s="27">
        <v>45597</v>
      </c>
      <c r="B34" s="35" t="e">
        <f>COUNTIFS(流入チャネル別顧客一覧_7月以降完全ユニークではない!$O:$O,"2024-11",流入チャネル別顧客一覧_7月以降完全ユニークではない!#REF!,1)</f>
        <v>#REF!</v>
      </c>
      <c r="C34" s="23">
        <f>COUNTIF(流入チャネル別顧客一覧_7月以降完全ユニークではない!$O:$O,A34)</f>
        <v>25</v>
      </c>
    </row>
    <row r="35" spans="1:3">
      <c r="A35" s="27">
        <v>45627</v>
      </c>
      <c r="B35" s="35" t="e">
        <f>COUNTIFS(流入チャネル別顧客一覧_7月以降完全ユニークではない!$O:$O,"2024-12",流入チャネル別顧客一覧_7月以降完全ユニークではない!#REF!,1)</f>
        <v>#REF!</v>
      </c>
      <c r="C35" s="23">
        <f>COUNTIF(流入チャネル別顧客一覧_7月以降完全ユニークではない!$O:$O,A35)</f>
        <v>10</v>
      </c>
    </row>
    <row r="36" spans="1:3">
      <c r="A36" s="27">
        <v>45658</v>
      </c>
      <c r="B36" s="35" t="e">
        <f>COUNTIFS(流入チャネル別顧客一覧_7月以降完全ユニークではない!$O:$O,"2025-01",流入チャネル別顧客一覧_7月以降完全ユニークではない!#REF!,1)</f>
        <v>#REF!</v>
      </c>
      <c r="C36" s="23">
        <f>COUNTIF(流入チャネル別顧客一覧_7月以降完全ユニークではない!$O:$O,A36)</f>
        <v>16</v>
      </c>
    </row>
    <row r="37" spans="1:3">
      <c r="A37" s="27">
        <v>45689</v>
      </c>
      <c r="B37" s="35" t="e">
        <f>COUNTIFS(流入チャネル別顧客一覧_7月以降完全ユニークではない!$O:$O,"2025-02",流入チャネル別顧客一覧_7月以降完全ユニークではない!#REF!,1)</f>
        <v>#REF!</v>
      </c>
      <c r="C37" s="23">
        <f>COUNTIF(流入チャネル別顧客一覧_7月以降完全ユニークではない!$O:$O,A37)</f>
        <v>18</v>
      </c>
    </row>
    <row r="38" spans="1:3">
      <c r="A38" s="27">
        <v>45717</v>
      </c>
      <c r="B38" s="35" t="e">
        <f>COUNTIFS(流入チャネル別顧客一覧_7月以降完全ユニークではない!$O:$O,"2025-03",流入チャネル別顧客一覧_7月以降完全ユニークではない!#REF!,1)</f>
        <v>#REF!</v>
      </c>
      <c r="C38" s="23">
        <f>COUNTIF(流入チャネル別顧客一覧_7月以降完全ユニークではない!$O:$O,A38)</f>
        <v>19</v>
      </c>
    </row>
    <row r="39" spans="1:3">
      <c r="A39" s="27">
        <v>45748</v>
      </c>
      <c r="B39" s="35" t="e">
        <f>COUNTIFS(流入チャネル別顧客一覧_7月以降完全ユニークではない!$O:$O,"2025-04",流入チャネル別顧客一覧_7月以降完全ユニークではない!#REF!,1)</f>
        <v>#REF!</v>
      </c>
      <c r="C39" s="23">
        <f>COUNTIF(流入チャネル別顧客一覧_7月以降完全ユニークではない!$O:$O,A39)</f>
        <v>20</v>
      </c>
    </row>
    <row r="40" spans="1:3">
      <c r="A40" s="27">
        <v>45778</v>
      </c>
      <c r="B40" s="35" t="e">
        <f>COUNTIFS(流入チャネル別顧客一覧_7月以降完全ユニークではない!$O:$O,"2025-05",流入チャネル別顧客一覧_7月以降完全ユニークではない!#REF!,1)</f>
        <v>#REF!</v>
      </c>
      <c r="C40" s="23">
        <f>COUNTIF(流入チャネル別顧客一覧_7月以降完全ユニークではない!$O:$O,A40)</f>
        <v>14</v>
      </c>
    </row>
    <row r="41" spans="1:3">
      <c r="A41" s="27">
        <v>45809</v>
      </c>
      <c r="B41" s="35" t="e">
        <f>COUNTIFS(流入チャネル別顧客一覧_7月以降完全ユニークではない!$O:$O,"2025-06",流入チャネル別顧客一覧_7月以降完全ユニークではない!#REF!,1)</f>
        <v>#REF!</v>
      </c>
      <c r="C41" s="23">
        <f>COUNTIF(流入チャネル別顧客一覧_7月以降完全ユニークではない!$O:$O,A41)</f>
        <v>17</v>
      </c>
    </row>
    <row r="42" spans="1:3">
      <c r="A42" s="27">
        <v>45839</v>
      </c>
      <c r="B42" s="35" t="e">
        <f>COUNTIFS(流入チャネル別顧客一覧_7月以降完全ユニークではない!$O:$O,"2025-07",流入チャネル別顧客一覧_7月以降完全ユニークではない!#REF!,1)</f>
        <v>#REF!</v>
      </c>
      <c r="C42" s="23">
        <f>COUNTIF(流入チャネル別顧客一覧_7月以降完全ユニークではない!$O:$O,A42)</f>
        <v>45</v>
      </c>
    </row>
    <row r="43" spans="1:3">
      <c r="A43" s="27">
        <v>45870</v>
      </c>
      <c r="B43" s="35" t="e">
        <f>COUNTIFS(流入チャネル別顧客一覧_7月以降完全ユニークではない!$O:$O,"2025-08",流入チャネル別顧客一覧_7月以降完全ユニークではない!#REF!,1)</f>
        <v>#REF!</v>
      </c>
      <c r="C43" s="23">
        <f>COUNTIF(流入チャネル別顧客一覧_7月以降完全ユニークではない!$O:$O,A43)</f>
        <v>33</v>
      </c>
    </row>
    <row r="44" spans="1:3">
      <c r="A44" s="27">
        <v>45901</v>
      </c>
      <c r="B44" s="35" t="e">
        <f>COUNTIFS(流入チャネル別顧客一覧_7月以降完全ユニークではない!$O:$O,"2025-09",流入チャネル別顧客一覧_7月以降完全ユニークではない!#REF!,1)</f>
        <v>#REF!</v>
      </c>
      <c r="C44" s="23">
        <f>COUNTIF(流入チャネル別顧客一覧_7月以降完全ユニークではない!$O:$O,A44)</f>
        <v>30</v>
      </c>
    </row>
    <row r="45" spans="1:3">
      <c r="A45" s="27">
        <v>45931</v>
      </c>
      <c r="B45" s="35" t="e">
        <f>COUNTIFS(流入チャネル別顧客一覧_7月以降完全ユニークではない!$O:$O,"2025-10",流入チャネル別顧客一覧_7月以降完全ユニークではない!#REF!,1)</f>
        <v>#REF!</v>
      </c>
      <c r="C45" s="23">
        <f>COUNTIF(流入チャネル別顧客一覧_7月以降完全ユニークではない!$O:$O,A45)</f>
        <v>19</v>
      </c>
    </row>
    <row r="46" spans="1:3">
      <c r="A46" s="27">
        <v>45962</v>
      </c>
      <c r="B46" s="35" t="e">
        <f>COUNTIFS(流入チャネル別顧客一覧_7月以降完全ユニークではない!$O:$O,"2025-11",流入チャネル別顧客一覧_7月以降完全ユニークではない!#REF!,1)</f>
        <v>#REF!</v>
      </c>
      <c r="C46" s="23">
        <f>COUNTIF(流入チャネル別顧客一覧_7月以降完全ユニークではない!$O:$O,A46)</f>
        <v>23</v>
      </c>
    </row>
    <row r="47" spans="1:3">
      <c r="A47" s="27">
        <v>45992</v>
      </c>
      <c r="B47" s="35" t="e">
        <f>COUNTIFS(流入チャネル別顧客一覧_7月以降完全ユニークではない!$O:$O,"2025-12",流入チャネル別顧客一覧_7月以降完全ユニークではない!#REF!,1)</f>
        <v>#REF!</v>
      </c>
      <c r="C47" s="23">
        <f>COUNTIF(流入チャネル別顧客一覧_7月以降完全ユニークではない!$O:$O,A47)</f>
        <v>14</v>
      </c>
    </row>
    <row r="48" spans="1:3">
      <c r="A48" s="27">
        <v>46023</v>
      </c>
      <c r="B48" s="35" t="e">
        <f>COUNTIFS(流入チャネル別顧客一覧_7月以降完全ユニークではない!$O:$O,"2026-01",流入チャネル別顧客一覧_7月以降完全ユニークではない!#REF!,1)</f>
        <v>#REF!</v>
      </c>
      <c r="C48" s="23">
        <f>COUNTIF(流入チャネル別顧客一覧_7月以降完全ユニークではない!$O:$O,A48)</f>
        <v>5</v>
      </c>
    </row>
    <row r="49" spans="1:3">
      <c r="A49" s="27">
        <v>46054</v>
      </c>
      <c r="B49" s="35" t="e">
        <f>COUNTIFS(流入チャネル別顧客一覧_7月以降完全ユニークではない!$O:$O,"2026-02",流入チャネル別顧客一覧_7月以降完全ユニークではない!#REF!,1)</f>
        <v>#REF!</v>
      </c>
      <c r="C49" s="23">
        <f>COUNTIF(流入チャネル別顧客一覧_7月以降完全ユニークではない!$O:$O,A49)</f>
        <v>0</v>
      </c>
    </row>
  </sheetData>
  <phoneticPr fontId="18"/>
  <pageMargins left="0.7" right="0.7" top="0.75" bottom="0.75" header="0.3" footer="0.3"/>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A3BB9-FE36-4E3D-967A-8BE207336E73}">
  <sheetPr>
    <tabColor rgb="FF92D050"/>
  </sheetPr>
  <dimension ref="A1:U425"/>
  <sheetViews>
    <sheetView tabSelected="1" zoomScale="70" zoomScaleNormal="70" workbookViewId="0">
      <pane xSplit="2" ySplit="1" topLeftCell="C2" activePane="bottomRight" state="frozen"/>
      <selection pane="topRight"/>
      <selection pane="bottomLeft"/>
      <selection pane="bottomRight" activeCell="B1" sqref="B1"/>
    </sheetView>
  </sheetViews>
  <sheetFormatPr defaultColWidth="9" defaultRowHeight="15.75" customHeight="1"/>
  <cols>
    <col min="1" max="1" width="4.5" customWidth="1"/>
    <col min="2" max="2" width="50" style="46" customWidth="1"/>
    <col min="3" max="3" width="21.125" style="58" customWidth="1"/>
    <col min="4" max="4" width="27.875" style="46" customWidth="1"/>
    <col min="5" max="5" width="12.375" style="46" customWidth="1"/>
    <col min="6" max="6" width="25.625" style="46" customWidth="1"/>
    <col min="7" max="7" width="12.5" style="46" hidden="1" customWidth="1"/>
    <col min="8" max="8" width="13.875" style="46" hidden="1" customWidth="1"/>
    <col min="9" max="15" width="9" style="46" hidden="1" customWidth="1"/>
    <col min="16" max="17" width="13.75" style="49" customWidth="1"/>
    <col min="18" max="18" width="11.75" style="49" bestFit="1" customWidth="1"/>
    <col min="19" max="19" width="43.5" style="46" customWidth="1"/>
    <col min="20" max="20" width="17" bestFit="1" customWidth="1"/>
  </cols>
  <sheetData>
    <row r="1" spans="2:20" ht="18.75">
      <c r="B1" s="44" t="s">
        <v>39</v>
      </c>
      <c r="C1" s="45" t="s">
        <v>40</v>
      </c>
      <c r="D1" s="44" t="s">
        <v>3261</v>
      </c>
      <c r="E1" s="44" t="s">
        <v>44</v>
      </c>
      <c r="F1" s="44" t="s">
        <v>45</v>
      </c>
      <c r="G1" s="44" t="s">
        <v>23</v>
      </c>
      <c r="H1" s="44" t="s">
        <v>24</v>
      </c>
      <c r="I1" s="44" t="s">
        <v>25</v>
      </c>
      <c r="J1" s="44" t="s">
        <v>26</v>
      </c>
      <c r="K1" s="44" t="s">
        <v>27</v>
      </c>
      <c r="L1" s="44" t="s">
        <v>28</v>
      </c>
      <c r="M1" s="44" t="s">
        <v>29</v>
      </c>
      <c r="N1" s="44" t="s">
        <v>30</v>
      </c>
      <c r="P1" s="47" t="s">
        <v>46</v>
      </c>
      <c r="Q1" s="47" t="s">
        <v>47</v>
      </c>
      <c r="R1" s="48" t="s">
        <v>48</v>
      </c>
      <c r="S1" s="46" t="s">
        <v>49</v>
      </c>
      <c r="T1" t="s">
        <v>50</v>
      </c>
    </row>
    <row r="2" spans="2:20" ht="18.75">
      <c r="B2" s="44" t="s">
        <v>51</v>
      </c>
      <c r="C2" s="45">
        <v>45552.459027777775</v>
      </c>
      <c r="D2" s="44" t="s">
        <v>53</v>
      </c>
      <c r="E2" s="44" t="s">
        <v>55</v>
      </c>
      <c r="F2" s="44" t="s">
        <v>26</v>
      </c>
      <c r="G2" s="44"/>
      <c r="H2" s="44">
        <v>0</v>
      </c>
      <c r="I2" s="44">
        <v>0</v>
      </c>
      <c r="J2" s="44">
        <v>1</v>
      </c>
      <c r="K2" s="44">
        <v>0</v>
      </c>
      <c r="L2" s="44">
        <v>0</v>
      </c>
      <c r="M2" s="44">
        <v>0</v>
      </c>
      <c r="N2" s="44">
        <v>0</v>
      </c>
      <c r="O2" s="46" t="str">
        <f t="shared" ref="O2:O65" si="0">TEXT(C2, "yyyy-mm")</f>
        <v>2024-09</v>
      </c>
      <c r="T2">
        <f>COUNTIF('UN｜CVレポート'!H:H,流入チャネル別顧客一覧_7月以降完全ユニークではない!#REF!)</f>
        <v>0</v>
      </c>
    </row>
    <row r="3" spans="2:20" ht="18.75">
      <c r="B3" s="44" t="s">
        <v>56</v>
      </c>
      <c r="C3" s="45">
        <v>45558.752083333333</v>
      </c>
      <c r="D3" s="44" t="s">
        <v>58</v>
      </c>
      <c r="E3" s="44" t="s">
        <v>55</v>
      </c>
      <c r="F3" s="44" t="s">
        <v>26</v>
      </c>
      <c r="G3" s="44"/>
      <c r="H3" s="44">
        <v>0</v>
      </c>
      <c r="I3" s="44">
        <v>0</v>
      </c>
      <c r="J3" s="44">
        <v>1</v>
      </c>
      <c r="K3" s="44">
        <v>0</v>
      </c>
      <c r="L3" s="44">
        <v>0</v>
      </c>
      <c r="M3" s="44">
        <v>0</v>
      </c>
      <c r="N3" s="44">
        <v>0</v>
      </c>
      <c r="O3" s="46" t="str">
        <f t="shared" si="0"/>
        <v>2024-09</v>
      </c>
      <c r="T3">
        <f>COUNTIF('UN｜CVレポート'!H:H,流入チャネル別顧客一覧_7月以降完全ユニークではない!#REF!)</f>
        <v>0</v>
      </c>
    </row>
    <row r="4" spans="2:20" ht="18.75">
      <c r="B4" s="44" t="s">
        <v>51</v>
      </c>
      <c r="C4" s="45">
        <v>45565.73541666667</v>
      </c>
      <c r="D4" s="44" t="s">
        <v>61</v>
      </c>
      <c r="E4" s="44" t="s">
        <v>55</v>
      </c>
      <c r="F4" s="44" t="s">
        <v>25</v>
      </c>
      <c r="G4" s="44"/>
      <c r="H4" s="44">
        <v>0</v>
      </c>
      <c r="I4" s="44">
        <v>1</v>
      </c>
      <c r="J4" s="44">
        <v>0</v>
      </c>
      <c r="K4" s="44">
        <v>0</v>
      </c>
      <c r="L4" s="44">
        <v>0</v>
      </c>
      <c r="M4" s="44">
        <v>0</v>
      </c>
      <c r="N4" s="44">
        <v>0</v>
      </c>
      <c r="O4" s="46" t="str">
        <f t="shared" si="0"/>
        <v>2024-09</v>
      </c>
      <c r="T4">
        <f>COUNTIF('UN｜CVレポート'!H:H,流入チャネル別顧客一覧_7月以降完全ユニークではない!#REF!)</f>
        <v>0</v>
      </c>
    </row>
    <row r="5" spans="2:20" ht="18.75">
      <c r="B5" s="44" t="s">
        <v>56</v>
      </c>
      <c r="C5" s="45">
        <v>45566.593055555553</v>
      </c>
      <c r="D5" s="50" t="s">
        <v>64</v>
      </c>
      <c r="E5" s="44" t="s">
        <v>55</v>
      </c>
      <c r="F5" s="44" t="s">
        <v>25</v>
      </c>
      <c r="G5" s="44"/>
      <c r="H5" s="44">
        <v>0</v>
      </c>
      <c r="I5" s="44">
        <v>1</v>
      </c>
      <c r="J5" s="44">
        <v>0</v>
      </c>
      <c r="K5" s="44">
        <v>0</v>
      </c>
      <c r="L5" s="44">
        <v>0</v>
      </c>
      <c r="M5" s="44">
        <v>0</v>
      </c>
      <c r="N5" s="44">
        <v>0</v>
      </c>
      <c r="O5" s="46" t="str">
        <f t="shared" si="0"/>
        <v>2024-10</v>
      </c>
      <c r="P5" s="49">
        <v>45566</v>
      </c>
      <c r="Q5" s="49">
        <v>45597</v>
      </c>
      <c r="T5">
        <f>COUNTIF('UN｜CVレポート'!H:H,流入チャネル別顧客一覧_7月以降完全ユニークではない!#REF!)</f>
        <v>0</v>
      </c>
    </row>
    <row r="6" spans="2:20" ht="18.75">
      <c r="B6" s="44" t="s">
        <v>51</v>
      </c>
      <c r="C6" s="45">
        <v>45574.494444444441</v>
      </c>
      <c r="D6" s="44" t="s">
        <v>67</v>
      </c>
      <c r="E6" s="44" t="s">
        <v>55</v>
      </c>
      <c r="F6" s="44" t="s">
        <v>29</v>
      </c>
      <c r="G6" s="44"/>
      <c r="H6" s="44">
        <v>0</v>
      </c>
      <c r="I6" s="44">
        <v>0</v>
      </c>
      <c r="J6" s="44">
        <v>0</v>
      </c>
      <c r="K6" s="44">
        <v>0</v>
      </c>
      <c r="L6" s="44">
        <v>0</v>
      </c>
      <c r="M6" s="44">
        <v>1</v>
      </c>
      <c r="N6" s="44">
        <v>0</v>
      </c>
      <c r="O6" s="46" t="str">
        <f t="shared" si="0"/>
        <v>2024-10</v>
      </c>
      <c r="T6">
        <f>COUNTIF('UN｜CVレポート'!H:H,流入チャネル別顧客一覧_7月以降完全ユニークではない!#REF!)</f>
        <v>0</v>
      </c>
    </row>
    <row r="7" spans="2:20" ht="18.75">
      <c r="B7" s="44" t="s">
        <v>51</v>
      </c>
      <c r="C7" s="45">
        <v>45575.306250000001</v>
      </c>
      <c r="D7" s="44" t="s">
        <v>70</v>
      </c>
      <c r="E7" s="44" t="s">
        <v>55</v>
      </c>
      <c r="F7" s="44" t="s">
        <v>26</v>
      </c>
      <c r="G7" s="44"/>
      <c r="H7" s="44">
        <v>0</v>
      </c>
      <c r="I7" s="44">
        <v>0</v>
      </c>
      <c r="J7" s="44">
        <v>1</v>
      </c>
      <c r="K7" s="44">
        <v>0</v>
      </c>
      <c r="L7" s="44">
        <v>0</v>
      </c>
      <c r="M7" s="44">
        <v>0</v>
      </c>
      <c r="N7" s="44">
        <v>0</v>
      </c>
      <c r="O7" s="46" t="str">
        <f t="shared" si="0"/>
        <v>2024-10</v>
      </c>
      <c r="T7">
        <f>COUNTIF('UN｜CVレポート'!H:H,流入チャネル別顧客一覧_7月以降完全ユニークではない!#REF!)</f>
        <v>0</v>
      </c>
    </row>
    <row r="8" spans="2:20" ht="18.75">
      <c r="B8" s="44" t="s">
        <v>51</v>
      </c>
      <c r="C8" s="45">
        <v>45575.67291666667</v>
      </c>
      <c r="D8" s="44" t="s">
        <v>73</v>
      </c>
      <c r="E8" s="44" t="s">
        <v>55</v>
      </c>
      <c r="F8" s="44" t="s">
        <v>26</v>
      </c>
      <c r="G8" s="44"/>
      <c r="H8" s="44">
        <v>0</v>
      </c>
      <c r="I8" s="44">
        <v>0</v>
      </c>
      <c r="J8" s="44">
        <v>1</v>
      </c>
      <c r="K8" s="44">
        <v>0</v>
      </c>
      <c r="L8" s="44">
        <v>0</v>
      </c>
      <c r="M8" s="44">
        <v>0</v>
      </c>
      <c r="N8" s="44">
        <v>0</v>
      </c>
      <c r="O8" s="46" t="str">
        <f t="shared" si="0"/>
        <v>2024-10</v>
      </c>
      <c r="T8">
        <f>COUNTIF('UN｜CVレポート'!H:H,流入チャネル別顧客一覧_7月以降完全ユニークではない!#REF!)</f>
        <v>0</v>
      </c>
    </row>
    <row r="9" spans="2:20" ht="18.75">
      <c r="B9" s="44" t="s">
        <v>56</v>
      </c>
      <c r="C9" s="45">
        <v>45593.417361111111</v>
      </c>
      <c r="D9" s="50" t="s">
        <v>76</v>
      </c>
      <c r="E9" s="44" t="s">
        <v>55</v>
      </c>
      <c r="F9" s="44" t="s">
        <v>26</v>
      </c>
      <c r="G9" s="44"/>
      <c r="H9" s="44">
        <v>0</v>
      </c>
      <c r="I9" s="44">
        <v>0</v>
      </c>
      <c r="J9" s="44">
        <v>1</v>
      </c>
      <c r="K9" s="44">
        <v>0</v>
      </c>
      <c r="L9" s="44">
        <v>0</v>
      </c>
      <c r="M9" s="44">
        <v>0</v>
      </c>
      <c r="N9" s="44">
        <v>0</v>
      </c>
      <c r="O9" s="46" t="str">
        <f t="shared" si="0"/>
        <v>2024-10</v>
      </c>
      <c r="P9" s="49">
        <v>45593</v>
      </c>
      <c r="Q9" s="49">
        <v>45594</v>
      </c>
      <c r="T9">
        <f>COUNTIF('UN｜CVレポート'!H:H,流入チャネル別顧客一覧_7月以降完全ユニークではない!#REF!)</f>
        <v>0</v>
      </c>
    </row>
    <row r="10" spans="2:20" ht="18.75">
      <c r="B10" s="44" t="s">
        <v>56</v>
      </c>
      <c r="C10" s="45">
        <v>45594.60833333333</v>
      </c>
      <c r="D10" s="44" t="s">
        <v>79</v>
      </c>
      <c r="E10" s="44" t="s">
        <v>55</v>
      </c>
      <c r="F10" s="44" t="s">
        <v>24</v>
      </c>
      <c r="G10" s="44"/>
      <c r="H10" s="44">
        <v>1</v>
      </c>
      <c r="I10" s="44">
        <v>0</v>
      </c>
      <c r="J10" s="44">
        <v>0</v>
      </c>
      <c r="K10" s="44">
        <v>0</v>
      </c>
      <c r="L10" s="44">
        <v>0</v>
      </c>
      <c r="M10" s="44">
        <v>0</v>
      </c>
      <c r="N10" s="44">
        <v>0</v>
      </c>
      <c r="O10" s="46" t="str">
        <f t="shared" si="0"/>
        <v>2024-10</v>
      </c>
      <c r="T10">
        <f>COUNTIF('UN｜CVレポート'!H:H,流入チャネル別顧客一覧_7月以降完全ユニークではない!#REF!)</f>
        <v>0</v>
      </c>
    </row>
    <row r="11" spans="2:20" ht="18.75">
      <c r="B11" s="44" t="s">
        <v>56</v>
      </c>
      <c r="C11" s="45">
        <v>45595.786111111112</v>
      </c>
      <c r="D11" s="44" t="s">
        <v>82</v>
      </c>
      <c r="E11" s="44" t="s">
        <v>55</v>
      </c>
      <c r="F11" s="44" t="s">
        <v>26</v>
      </c>
      <c r="G11" s="44"/>
      <c r="H11" s="44">
        <v>0</v>
      </c>
      <c r="I11" s="44">
        <v>0</v>
      </c>
      <c r="J11" s="44">
        <v>1</v>
      </c>
      <c r="K11" s="44">
        <v>0</v>
      </c>
      <c r="L11" s="44">
        <v>0</v>
      </c>
      <c r="M11" s="44">
        <v>0</v>
      </c>
      <c r="N11" s="44">
        <v>0</v>
      </c>
      <c r="O11" s="46" t="str">
        <f t="shared" si="0"/>
        <v>2024-10</v>
      </c>
      <c r="T11">
        <f>COUNTIF('UN｜CVレポート'!H:H,流入チャネル別顧客一覧_7月以降完全ユニークではない!#REF!)</f>
        <v>0</v>
      </c>
    </row>
    <row r="12" spans="2:20" ht="18.75">
      <c r="B12" s="44" t="s">
        <v>84</v>
      </c>
      <c r="C12" s="45">
        <v>45597.724999999999</v>
      </c>
      <c r="D12" s="44" t="s">
        <v>86</v>
      </c>
      <c r="E12" s="44" t="s">
        <v>55</v>
      </c>
      <c r="F12" s="44" t="s">
        <v>27</v>
      </c>
      <c r="G12" s="44"/>
      <c r="H12" s="44">
        <v>0</v>
      </c>
      <c r="I12" s="44">
        <v>0</v>
      </c>
      <c r="J12" s="44">
        <v>0</v>
      </c>
      <c r="K12" s="44">
        <v>1</v>
      </c>
      <c r="L12" s="44">
        <v>0</v>
      </c>
      <c r="M12" s="44">
        <v>0</v>
      </c>
      <c r="N12" s="44">
        <v>0</v>
      </c>
      <c r="O12" s="46" t="str">
        <f t="shared" si="0"/>
        <v>2024-11</v>
      </c>
      <c r="T12">
        <f>COUNTIF('UN｜CVレポート'!H:H,流入チャネル別顧客一覧_7月以降完全ユニークではない!#REF!)</f>
        <v>0</v>
      </c>
    </row>
    <row r="13" spans="2:20" ht="18.75">
      <c r="B13" s="44" t="s">
        <v>51</v>
      </c>
      <c r="C13" s="45">
        <v>45601.619444444441</v>
      </c>
      <c r="D13" s="51" t="s">
        <v>89</v>
      </c>
      <c r="E13" s="44" t="s">
        <v>91</v>
      </c>
      <c r="F13" s="44" t="s">
        <v>25</v>
      </c>
      <c r="G13" s="44"/>
      <c r="H13" s="44">
        <v>0</v>
      </c>
      <c r="I13" s="44">
        <v>1</v>
      </c>
      <c r="J13" s="44">
        <v>0</v>
      </c>
      <c r="K13" s="44">
        <v>0</v>
      </c>
      <c r="L13" s="44">
        <v>0</v>
      </c>
      <c r="M13" s="44">
        <v>0</v>
      </c>
      <c r="N13" s="44">
        <v>0</v>
      </c>
      <c r="O13" s="46" t="str">
        <f t="shared" si="0"/>
        <v>2024-11</v>
      </c>
      <c r="P13" s="73"/>
      <c r="S13" s="52" t="s">
        <v>92</v>
      </c>
      <c r="T13">
        <f>COUNTIF('UN｜CVレポート'!H:H,流入チャネル別顧客一覧_7月以降完全ユニークではない!#REF!)</f>
        <v>0</v>
      </c>
    </row>
    <row r="14" spans="2:20" ht="18.75">
      <c r="B14" s="44" t="s">
        <v>56</v>
      </c>
      <c r="C14" s="45">
        <v>45601.701388888891</v>
      </c>
      <c r="D14" s="44" t="s">
        <v>94</v>
      </c>
      <c r="E14" s="44" t="s">
        <v>55</v>
      </c>
      <c r="F14" s="44" t="s">
        <v>25</v>
      </c>
      <c r="G14" s="44"/>
      <c r="H14" s="44">
        <v>0</v>
      </c>
      <c r="I14" s="44">
        <v>1</v>
      </c>
      <c r="J14" s="44">
        <v>0</v>
      </c>
      <c r="K14" s="44">
        <v>0</v>
      </c>
      <c r="L14" s="44">
        <v>0</v>
      </c>
      <c r="M14" s="44">
        <v>0</v>
      </c>
      <c r="N14" s="44">
        <v>0</v>
      </c>
      <c r="O14" s="46" t="str">
        <f t="shared" si="0"/>
        <v>2024-11</v>
      </c>
      <c r="T14">
        <f>COUNTIF('UN｜CVレポート'!H:H,流入チャネル別顧客一覧_7月以降完全ユニークではない!#REF!)</f>
        <v>0</v>
      </c>
    </row>
    <row r="15" spans="2:20" ht="18.75">
      <c r="B15" s="44" t="s">
        <v>51</v>
      </c>
      <c r="C15" s="45">
        <v>45602.648611111108</v>
      </c>
      <c r="D15" s="44" t="s">
        <v>97</v>
      </c>
      <c r="E15" s="44" t="s">
        <v>55</v>
      </c>
      <c r="F15" s="44" t="s">
        <v>27</v>
      </c>
      <c r="G15" s="44"/>
      <c r="H15" s="44">
        <v>0</v>
      </c>
      <c r="I15" s="44">
        <v>0</v>
      </c>
      <c r="J15" s="44">
        <v>0</v>
      </c>
      <c r="K15" s="44">
        <v>1</v>
      </c>
      <c r="L15" s="44">
        <v>0</v>
      </c>
      <c r="M15" s="44">
        <v>0</v>
      </c>
      <c r="N15" s="44">
        <v>0</v>
      </c>
      <c r="O15" s="46" t="str">
        <f t="shared" si="0"/>
        <v>2024-11</v>
      </c>
      <c r="T15">
        <f>COUNTIF('UN｜CVレポート'!H:H,流入チャネル別顧客一覧_7月以降完全ユニークではない!#REF!)</f>
        <v>0</v>
      </c>
    </row>
    <row r="16" spans="2:20" ht="18.75">
      <c r="B16" s="44" t="s">
        <v>56</v>
      </c>
      <c r="C16" s="45">
        <v>45602.65902777778</v>
      </c>
      <c r="D16" s="50" t="s">
        <v>100</v>
      </c>
      <c r="E16" s="44" t="s">
        <v>55</v>
      </c>
      <c r="F16" s="44" t="s">
        <v>29</v>
      </c>
      <c r="G16" s="44"/>
      <c r="H16" s="44">
        <v>0</v>
      </c>
      <c r="I16" s="44">
        <v>0</v>
      </c>
      <c r="J16" s="44">
        <v>0</v>
      </c>
      <c r="K16" s="44">
        <v>0</v>
      </c>
      <c r="L16" s="44">
        <v>0</v>
      </c>
      <c r="M16" s="44">
        <v>1</v>
      </c>
      <c r="N16" s="44">
        <v>0</v>
      </c>
      <c r="O16" s="46" t="str">
        <f t="shared" si="0"/>
        <v>2024-11</v>
      </c>
      <c r="P16" s="49">
        <v>45602</v>
      </c>
      <c r="Q16" s="49">
        <v>45609</v>
      </c>
      <c r="T16">
        <f>COUNTIF('UN｜CVレポート'!H:H,流入チャネル別顧客一覧_7月以降完全ユニークではない!#REF!)</f>
        <v>0</v>
      </c>
    </row>
    <row r="17" spans="2:20" ht="18.75">
      <c r="B17" s="44" t="s">
        <v>56</v>
      </c>
      <c r="C17" s="45">
        <v>45602.663888888892</v>
      </c>
      <c r="D17" s="44" t="s">
        <v>103</v>
      </c>
      <c r="E17" s="44" t="s">
        <v>55</v>
      </c>
      <c r="F17" s="44" t="s">
        <v>27</v>
      </c>
      <c r="G17" s="44"/>
      <c r="H17" s="44">
        <v>0</v>
      </c>
      <c r="I17" s="44">
        <v>0</v>
      </c>
      <c r="J17" s="44">
        <v>0</v>
      </c>
      <c r="K17" s="44">
        <v>1</v>
      </c>
      <c r="L17" s="44">
        <v>0</v>
      </c>
      <c r="M17" s="44">
        <v>0</v>
      </c>
      <c r="N17" s="44">
        <v>0</v>
      </c>
      <c r="O17" s="46" t="str">
        <f t="shared" si="0"/>
        <v>2024-11</v>
      </c>
      <c r="T17">
        <f>COUNTIF('UN｜CVレポート'!H:H,流入チャネル別顧客一覧_7月以降完全ユニークではない!#REF!)</f>
        <v>0</v>
      </c>
    </row>
    <row r="18" spans="2:20" ht="18.75">
      <c r="B18" s="44" t="s">
        <v>84</v>
      </c>
      <c r="C18" s="45">
        <v>45602.741666666669</v>
      </c>
      <c r="D18" s="50" t="s">
        <v>106</v>
      </c>
      <c r="E18" s="44" t="s">
        <v>91</v>
      </c>
      <c r="F18" s="44" t="s">
        <v>27</v>
      </c>
      <c r="G18" s="44"/>
      <c r="H18" s="44">
        <v>0</v>
      </c>
      <c r="I18" s="44">
        <v>0</v>
      </c>
      <c r="J18" s="44">
        <v>0</v>
      </c>
      <c r="K18" s="44">
        <v>1</v>
      </c>
      <c r="L18" s="44">
        <v>0</v>
      </c>
      <c r="M18" s="44">
        <v>0</v>
      </c>
      <c r="N18" s="44">
        <v>0</v>
      </c>
      <c r="O18" s="46" t="str">
        <f t="shared" si="0"/>
        <v>2024-11</v>
      </c>
      <c r="P18" s="49">
        <v>45602</v>
      </c>
      <c r="Q18" s="49">
        <v>45603</v>
      </c>
      <c r="T18">
        <f>COUNTIF('UN｜CVレポート'!H:H,流入チャネル別顧客一覧_7月以降完全ユニークではない!#REF!)</f>
        <v>0</v>
      </c>
    </row>
    <row r="19" spans="2:20" ht="18.75">
      <c r="B19" s="44" t="s">
        <v>56</v>
      </c>
      <c r="C19" s="45">
        <v>45603.396527777775</v>
      </c>
      <c r="D19" s="53" t="s">
        <v>109</v>
      </c>
      <c r="E19" s="44" t="s">
        <v>111</v>
      </c>
      <c r="F19" s="44" t="s">
        <v>25</v>
      </c>
      <c r="G19" s="44"/>
      <c r="H19" s="44">
        <v>0</v>
      </c>
      <c r="I19" s="44">
        <v>1</v>
      </c>
      <c r="J19" s="44">
        <v>0</v>
      </c>
      <c r="K19" s="44">
        <v>0</v>
      </c>
      <c r="L19" s="44">
        <v>0</v>
      </c>
      <c r="M19" s="44">
        <v>0</v>
      </c>
      <c r="N19" s="44">
        <v>0</v>
      </c>
      <c r="O19" s="46" t="str">
        <f t="shared" si="0"/>
        <v>2024-11</v>
      </c>
      <c r="P19" s="49">
        <v>45602</v>
      </c>
      <c r="Q19" s="49">
        <v>45604</v>
      </c>
      <c r="R19" s="54">
        <v>45688</v>
      </c>
      <c r="S19" s="55" t="s">
        <v>112</v>
      </c>
      <c r="T19">
        <f>COUNTIF('UN｜CVレポート'!H:H,流入チャネル別顧客一覧_7月以降完全ユニークではない!#REF!)</f>
        <v>0</v>
      </c>
    </row>
    <row r="20" spans="2:20" ht="18.75">
      <c r="B20" s="44" t="s">
        <v>84</v>
      </c>
      <c r="C20" s="45">
        <v>45603.719444444447</v>
      </c>
      <c r="D20" s="44" t="s">
        <v>114</v>
      </c>
      <c r="E20" s="44" t="s">
        <v>55</v>
      </c>
      <c r="F20" s="44" t="s">
        <v>26</v>
      </c>
      <c r="G20" s="44"/>
      <c r="H20" s="44">
        <v>0</v>
      </c>
      <c r="I20" s="44">
        <v>0</v>
      </c>
      <c r="J20" s="44">
        <v>1</v>
      </c>
      <c r="K20" s="44">
        <v>0</v>
      </c>
      <c r="L20" s="44">
        <v>0</v>
      </c>
      <c r="M20" s="44">
        <v>0</v>
      </c>
      <c r="N20" s="44">
        <v>0</v>
      </c>
      <c r="O20" s="46" t="str">
        <f t="shared" si="0"/>
        <v>2024-11</v>
      </c>
      <c r="T20">
        <f>COUNTIF('UN｜CVレポート'!H:H,流入チャネル別顧客一覧_7月以降完全ユニークではない!#REF!)</f>
        <v>0</v>
      </c>
    </row>
    <row r="21" spans="2:20" ht="18.75">
      <c r="B21" s="44" t="s">
        <v>51</v>
      </c>
      <c r="C21" s="45">
        <v>45607.436805555553</v>
      </c>
      <c r="D21" s="44" t="s">
        <v>117</v>
      </c>
      <c r="E21" s="44" t="s">
        <v>119</v>
      </c>
      <c r="F21" s="44" t="s">
        <v>24</v>
      </c>
      <c r="G21" s="44"/>
      <c r="H21" s="44">
        <v>1</v>
      </c>
      <c r="I21" s="44">
        <v>0</v>
      </c>
      <c r="J21" s="44">
        <v>0</v>
      </c>
      <c r="K21" s="44">
        <v>0</v>
      </c>
      <c r="L21" s="44">
        <v>0</v>
      </c>
      <c r="M21" s="44">
        <v>0</v>
      </c>
      <c r="N21" s="44">
        <v>0</v>
      </c>
      <c r="O21" s="46" t="str">
        <f t="shared" si="0"/>
        <v>2024-11</v>
      </c>
      <c r="T21">
        <f>COUNTIF('UN｜CVレポート'!H:H,流入チャネル別顧客一覧_7月以降完全ユニークではない!#REF!)</f>
        <v>0</v>
      </c>
    </row>
    <row r="22" spans="2:20" ht="18.75">
      <c r="B22" s="44" t="s">
        <v>84</v>
      </c>
      <c r="C22" s="45">
        <v>45607.495138888888</v>
      </c>
      <c r="D22" s="44" t="s">
        <v>121</v>
      </c>
      <c r="E22" s="44" t="s">
        <v>123</v>
      </c>
      <c r="F22" s="44" t="s">
        <v>26</v>
      </c>
      <c r="G22" s="44"/>
      <c r="H22" s="44">
        <v>0</v>
      </c>
      <c r="I22" s="44">
        <v>0</v>
      </c>
      <c r="J22" s="44">
        <v>1</v>
      </c>
      <c r="K22" s="44">
        <v>0</v>
      </c>
      <c r="L22" s="44">
        <v>0</v>
      </c>
      <c r="M22" s="44">
        <v>0</v>
      </c>
      <c r="N22" s="44">
        <v>0</v>
      </c>
      <c r="O22" s="46" t="str">
        <f t="shared" si="0"/>
        <v>2024-11</v>
      </c>
      <c r="T22">
        <f>COUNTIF('UN｜CVレポート'!H:H,流入チャネル別顧客一覧_7月以降完全ユニークではない!#REF!)</f>
        <v>0</v>
      </c>
    </row>
    <row r="23" spans="2:20" ht="18.75">
      <c r="B23" s="44" t="s">
        <v>84</v>
      </c>
      <c r="C23" s="45">
        <v>45608.551388888889</v>
      </c>
      <c r="D23" s="44" t="s">
        <v>125</v>
      </c>
      <c r="E23" s="44" t="s">
        <v>123</v>
      </c>
      <c r="F23" s="44" t="s">
        <v>25</v>
      </c>
      <c r="G23" s="44"/>
      <c r="H23" s="44">
        <v>0</v>
      </c>
      <c r="I23" s="44">
        <v>1</v>
      </c>
      <c r="J23" s="44">
        <v>0</v>
      </c>
      <c r="K23" s="44">
        <v>0</v>
      </c>
      <c r="L23" s="44">
        <v>0</v>
      </c>
      <c r="M23" s="44">
        <v>0</v>
      </c>
      <c r="N23" s="44">
        <v>0</v>
      </c>
      <c r="O23" s="46" t="str">
        <f t="shared" si="0"/>
        <v>2024-11</v>
      </c>
      <c r="T23">
        <f>COUNTIF('UN｜CVレポート'!H:H,流入チャネル別顧客一覧_7月以降完全ユニークではない!#REF!)</f>
        <v>0</v>
      </c>
    </row>
    <row r="24" spans="2:20" ht="18.75">
      <c r="B24" s="44" t="s">
        <v>51</v>
      </c>
      <c r="C24" s="45">
        <v>45609.430555555555</v>
      </c>
      <c r="D24" s="44" t="s">
        <v>128</v>
      </c>
      <c r="E24" s="44" t="s">
        <v>119</v>
      </c>
      <c r="F24" s="44" t="s">
        <v>27</v>
      </c>
      <c r="G24" s="44"/>
      <c r="H24" s="44">
        <v>0</v>
      </c>
      <c r="I24" s="44">
        <v>0</v>
      </c>
      <c r="J24" s="44">
        <v>0</v>
      </c>
      <c r="K24" s="44">
        <v>1</v>
      </c>
      <c r="L24" s="44">
        <v>0</v>
      </c>
      <c r="M24" s="44">
        <v>0</v>
      </c>
      <c r="N24" s="44">
        <v>0</v>
      </c>
      <c r="O24" s="46" t="str">
        <f t="shared" si="0"/>
        <v>2024-11</v>
      </c>
      <c r="T24">
        <f>COUNTIF('UN｜CVレポート'!H:H,流入チャネル別顧客一覧_7月以降完全ユニークではない!#REF!)</f>
        <v>0</v>
      </c>
    </row>
    <row r="25" spans="2:20" ht="18.75">
      <c r="B25" s="44" t="s">
        <v>84</v>
      </c>
      <c r="C25" s="45">
        <v>45609.659722222219</v>
      </c>
      <c r="D25" s="44" t="s">
        <v>131</v>
      </c>
      <c r="E25" s="44" t="s">
        <v>123</v>
      </c>
      <c r="F25" s="44" t="s">
        <v>26</v>
      </c>
      <c r="G25" s="44"/>
      <c r="H25" s="44">
        <v>0</v>
      </c>
      <c r="I25" s="44">
        <v>0</v>
      </c>
      <c r="J25" s="44">
        <v>1</v>
      </c>
      <c r="K25" s="44">
        <v>0</v>
      </c>
      <c r="L25" s="44">
        <v>0</v>
      </c>
      <c r="M25" s="44">
        <v>0</v>
      </c>
      <c r="N25" s="44">
        <v>0</v>
      </c>
      <c r="O25" s="46" t="str">
        <f t="shared" si="0"/>
        <v>2024-11</v>
      </c>
      <c r="T25">
        <f>COUNTIF('UN｜CVレポート'!H:H,流入チャネル別顧客一覧_7月以降完全ユニークではない!#REF!)</f>
        <v>0</v>
      </c>
    </row>
    <row r="26" spans="2:20" ht="18.75">
      <c r="B26" s="44" t="s">
        <v>56</v>
      </c>
      <c r="C26" s="45">
        <v>45609.947916666664</v>
      </c>
      <c r="D26" s="50" t="s">
        <v>133</v>
      </c>
      <c r="E26" s="44" t="s">
        <v>135</v>
      </c>
      <c r="F26" s="44" t="s">
        <v>24</v>
      </c>
      <c r="G26" s="44"/>
      <c r="H26" s="44">
        <v>1</v>
      </c>
      <c r="I26" s="44">
        <v>0</v>
      </c>
      <c r="J26" s="44">
        <v>0</v>
      </c>
      <c r="K26" s="44">
        <v>0</v>
      </c>
      <c r="L26" s="44">
        <v>0</v>
      </c>
      <c r="M26" s="44">
        <v>0</v>
      </c>
      <c r="N26" s="44">
        <v>0</v>
      </c>
      <c r="O26" s="46" t="str">
        <f t="shared" si="0"/>
        <v>2024-11</v>
      </c>
      <c r="P26" s="49">
        <v>45609</v>
      </c>
      <c r="Q26" s="49">
        <v>45610</v>
      </c>
      <c r="T26">
        <f>COUNTIF('UN｜CVレポート'!H:H,流入チャネル別顧客一覧_7月以降完全ユニークではない!#REF!)</f>
        <v>0</v>
      </c>
    </row>
    <row r="27" spans="2:20" ht="18.75">
      <c r="B27" s="44" t="s">
        <v>84</v>
      </c>
      <c r="C27" s="45">
        <v>45610.529166666667</v>
      </c>
      <c r="D27" s="44" t="s">
        <v>137</v>
      </c>
      <c r="E27" s="44" t="s">
        <v>123</v>
      </c>
      <c r="F27" s="44" t="s">
        <v>27</v>
      </c>
      <c r="G27" s="44"/>
      <c r="H27" s="44">
        <v>0</v>
      </c>
      <c r="I27" s="44">
        <v>0</v>
      </c>
      <c r="J27" s="44">
        <v>0</v>
      </c>
      <c r="K27" s="44">
        <v>1</v>
      </c>
      <c r="L27" s="44">
        <v>0</v>
      </c>
      <c r="M27" s="44">
        <v>0</v>
      </c>
      <c r="N27" s="44">
        <v>0</v>
      </c>
      <c r="O27" s="46" t="str">
        <f t="shared" si="0"/>
        <v>2024-11</v>
      </c>
      <c r="T27">
        <f>COUNTIF('UN｜CVレポート'!H:H,流入チャネル別顧客一覧_7月以降完全ユニークではない!#REF!)</f>
        <v>0</v>
      </c>
    </row>
    <row r="28" spans="2:20" ht="18.75">
      <c r="B28" s="44" t="s">
        <v>84</v>
      </c>
      <c r="C28" s="45">
        <v>45611.640972222223</v>
      </c>
      <c r="D28" s="44" t="s">
        <v>140</v>
      </c>
      <c r="E28" s="44" t="s">
        <v>123</v>
      </c>
      <c r="F28" s="44" t="s">
        <v>27</v>
      </c>
      <c r="G28" s="44"/>
      <c r="H28" s="44">
        <v>0</v>
      </c>
      <c r="I28" s="44">
        <v>0</v>
      </c>
      <c r="J28" s="44">
        <v>0</v>
      </c>
      <c r="K28" s="44">
        <v>1</v>
      </c>
      <c r="L28" s="44">
        <v>0</v>
      </c>
      <c r="M28" s="44">
        <v>0</v>
      </c>
      <c r="N28" s="44">
        <v>0</v>
      </c>
      <c r="O28" s="46" t="str">
        <f t="shared" si="0"/>
        <v>2024-11</v>
      </c>
      <c r="T28">
        <f>COUNTIF('UN｜CVレポート'!H:H,流入チャネル別顧客一覧_7月以降完全ユニークではない!#REF!)</f>
        <v>0</v>
      </c>
    </row>
    <row r="29" spans="2:20" ht="18.75">
      <c r="B29" s="44" t="s">
        <v>56</v>
      </c>
      <c r="C29" s="45">
        <v>45614.20208333333</v>
      </c>
      <c r="D29" s="51" t="s">
        <v>143</v>
      </c>
      <c r="E29" s="44" t="s">
        <v>135</v>
      </c>
      <c r="F29" s="44" t="s">
        <v>25</v>
      </c>
      <c r="G29" s="44"/>
      <c r="H29" s="44">
        <v>0</v>
      </c>
      <c r="I29" s="44">
        <v>1</v>
      </c>
      <c r="J29" s="44">
        <v>0</v>
      </c>
      <c r="K29" s="44">
        <v>0</v>
      </c>
      <c r="L29" s="44">
        <v>0</v>
      </c>
      <c r="M29" s="44">
        <v>0</v>
      </c>
      <c r="N29" s="44">
        <v>0</v>
      </c>
      <c r="O29" s="46" t="str">
        <f t="shared" si="0"/>
        <v>2024-11</v>
      </c>
      <c r="P29" s="73"/>
      <c r="S29" s="52" t="s">
        <v>145</v>
      </c>
      <c r="T29">
        <f>COUNTIF('UN｜CVレポート'!H:H,流入チャネル別顧客一覧_7月以降完全ユニークではない!#REF!)</f>
        <v>0</v>
      </c>
    </row>
    <row r="30" spans="2:20" ht="18.75">
      <c r="B30" s="44" t="s">
        <v>51</v>
      </c>
      <c r="C30" s="45">
        <v>45615.455555555556</v>
      </c>
      <c r="D30" s="50" t="s">
        <v>147</v>
      </c>
      <c r="E30" s="44" t="s">
        <v>149</v>
      </c>
      <c r="F30" s="44" t="s">
        <v>28</v>
      </c>
      <c r="G30" s="44"/>
      <c r="H30" s="44">
        <v>0</v>
      </c>
      <c r="I30" s="44">
        <v>0</v>
      </c>
      <c r="J30" s="44">
        <v>0</v>
      </c>
      <c r="K30" s="44">
        <v>0</v>
      </c>
      <c r="L30" s="44">
        <v>1</v>
      </c>
      <c r="M30" s="44">
        <v>0</v>
      </c>
      <c r="N30" s="44">
        <v>0</v>
      </c>
      <c r="O30" s="46" t="str">
        <f t="shared" si="0"/>
        <v>2024-11</v>
      </c>
      <c r="P30" s="49">
        <v>45839</v>
      </c>
      <c r="Q30" s="49">
        <v>45870</v>
      </c>
      <c r="S30" s="56" t="s">
        <v>150</v>
      </c>
      <c r="T30">
        <f>COUNTIF('UN｜CVレポート'!H:H,流入チャネル別顧客一覧_7月以降完全ユニークではない!#REF!)</f>
        <v>0</v>
      </c>
    </row>
    <row r="31" spans="2:20" ht="18.75">
      <c r="B31" s="44" t="s">
        <v>51</v>
      </c>
      <c r="C31" s="45">
        <v>45615.651388888888</v>
      </c>
      <c r="D31" s="44" t="s">
        <v>152</v>
      </c>
      <c r="E31" s="44" t="s">
        <v>154</v>
      </c>
      <c r="F31" s="44" t="s">
        <v>28</v>
      </c>
      <c r="G31" s="44"/>
      <c r="H31" s="44">
        <v>0</v>
      </c>
      <c r="I31" s="44">
        <v>0</v>
      </c>
      <c r="J31" s="44">
        <v>0</v>
      </c>
      <c r="K31" s="44">
        <v>0</v>
      </c>
      <c r="L31" s="44">
        <v>1</v>
      </c>
      <c r="M31" s="44">
        <v>0</v>
      </c>
      <c r="N31" s="44">
        <v>0</v>
      </c>
      <c r="O31" s="46" t="str">
        <f t="shared" si="0"/>
        <v>2024-11</v>
      </c>
      <c r="T31">
        <f>COUNTIF('UN｜CVレポート'!H:H,流入チャネル別顧客一覧_7月以降完全ユニークではない!#REF!)</f>
        <v>0</v>
      </c>
    </row>
    <row r="32" spans="2:20" ht="18.75">
      <c r="B32" s="44" t="s">
        <v>51</v>
      </c>
      <c r="C32" s="45">
        <v>45616.61041666667</v>
      </c>
      <c r="D32" s="44" t="s">
        <v>156</v>
      </c>
      <c r="E32" s="44" t="s">
        <v>119</v>
      </c>
      <c r="F32" s="44" t="s">
        <v>29</v>
      </c>
      <c r="G32" s="44"/>
      <c r="H32" s="44">
        <v>0</v>
      </c>
      <c r="I32" s="44">
        <v>0</v>
      </c>
      <c r="J32" s="44">
        <v>0</v>
      </c>
      <c r="K32" s="44">
        <v>0</v>
      </c>
      <c r="L32" s="44">
        <v>0</v>
      </c>
      <c r="M32" s="44">
        <v>1</v>
      </c>
      <c r="N32" s="44">
        <v>0</v>
      </c>
      <c r="O32" s="46" t="str">
        <f t="shared" si="0"/>
        <v>2024-11</v>
      </c>
      <c r="T32">
        <f>COUNTIF('UN｜CVレポート'!H:H,流入チャネル別顧客一覧_7月以降完全ユニークではない!#REF!)</f>
        <v>0</v>
      </c>
    </row>
    <row r="33" spans="2:20" ht="18.75">
      <c r="B33" s="44" t="s">
        <v>51</v>
      </c>
      <c r="C33" s="45">
        <v>45623.416666666664</v>
      </c>
      <c r="D33" s="44" t="s">
        <v>159</v>
      </c>
      <c r="E33" s="44" t="s">
        <v>119</v>
      </c>
      <c r="F33" s="44" t="s">
        <v>25</v>
      </c>
      <c r="G33" s="44"/>
      <c r="H33" s="44">
        <v>0</v>
      </c>
      <c r="I33" s="44">
        <v>1</v>
      </c>
      <c r="J33" s="44">
        <v>0</v>
      </c>
      <c r="K33" s="44">
        <v>0</v>
      </c>
      <c r="L33" s="44">
        <v>0</v>
      </c>
      <c r="M33" s="44">
        <v>0</v>
      </c>
      <c r="N33" s="44">
        <v>0</v>
      </c>
      <c r="O33" s="46" t="str">
        <f t="shared" si="0"/>
        <v>2024-11</v>
      </c>
      <c r="T33">
        <f>COUNTIF('UN｜CVレポート'!H:H,流入チャネル別顧客一覧_7月以降完全ユニークではない!#REF!)</f>
        <v>0</v>
      </c>
    </row>
    <row r="34" spans="2:20" ht="18.75">
      <c r="B34" s="44" t="s">
        <v>51</v>
      </c>
      <c r="C34" s="45">
        <v>45623.495833333334</v>
      </c>
      <c r="D34" s="44" t="s">
        <v>162</v>
      </c>
      <c r="E34" s="44" t="s">
        <v>119</v>
      </c>
      <c r="F34" s="44" t="s">
        <v>29</v>
      </c>
      <c r="G34" s="44"/>
      <c r="H34" s="44">
        <v>0</v>
      </c>
      <c r="I34" s="44">
        <v>0</v>
      </c>
      <c r="J34" s="44">
        <v>0</v>
      </c>
      <c r="K34" s="44">
        <v>0</v>
      </c>
      <c r="L34" s="44">
        <v>0</v>
      </c>
      <c r="M34" s="44">
        <v>1</v>
      </c>
      <c r="N34" s="44">
        <v>0</v>
      </c>
      <c r="O34" s="46" t="str">
        <f t="shared" si="0"/>
        <v>2024-11</v>
      </c>
      <c r="T34">
        <f>COUNTIF('UN｜CVレポート'!H:H,流入チャネル別顧客一覧_7月以降完全ユニークではない!#REF!)</f>
        <v>0</v>
      </c>
    </row>
    <row r="35" spans="2:20" ht="18.75">
      <c r="B35" s="44" t="s">
        <v>51</v>
      </c>
      <c r="C35" s="45">
        <v>45623.617361111108</v>
      </c>
      <c r="D35" s="44" t="s">
        <v>165</v>
      </c>
      <c r="E35" s="44" t="s">
        <v>154</v>
      </c>
      <c r="F35" s="44" t="s">
        <v>26</v>
      </c>
      <c r="G35" s="44"/>
      <c r="H35" s="44">
        <v>0</v>
      </c>
      <c r="I35" s="44">
        <v>0</v>
      </c>
      <c r="J35" s="44">
        <v>1</v>
      </c>
      <c r="K35" s="44">
        <v>0</v>
      </c>
      <c r="L35" s="44">
        <v>0</v>
      </c>
      <c r="M35" s="44">
        <v>0</v>
      </c>
      <c r="N35" s="44">
        <v>0</v>
      </c>
      <c r="O35" s="46" t="str">
        <f t="shared" si="0"/>
        <v>2024-11</v>
      </c>
      <c r="T35">
        <f>COUNTIF('UN｜CVレポート'!H:H,流入チャネル別顧客一覧_7月以降完全ユニークではない!#REF!)</f>
        <v>0</v>
      </c>
    </row>
    <row r="36" spans="2:20" ht="18.75">
      <c r="B36" s="44" t="s">
        <v>84</v>
      </c>
      <c r="C36" s="45">
        <v>45625.432638888888</v>
      </c>
      <c r="D36" s="44" t="s">
        <v>168</v>
      </c>
      <c r="E36" s="44" t="s">
        <v>123</v>
      </c>
      <c r="F36" s="44" t="s">
        <v>27</v>
      </c>
      <c r="G36" s="44"/>
      <c r="H36" s="44">
        <v>0</v>
      </c>
      <c r="I36" s="44">
        <v>0</v>
      </c>
      <c r="J36" s="44">
        <v>0</v>
      </c>
      <c r="K36" s="44">
        <v>1</v>
      </c>
      <c r="L36" s="44">
        <v>0</v>
      </c>
      <c r="M36" s="44">
        <v>0</v>
      </c>
      <c r="N36" s="44">
        <v>0</v>
      </c>
      <c r="O36" s="46" t="str">
        <f t="shared" si="0"/>
        <v>2024-11</v>
      </c>
      <c r="T36">
        <f>COUNTIF('UN｜CVレポート'!H:H,流入チャネル別顧客一覧_7月以降完全ユニークではない!#REF!)</f>
        <v>0</v>
      </c>
    </row>
    <row r="37" spans="2:20" ht="18.75">
      <c r="B37" s="44" t="s">
        <v>56</v>
      </c>
      <c r="C37" s="45">
        <v>45636.399305555555</v>
      </c>
      <c r="D37" s="44" t="s">
        <v>171</v>
      </c>
      <c r="E37" s="44" t="s">
        <v>119</v>
      </c>
      <c r="F37" s="44" t="s">
        <v>29</v>
      </c>
      <c r="G37" s="44"/>
      <c r="H37" s="44">
        <v>0</v>
      </c>
      <c r="I37" s="44">
        <v>0</v>
      </c>
      <c r="J37" s="44">
        <v>0</v>
      </c>
      <c r="K37" s="44">
        <v>0</v>
      </c>
      <c r="L37" s="44">
        <v>0</v>
      </c>
      <c r="M37" s="44">
        <v>1</v>
      </c>
      <c r="N37" s="44">
        <v>0</v>
      </c>
      <c r="O37" s="46" t="str">
        <f t="shared" si="0"/>
        <v>2024-12</v>
      </c>
      <c r="T37">
        <f>COUNTIF('UN｜CVレポート'!H:H,流入チャネル別顧客一覧_7月以降完全ユニークではない!#REF!)</f>
        <v>0</v>
      </c>
    </row>
    <row r="38" spans="2:20" ht="18.75">
      <c r="B38" s="44" t="s">
        <v>51</v>
      </c>
      <c r="C38" s="45">
        <v>45638.375694444447</v>
      </c>
      <c r="D38" s="44" t="s">
        <v>174</v>
      </c>
      <c r="E38" s="44" t="s">
        <v>119</v>
      </c>
      <c r="F38" s="44" t="s">
        <v>29</v>
      </c>
      <c r="G38" s="44"/>
      <c r="H38" s="44">
        <v>0</v>
      </c>
      <c r="I38" s="44">
        <v>0</v>
      </c>
      <c r="J38" s="44">
        <v>0</v>
      </c>
      <c r="K38" s="44">
        <v>0</v>
      </c>
      <c r="L38" s="44">
        <v>0</v>
      </c>
      <c r="M38" s="44">
        <v>1</v>
      </c>
      <c r="N38" s="44">
        <v>0</v>
      </c>
      <c r="O38" s="46" t="str">
        <f t="shared" si="0"/>
        <v>2024-12</v>
      </c>
      <c r="T38">
        <f>COUNTIF('UN｜CVレポート'!H:H,流入チャネル別顧客一覧_7月以降完全ユニークではない!#REF!)</f>
        <v>0</v>
      </c>
    </row>
    <row r="39" spans="2:20" ht="18.75">
      <c r="B39" s="44" t="s">
        <v>51</v>
      </c>
      <c r="C39" s="45">
        <v>45638.496527777781</v>
      </c>
      <c r="D39" s="44" t="s">
        <v>177</v>
      </c>
      <c r="E39" s="44" t="s">
        <v>119</v>
      </c>
      <c r="F39" s="44" t="s">
        <v>24</v>
      </c>
      <c r="G39" s="44"/>
      <c r="H39" s="44">
        <v>1</v>
      </c>
      <c r="I39" s="44">
        <v>0</v>
      </c>
      <c r="J39" s="44">
        <v>0</v>
      </c>
      <c r="K39" s="44">
        <v>0</v>
      </c>
      <c r="L39" s="44">
        <v>0</v>
      </c>
      <c r="M39" s="44">
        <v>0</v>
      </c>
      <c r="N39" s="44">
        <v>0</v>
      </c>
      <c r="O39" s="46" t="str">
        <f t="shared" si="0"/>
        <v>2024-12</v>
      </c>
      <c r="T39">
        <f>COUNTIF('UN｜CVレポート'!H:H,流入チャネル別顧客一覧_7月以降完全ユニークではない!#REF!)</f>
        <v>0</v>
      </c>
    </row>
    <row r="40" spans="2:20" ht="18.75">
      <c r="B40" s="44" t="s">
        <v>56</v>
      </c>
      <c r="C40" s="45">
        <v>45642.424305555556</v>
      </c>
      <c r="D40" s="50" t="s">
        <v>180</v>
      </c>
      <c r="E40" s="44" t="s">
        <v>135</v>
      </c>
      <c r="F40" s="44" t="s">
        <v>25</v>
      </c>
      <c r="G40" s="44"/>
      <c r="H40" s="44">
        <v>0</v>
      </c>
      <c r="I40" s="44">
        <v>1</v>
      </c>
      <c r="J40" s="44">
        <v>0</v>
      </c>
      <c r="K40" s="44">
        <v>0</v>
      </c>
      <c r="L40" s="44">
        <v>0</v>
      </c>
      <c r="M40" s="44">
        <v>0</v>
      </c>
      <c r="N40" s="44">
        <v>0</v>
      </c>
      <c r="O40" s="46" t="str">
        <f t="shared" si="0"/>
        <v>2024-12</v>
      </c>
      <c r="P40" s="49">
        <v>45627</v>
      </c>
      <c r="Q40" s="49">
        <v>45627</v>
      </c>
      <c r="T40">
        <f>COUNTIF('UN｜CVレポート'!H:H,流入チャネル別顧客一覧_7月以降完全ユニークではない!#REF!)</f>
        <v>0</v>
      </c>
    </row>
    <row r="41" spans="2:20" ht="18.75">
      <c r="B41" s="44" t="s">
        <v>51</v>
      </c>
      <c r="C41" s="45">
        <v>45642.803472222222</v>
      </c>
      <c r="D41" s="44" t="s">
        <v>183</v>
      </c>
      <c r="E41" s="44" t="s">
        <v>119</v>
      </c>
      <c r="F41" s="44" t="s">
        <v>26</v>
      </c>
      <c r="G41" s="44"/>
      <c r="H41" s="44">
        <v>0</v>
      </c>
      <c r="I41" s="44">
        <v>0</v>
      </c>
      <c r="J41" s="44">
        <v>1</v>
      </c>
      <c r="K41" s="44">
        <v>0</v>
      </c>
      <c r="L41" s="44">
        <v>0</v>
      </c>
      <c r="M41" s="44">
        <v>0</v>
      </c>
      <c r="N41" s="44">
        <v>0</v>
      </c>
      <c r="O41" s="46" t="str">
        <f t="shared" si="0"/>
        <v>2024-12</v>
      </c>
      <c r="T41">
        <f>COUNTIF('UN｜CVレポート'!H:H,流入チャネル別顧客一覧_7月以降完全ユニークではない!#REF!)</f>
        <v>0</v>
      </c>
    </row>
    <row r="42" spans="2:20" ht="18.75">
      <c r="B42" s="44" t="s">
        <v>51</v>
      </c>
      <c r="C42" s="45">
        <v>45642.804166666669</v>
      </c>
      <c r="D42" s="44" t="s">
        <v>185</v>
      </c>
      <c r="E42" s="44" t="s">
        <v>154</v>
      </c>
      <c r="F42" s="44" t="s">
        <v>26</v>
      </c>
      <c r="G42" s="44"/>
      <c r="H42" s="44">
        <v>0</v>
      </c>
      <c r="I42" s="44">
        <v>0</v>
      </c>
      <c r="J42" s="44">
        <v>1</v>
      </c>
      <c r="K42" s="44">
        <v>0</v>
      </c>
      <c r="L42" s="44">
        <v>0</v>
      </c>
      <c r="M42" s="44">
        <v>0</v>
      </c>
      <c r="N42" s="44">
        <v>0</v>
      </c>
      <c r="O42" s="46" t="str">
        <f t="shared" si="0"/>
        <v>2024-12</v>
      </c>
      <c r="T42">
        <f>COUNTIF('UN｜CVレポート'!H:H,流入チャネル別顧客一覧_7月以降完全ユニークではない!#REF!)</f>
        <v>0</v>
      </c>
    </row>
    <row r="43" spans="2:20" ht="18.75">
      <c r="B43" s="44" t="s">
        <v>56</v>
      </c>
      <c r="C43" s="45">
        <v>45649.547222222223</v>
      </c>
      <c r="D43" s="44" t="s">
        <v>188</v>
      </c>
      <c r="E43" s="44" t="s">
        <v>119</v>
      </c>
      <c r="F43" s="44" t="s">
        <v>27</v>
      </c>
      <c r="G43" s="44"/>
      <c r="H43" s="44">
        <v>0</v>
      </c>
      <c r="I43" s="44">
        <v>0</v>
      </c>
      <c r="J43" s="44">
        <v>0</v>
      </c>
      <c r="K43" s="44">
        <v>1</v>
      </c>
      <c r="L43" s="44">
        <v>0</v>
      </c>
      <c r="M43" s="44">
        <v>0</v>
      </c>
      <c r="N43" s="44">
        <v>0</v>
      </c>
      <c r="O43" s="46" t="str">
        <f t="shared" si="0"/>
        <v>2024-12</v>
      </c>
      <c r="T43">
        <f>COUNTIF('UN｜CVレポート'!H:H,流入チャネル別顧客一覧_7月以降完全ユニークではない!#REF!)</f>
        <v>0</v>
      </c>
    </row>
    <row r="44" spans="2:20" ht="18.75">
      <c r="B44" s="44" t="s">
        <v>51</v>
      </c>
      <c r="C44" s="45">
        <v>45649.707638888889</v>
      </c>
      <c r="D44" s="44" t="s">
        <v>191</v>
      </c>
      <c r="E44" s="44" t="s">
        <v>119</v>
      </c>
      <c r="F44" s="44" t="s">
        <v>26</v>
      </c>
      <c r="G44" s="44"/>
      <c r="H44" s="44">
        <v>0</v>
      </c>
      <c r="I44" s="44">
        <v>0</v>
      </c>
      <c r="J44" s="44">
        <v>1</v>
      </c>
      <c r="K44" s="44">
        <v>0</v>
      </c>
      <c r="L44" s="44">
        <v>0</v>
      </c>
      <c r="M44" s="44">
        <v>0</v>
      </c>
      <c r="N44" s="44">
        <v>0</v>
      </c>
      <c r="O44" s="46" t="str">
        <f t="shared" si="0"/>
        <v>2024-12</v>
      </c>
      <c r="T44">
        <f>COUNTIF('UN｜CVレポート'!H:H,流入チャネル別顧客一覧_7月以降完全ユニークではない!#REF!)</f>
        <v>0</v>
      </c>
    </row>
    <row r="45" spans="2:20" ht="18.75">
      <c r="B45" s="44" t="s">
        <v>56</v>
      </c>
      <c r="C45" s="45">
        <v>45651.704861111109</v>
      </c>
      <c r="D45" s="51" t="s">
        <v>194</v>
      </c>
      <c r="E45" s="44" t="s">
        <v>135</v>
      </c>
      <c r="F45" s="44" t="s">
        <v>29</v>
      </c>
      <c r="G45" s="44"/>
      <c r="H45" s="44">
        <v>0</v>
      </c>
      <c r="I45" s="44">
        <v>0</v>
      </c>
      <c r="J45" s="44">
        <v>0</v>
      </c>
      <c r="K45" s="44">
        <v>0</v>
      </c>
      <c r="L45" s="44">
        <v>0</v>
      </c>
      <c r="M45" s="44">
        <v>1</v>
      </c>
      <c r="N45" s="44">
        <v>0</v>
      </c>
      <c r="O45" s="46" t="str">
        <f t="shared" si="0"/>
        <v>2024-12</v>
      </c>
      <c r="P45" s="73"/>
      <c r="S45" s="52" t="s">
        <v>145</v>
      </c>
      <c r="T45">
        <f>COUNTIF('UN｜CVレポート'!H:H,流入チャネル別顧客一覧_7月以降完全ユニークではない!#REF!)</f>
        <v>0</v>
      </c>
    </row>
    <row r="46" spans="2:20" ht="18.75">
      <c r="B46" s="44" t="s">
        <v>84</v>
      </c>
      <c r="C46" s="45">
        <v>45653.421527777777</v>
      </c>
      <c r="D46" s="53" t="s">
        <v>197</v>
      </c>
      <c r="E46" s="44" t="s">
        <v>199</v>
      </c>
      <c r="F46" s="44" t="s">
        <v>25</v>
      </c>
      <c r="G46" s="44"/>
      <c r="H46" s="44">
        <v>0</v>
      </c>
      <c r="I46" s="44">
        <v>1</v>
      </c>
      <c r="J46" s="44">
        <v>0</v>
      </c>
      <c r="K46" s="44">
        <v>0</v>
      </c>
      <c r="L46" s="44">
        <v>0</v>
      </c>
      <c r="M46" s="44">
        <v>0</v>
      </c>
      <c r="N46" s="44">
        <v>0</v>
      </c>
      <c r="O46" s="46" t="str">
        <f t="shared" si="0"/>
        <v>2024-12</v>
      </c>
      <c r="P46" s="49">
        <v>45653</v>
      </c>
      <c r="Q46" s="49">
        <v>45663</v>
      </c>
      <c r="R46" s="54">
        <v>45917</v>
      </c>
      <c r="S46" s="55" t="s">
        <v>200</v>
      </c>
      <c r="T46">
        <f>COUNTIF('UN｜CVレポート'!H:H,流入チャネル別顧客一覧_7月以降完全ユニークではない!#REF!)</f>
        <v>0</v>
      </c>
    </row>
    <row r="47" spans="2:20" ht="18.75">
      <c r="B47" s="44" t="s">
        <v>56</v>
      </c>
      <c r="C47" s="45">
        <v>45663.580555555556</v>
      </c>
      <c r="D47" s="44" t="s">
        <v>202</v>
      </c>
      <c r="E47" s="44" t="s">
        <v>119</v>
      </c>
      <c r="F47" s="44" t="s">
        <v>26</v>
      </c>
      <c r="G47" s="44"/>
      <c r="H47" s="44">
        <v>0</v>
      </c>
      <c r="I47" s="44">
        <v>0</v>
      </c>
      <c r="J47" s="44">
        <v>1</v>
      </c>
      <c r="K47" s="44">
        <v>0</v>
      </c>
      <c r="L47" s="44">
        <v>0</v>
      </c>
      <c r="M47" s="44">
        <v>0</v>
      </c>
      <c r="N47" s="44">
        <v>0</v>
      </c>
      <c r="O47" s="46" t="str">
        <f t="shared" si="0"/>
        <v>2025-01</v>
      </c>
      <c r="T47">
        <f>COUNTIF('UN｜CVレポート'!H:H,流入チャネル別顧客一覧_7月以降完全ユニークではない!#REF!)</f>
        <v>0</v>
      </c>
    </row>
    <row r="48" spans="2:20" ht="18.75">
      <c r="B48" s="44" t="s">
        <v>51</v>
      </c>
      <c r="C48" s="45">
        <v>45664.438194444447</v>
      </c>
      <c r="D48" s="44" t="s">
        <v>205</v>
      </c>
      <c r="E48" s="44" t="s">
        <v>119</v>
      </c>
      <c r="F48" s="44" t="s">
        <v>28</v>
      </c>
      <c r="G48" s="44"/>
      <c r="H48" s="44">
        <v>0</v>
      </c>
      <c r="I48" s="44">
        <v>0</v>
      </c>
      <c r="J48" s="44">
        <v>0</v>
      </c>
      <c r="K48" s="44">
        <v>0</v>
      </c>
      <c r="L48" s="44">
        <v>1</v>
      </c>
      <c r="M48" s="44">
        <v>0</v>
      </c>
      <c r="N48" s="44">
        <v>0</v>
      </c>
      <c r="O48" s="46" t="str">
        <f t="shared" si="0"/>
        <v>2025-01</v>
      </c>
      <c r="T48">
        <f>COUNTIF('UN｜CVレポート'!H:H,流入チャネル別顧客一覧_7月以降完全ユニークではない!#REF!)</f>
        <v>0</v>
      </c>
    </row>
    <row r="49" spans="2:20" ht="18.75">
      <c r="B49" s="44" t="s">
        <v>84</v>
      </c>
      <c r="C49" s="45">
        <v>45666.761805555558</v>
      </c>
      <c r="D49" s="50" t="s">
        <v>208</v>
      </c>
      <c r="E49" s="44" t="s">
        <v>199</v>
      </c>
      <c r="F49" s="44" t="s">
        <v>27</v>
      </c>
      <c r="G49" s="44"/>
      <c r="H49" s="44">
        <v>0</v>
      </c>
      <c r="I49" s="44">
        <v>0</v>
      </c>
      <c r="J49" s="44">
        <v>0</v>
      </c>
      <c r="K49" s="44">
        <v>1</v>
      </c>
      <c r="L49" s="44">
        <v>0</v>
      </c>
      <c r="M49" s="44">
        <v>0</v>
      </c>
      <c r="N49" s="44">
        <v>0</v>
      </c>
      <c r="O49" s="46" t="str">
        <f t="shared" si="0"/>
        <v>2025-01</v>
      </c>
      <c r="P49" s="49">
        <v>45666</v>
      </c>
      <c r="Q49" s="49">
        <v>45689</v>
      </c>
      <c r="T49">
        <f>COUNTIF('UN｜CVレポート'!H:H,流入チャネル別顧客一覧_7月以降完全ユニークではない!#REF!)</f>
        <v>0</v>
      </c>
    </row>
    <row r="50" spans="2:20" ht="18.75">
      <c r="B50" s="44" t="s">
        <v>56</v>
      </c>
      <c r="C50" s="45">
        <v>45667.436805555553</v>
      </c>
      <c r="D50" s="44" t="s">
        <v>211</v>
      </c>
      <c r="E50" s="44" t="s">
        <v>119</v>
      </c>
      <c r="F50" s="44" t="s">
        <v>25</v>
      </c>
      <c r="G50" s="44"/>
      <c r="H50" s="44">
        <v>0</v>
      </c>
      <c r="I50" s="44">
        <v>1</v>
      </c>
      <c r="J50" s="44">
        <v>0</v>
      </c>
      <c r="K50" s="44">
        <v>0</v>
      </c>
      <c r="L50" s="44">
        <v>0</v>
      </c>
      <c r="M50" s="44">
        <v>0</v>
      </c>
      <c r="N50" s="44">
        <v>0</v>
      </c>
      <c r="O50" s="46" t="str">
        <f t="shared" si="0"/>
        <v>2025-01</v>
      </c>
      <c r="T50">
        <f>COUNTIF('UN｜CVレポート'!H:H,流入チャネル別顧客一覧_7月以降完全ユニークではない!#REF!)</f>
        <v>0</v>
      </c>
    </row>
    <row r="51" spans="2:20" ht="18.75">
      <c r="B51" s="44" t="s">
        <v>51</v>
      </c>
      <c r="C51" s="45">
        <v>45667.584722222222</v>
      </c>
      <c r="D51" s="44" t="s">
        <v>214</v>
      </c>
      <c r="E51" s="44" t="s">
        <v>119</v>
      </c>
      <c r="F51" s="44" t="s">
        <v>29</v>
      </c>
      <c r="G51" s="44"/>
      <c r="H51" s="44">
        <v>0</v>
      </c>
      <c r="I51" s="44">
        <v>0</v>
      </c>
      <c r="J51" s="44">
        <v>0</v>
      </c>
      <c r="K51" s="44">
        <v>0</v>
      </c>
      <c r="L51" s="44">
        <v>0</v>
      </c>
      <c r="M51" s="44">
        <v>1</v>
      </c>
      <c r="N51" s="44">
        <v>0</v>
      </c>
      <c r="O51" s="46" t="str">
        <f t="shared" si="0"/>
        <v>2025-01</v>
      </c>
      <c r="T51">
        <f>COUNTIF('UN｜CVレポート'!H:H,流入チャネル別顧客一覧_7月以降完全ユニークではない!#REF!)</f>
        <v>0</v>
      </c>
    </row>
    <row r="52" spans="2:20" ht="18.75">
      <c r="B52" s="44" t="s">
        <v>56</v>
      </c>
      <c r="C52" s="45">
        <v>45671.395138888889</v>
      </c>
      <c r="D52" s="51" t="s">
        <v>217</v>
      </c>
      <c r="E52" s="44" t="s">
        <v>149</v>
      </c>
      <c r="F52" s="44" t="s">
        <v>26</v>
      </c>
      <c r="G52" s="44"/>
      <c r="H52" s="44">
        <v>0</v>
      </c>
      <c r="I52" s="44">
        <v>0</v>
      </c>
      <c r="J52" s="44">
        <v>1</v>
      </c>
      <c r="K52" s="44">
        <v>0</v>
      </c>
      <c r="L52" s="44">
        <v>0</v>
      </c>
      <c r="M52" s="44">
        <v>0</v>
      </c>
      <c r="N52" s="44">
        <v>0</v>
      </c>
      <c r="O52" s="46" t="str">
        <f t="shared" si="0"/>
        <v>2025-01</v>
      </c>
      <c r="P52" s="73"/>
      <c r="S52" s="52" t="s">
        <v>219</v>
      </c>
      <c r="T52">
        <f>COUNTIF('UN｜CVレポート'!H:H,流入チャネル別顧客一覧_7月以降完全ユニークではない!#REF!)</f>
        <v>0</v>
      </c>
    </row>
    <row r="53" spans="2:20" ht="18.75">
      <c r="B53" s="44" t="s">
        <v>56</v>
      </c>
      <c r="C53" s="45">
        <v>45671.402083333334</v>
      </c>
      <c r="D53" s="51" t="s">
        <v>221</v>
      </c>
      <c r="E53" s="44" t="s">
        <v>135</v>
      </c>
      <c r="F53" s="44" t="s">
        <v>29</v>
      </c>
      <c r="G53" s="44"/>
      <c r="H53" s="44">
        <v>0</v>
      </c>
      <c r="I53" s="44">
        <v>0</v>
      </c>
      <c r="J53" s="44">
        <v>0</v>
      </c>
      <c r="K53" s="44">
        <v>0</v>
      </c>
      <c r="L53" s="44">
        <v>0</v>
      </c>
      <c r="M53" s="44">
        <v>1</v>
      </c>
      <c r="N53" s="44">
        <v>0</v>
      </c>
      <c r="O53" s="46" t="str">
        <f t="shared" si="0"/>
        <v>2025-01</v>
      </c>
      <c r="P53" s="73"/>
      <c r="S53" s="52" t="s">
        <v>219</v>
      </c>
      <c r="T53">
        <f>COUNTIF('UN｜CVレポート'!H:H,流入チャネル別顧客一覧_7月以降完全ユニークではない!#REF!)</f>
        <v>0</v>
      </c>
    </row>
    <row r="54" spans="2:20" ht="18.75">
      <c r="B54" s="44" t="s">
        <v>56</v>
      </c>
      <c r="C54" s="45">
        <v>45671.509722222225</v>
      </c>
      <c r="D54" s="44" t="s">
        <v>224</v>
      </c>
      <c r="E54" s="44" t="s">
        <v>119</v>
      </c>
      <c r="F54" s="44" t="s">
        <v>27</v>
      </c>
      <c r="G54" s="44"/>
      <c r="H54" s="44">
        <v>0</v>
      </c>
      <c r="I54" s="44">
        <v>0</v>
      </c>
      <c r="J54" s="44">
        <v>0</v>
      </c>
      <c r="K54" s="44">
        <v>1</v>
      </c>
      <c r="L54" s="44">
        <v>0</v>
      </c>
      <c r="M54" s="44">
        <v>0</v>
      </c>
      <c r="N54" s="44">
        <v>0</v>
      </c>
      <c r="O54" s="46" t="str">
        <f t="shared" si="0"/>
        <v>2025-01</v>
      </c>
      <c r="T54">
        <f>COUNTIF('UN｜CVレポート'!H:H,流入チャネル別顧客一覧_7月以降完全ユニークではない!#REF!)</f>
        <v>0</v>
      </c>
    </row>
    <row r="55" spans="2:20" ht="18.75">
      <c r="B55" s="44" t="s">
        <v>84</v>
      </c>
      <c r="C55" s="45">
        <v>45673.762499999997</v>
      </c>
      <c r="D55" s="44" t="s">
        <v>227</v>
      </c>
      <c r="E55" s="44" t="s">
        <v>123</v>
      </c>
      <c r="F55" s="44" t="s">
        <v>27</v>
      </c>
      <c r="G55" s="44"/>
      <c r="H55" s="44">
        <v>0</v>
      </c>
      <c r="I55" s="44">
        <v>0</v>
      </c>
      <c r="J55" s="44">
        <v>0</v>
      </c>
      <c r="K55" s="44">
        <v>1</v>
      </c>
      <c r="L55" s="44">
        <v>0</v>
      </c>
      <c r="M55" s="44">
        <v>0</v>
      </c>
      <c r="N55" s="44">
        <v>0</v>
      </c>
      <c r="O55" s="46" t="str">
        <f t="shared" si="0"/>
        <v>2025-01</v>
      </c>
      <c r="T55">
        <f>COUNTIF('UN｜CVレポート'!H:H,流入チャネル別顧客一覧_7月以降完全ユニークではない!#REF!)</f>
        <v>0</v>
      </c>
    </row>
    <row r="56" spans="2:20" ht="18.75">
      <c r="B56" s="44" t="s">
        <v>56</v>
      </c>
      <c r="C56" s="45">
        <v>45677.636805555558</v>
      </c>
      <c r="D56" s="44" t="s">
        <v>230</v>
      </c>
      <c r="E56" s="44" t="s">
        <v>119</v>
      </c>
      <c r="F56" s="44" t="s">
        <v>25</v>
      </c>
      <c r="G56" s="44"/>
      <c r="H56" s="44">
        <v>0</v>
      </c>
      <c r="I56" s="44">
        <v>1</v>
      </c>
      <c r="J56" s="44">
        <v>0</v>
      </c>
      <c r="K56" s="44">
        <v>0</v>
      </c>
      <c r="L56" s="44">
        <v>0</v>
      </c>
      <c r="M56" s="44">
        <v>0</v>
      </c>
      <c r="N56" s="44">
        <v>0</v>
      </c>
      <c r="O56" s="46" t="str">
        <f t="shared" si="0"/>
        <v>2025-01</v>
      </c>
      <c r="T56">
        <f>COUNTIF('UN｜CVレポート'!H:H,流入チャネル別顧客一覧_7月以降完全ユニークではない!#REF!)</f>
        <v>0</v>
      </c>
    </row>
    <row r="57" spans="2:20" ht="18.75">
      <c r="B57" s="44" t="s">
        <v>84</v>
      </c>
      <c r="C57" s="45">
        <v>45677.90625</v>
      </c>
      <c r="D57" s="44" t="s">
        <v>233</v>
      </c>
      <c r="E57" s="44" t="s">
        <v>123</v>
      </c>
      <c r="F57" s="44" t="s">
        <v>26</v>
      </c>
      <c r="G57" s="44"/>
      <c r="H57" s="44">
        <v>0</v>
      </c>
      <c r="I57" s="44">
        <v>0</v>
      </c>
      <c r="J57" s="44">
        <v>1</v>
      </c>
      <c r="K57" s="44">
        <v>0</v>
      </c>
      <c r="L57" s="44">
        <v>0</v>
      </c>
      <c r="M57" s="44">
        <v>0</v>
      </c>
      <c r="N57" s="44">
        <v>0</v>
      </c>
      <c r="O57" s="46" t="str">
        <f t="shared" si="0"/>
        <v>2025-01</v>
      </c>
      <c r="T57">
        <f>COUNTIF('UN｜CVレポート'!H:H,流入チャネル別顧客一覧_7月以降完全ユニークではない!#REF!)</f>
        <v>0</v>
      </c>
    </row>
    <row r="58" spans="2:20" ht="18.75">
      <c r="B58" s="44" t="s">
        <v>51</v>
      </c>
      <c r="C58" s="45">
        <v>45678.381944444445</v>
      </c>
      <c r="D58" s="44" t="s">
        <v>236</v>
      </c>
      <c r="E58" s="44" t="s">
        <v>119</v>
      </c>
      <c r="F58" s="44" t="s">
        <v>28</v>
      </c>
      <c r="G58" s="44"/>
      <c r="H58" s="44">
        <v>0</v>
      </c>
      <c r="I58" s="44">
        <v>0</v>
      </c>
      <c r="J58" s="44">
        <v>0</v>
      </c>
      <c r="K58" s="44">
        <v>0</v>
      </c>
      <c r="L58" s="44">
        <v>1</v>
      </c>
      <c r="M58" s="44">
        <v>0</v>
      </c>
      <c r="N58" s="44">
        <v>0</v>
      </c>
      <c r="O58" s="46" t="str">
        <f t="shared" si="0"/>
        <v>2025-01</v>
      </c>
      <c r="T58">
        <f>COUNTIF('UN｜CVレポート'!H:H,流入チャネル別顧客一覧_7月以降完全ユニークではない!#REF!)</f>
        <v>0</v>
      </c>
    </row>
    <row r="59" spans="2:20" ht="18.75">
      <c r="B59" s="44" t="s">
        <v>56</v>
      </c>
      <c r="C59" s="45">
        <v>45681.386111111111</v>
      </c>
      <c r="D59" s="50" t="s">
        <v>239</v>
      </c>
      <c r="E59" s="44" t="s">
        <v>119</v>
      </c>
      <c r="F59" s="44" t="s">
        <v>29</v>
      </c>
      <c r="G59" s="44"/>
      <c r="H59" s="44">
        <v>0</v>
      </c>
      <c r="I59" s="44">
        <v>0</v>
      </c>
      <c r="J59" s="44">
        <v>0</v>
      </c>
      <c r="K59" s="44">
        <v>0</v>
      </c>
      <c r="L59" s="44">
        <v>0</v>
      </c>
      <c r="M59" s="44">
        <v>1</v>
      </c>
      <c r="N59" s="44">
        <v>0</v>
      </c>
      <c r="O59" s="46" t="str">
        <f t="shared" si="0"/>
        <v>2025-01</v>
      </c>
      <c r="P59" s="49">
        <v>45681</v>
      </c>
      <c r="Q59" s="49">
        <v>45682</v>
      </c>
      <c r="T59">
        <f>COUNTIF('UN｜CVレポート'!H:H,流入チャネル別顧客一覧_7月以降完全ユニークではない!#REF!)</f>
        <v>0</v>
      </c>
    </row>
    <row r="60" spans="2:20" ht="18.75">
      <c r="B60" s="44" t="s">
        <v>56</v>
      </c>
      <c r="C60" s="45">
        <v>45681.574305555558</v>
      </c>
      <c r="D60" s="51" t="s">
        <v>242</v>
      </c>
      <c r="E60" s="44" t="s">
        <v>149</v>
      </c>
      <c r="F60" s="44" t="s">
        <v>30</v>
      </c>
      <c r="G60" s="44"/>
      <c r="H60" s="44">
        <v>0</v>
      </c>
      <c r="I60" s="44">
        <v>0</v>
      </c>
      <c r="J60" s="44">
        <v>0</v>
      </c>
      <c r="K60" s="44">
        <v>0</v>
      </c>
      <c r="L60" s="44">
        <v>0</v>
      </c>
      <c r="M60" s="44">
        <v>0</v>
      </c>
      <c r="N60" s="44">
        <v>1</v>
      </c>
      <c r="O60" s="46" t="str">
        <f t="shared" si="0"/>
        <v>2025-01</v>
      </c>
      <c r="P60" s="73"/>
      <c r="S60" s="52" t="s">
        <v>219</v>
      </c>
      <c r="T60">
        <f>COUNTIF('UN｜CVレポート'!H:H,流入チャネル別顧客一覧_7月以降完全ユニークではない!#REF!)</f>
        <v>0</v>
      </c>
    </row>
    <row r="61" spans="2:20" ht="18.75">
      <c r="B61" s="44" t="s">
        <v>51</v>
      </c>
      <c r="C61" s="45">
        <v>45681.594444444447</v>
      </c>
      <c r="D61" s="50" t="s">
        <v>245</v>
      </c>
      <c r="E61" s="44" t="s">
        <v>119</v>
      </c>
      <c r="F61" s="44" t="s">
        <v>27</v>
      </c>
      <c r="G61" s="44"/>
      <c r="H61" s="44">
        <v>0</v>
      </c>
      <c r="I61" s="44">
        <v>0</v>
      </c>
      <c r="J61" s="44">
        <v>0</v>
      </c>
      <c r="K61" s="44">
        <v>1</v>
      </c>
      <c r="L61" s="44">
        <v>0</v>
      </c>
      <c r="M61" s="44">
        <v>0</v>
      </c>
      <c r="N61" s="44">
        <v>0</v>
      </c>
      <c r="O61" s="46" t="str">
        <f t="shared" si="0"/>
        <v>2025-01</v>
      </c>
      <c r="P61" s="49">
        <v>45681</v>
      </c>
      <c r="Q61" s="49">
        <v>45717</v>
      </c>
      <c r="T61">
        <f>COUNTIF('UN｜CVレポート'!H:H,流入チャネル別顧客一覧_7月以降完全ユニークではない!#REF!)</f>
        <v>0</v>
      </c>
    </row>
    <row r="62" spans="2:20" ht="18.75">
      <c r="B62" s="44" t="s">
        <v>84</v>
      </c>
      <c r="C62" s="45">
        <v>45684.747916666667</v>
      </c>
      <c r="D62" s="44" t="s">
        <v>248</v>
      </c>
      <c r="E62" s="44" t="s">
        <v>123</v>
      </c>
      <c r="F62" s="44" t="s">
        <v>27</v>
      </c>
      <c r="G62" s="44"/>
      <c r="H62" s="44">
        <v>0</v>
      </c>
      <c r="I62" s="44">
        <v>0</v>
      </c>
      <c r="J62" s="44">
        <v>0</v>
      </c>
      <c r="K62" s="44">
        <v>1</v>
      </c>
      <c r="L62" s="44">
        <v>0</v>
      </c>
      <c r="M62" s="44">
        <v>0</v>
      </c>
      <c r="N62" s="44">
        <v>0</v>
      </c>
      <c r="O62" s="46" t="str">
        <f t="shared" si="0"/>
        <v>2025-01</v>
      </c>
      <c r="T62">
        <f>COUNTIF('UN｜CVレポート'!H:H,流入チャネル別顧客一覧_7月以降完全ユニークではない!#REF!)</f>
        <v>0</v>
      </c>
    </row>
    <row r="63" spans="2:20" ht="18.75">
      <c r="B63" s="44" t="s">
        <v>56</v>
      </c>
      <c r="C63" s="45">
        <v>45690.593055555553</v>
      </c>
      <c r="D63" s="51" t="s">
        <v>251</v>
      </c>
      <c r="E63" s="44" t="s">
        <v>135</v>
      </c>
      <c r="F63" s="44" t="s">
        <v>25</v>
      </c>
      <c r="G63" s="44"/>
      <c r="H63" s="44">
        <v>0</v>
      </c>
      <c r="I63" s="44">
        <v>1</v>
      </c>
      <c r="J63" s="44">
        <v>0</v>
      </c>
      <c r="K63" s="44">
        <v>0</v>
      </c>
      <c r="L63" s="44">
        <v>0</v>
      </c>
      <c r="M63" s="44">
        <v>0</v>
      </c>
      <c r="N63" s="44">
        <v>0</v>
      </c>
      <c r="O63" s="46" t="str">
        <f t="shared" si="0"/>
        <v>2025-02</v>
      </c>
      <c r="P63" s="73"/>
      <c r="S63" s="52" t="s">
        <v>145</v>
      </c>
      <c r="T63">
        <f>COUNTIF('UN｜CVレポート'!H:H,流入チャネル別顧客一覧_7月以降完全ユニークではない!#REF!)</f>
        <v>0</v>
      </c>
    </row>
    <row r="64" spans="2:20" ht="18.75">
      <c r="B64" s="44" t="s">
        <v>51</v>
      </c>
      <c r="C64" s="45">
        <v>45691.425000000003</v>
      </c>
      <c r="D64" s="50" t="s">
        <v>254</v>
      </c>
      <c r="E64" s="44" t="s">
        <v>135</v>
      </c>
      <c r="F64" s="44" t="s">
        <v>28</v>
      </c>
      <c r="G64" s="44"/>
      <c r="H64" s="44">
        <v>0</v>
      </c>
      <c r="I64" s="44">
        <v>0</v>
      </c>
      <c r="J64" s="44">
        <v>0</v>
      </c>
      <c r="K64" s="44">
        <v>0</v>
      </c>
      <c r="L64" s="44">
        <v>1</v>
      </c>
      <c r="M64" s="44">
        <v>0</v>
      </c>
      <c r="N64" s="44">
        <v>0</v>
      </c>
      <c r="O64" s="46" t="str">
        <f t="shared" si="0"/>
        <v>2025-02</v>
      </c>
      <c r="P64" s="49">
        <v>45691</v>
      </c>
      <c r="Q64" s="49">
        <v>46137</v>
      </c>
      <c r="S64" s="46" t="s">
        <v>256</v>
      </c>
      <c r="T64">
        <f>COUNTIF('UN｜CVレポート'!H:H,流入チャネル別顧客一覧_7月以降完全ユニークではない!#REF!)</f>
        <v>0</v>
      </c>
    </row>
    <row r="65" spans="2:20" ht="18.75">
      <c r="B65" s="44" t="s">
        <v>51</v>
      </c>
      <c r="C65" s="45">
        <v>45691.440972222219</v>
      </c>
      <c r="D65" s="50" t="s">
        <v>258</v>
      </c>
      <c r="E65" s="44" t="s">
        <v>135</v>
      </c>
      <c r="F65" s="44" t="s">
        <v>28</v>
      </c>
      <c r="G65" s="44"/>
      <c r="H65" s="44">
        <v>0</v>
      </c>
      <c r="I65" s="44">
        <v>0</v>
      </c>
      <c r="J65" s="44">
        <v>0</v>
      </c>
      <c r="K65" s="44">
        <v>0</v>
      </c>
      <c r="L65" s="44">
        <v>1</v>
      </c>
      <c r="M65" s="44">
        <v>0</v>
      </c>
      <c r="N65" s="44">
        <v>0</v>
      </c>
      <c r="O65" s="46" t="str">
        <f t="shared" si="0"/>
        <v>2025-02</v>
      </c>
      <c r="P65" s="49">
        <v>45691</v>
      </c>
      <c r="Q65" s="49">
        <v>45764</v>
      </c>
      <c r="T65">
        <f>COUNTIF('UN｜CVレポート'!H:H,流入チャネル別顧客一覧_7月以降完全ユニークではない!#REF!)</f>
        <v>0</v>
      </c>
    </row>
    <row r="66" spans="2:20" ht="18.75">
      <c r="B66" s="44" t="s">
        <v>51</v>
      </c>
      <c r="C66" s="45">
        <v>45693.643750000003</v>
      </c>
      <c r="D66" s="44" t="s">
        <v>261</v>
      </c>
      <c r="E66" s="44" t="s">
        <v>119</v>
      </c>
      <c r="F66" s="44" t="s">
        <v>26</v>
      </c>
      <c r="G66" s="44"/>
      <c r="H66" s="44">
        <v>0</v>
      </c>
      <c r="I66" s="44">
        <v>0</v>
      </c>
      <c r="J66" s="44">
        <v>1</v>
      </c>
      <c r="K66" s="44">
        <v>0</v>
      </c>
      <c r="L66" s="44">
        <v>0</v>
      </c>
      <c r="M66" s="44">
        <v>0</v>
      </c>
      <c r="N66" s="44">
        <v>0</v>
      </c>
      <c r="O66" s="46" t="str">
        <f t="shared" ref="O66:O129" si="1">TEXT(C66, "yyyy-mm")</f>
        <v>2025-02</v>
      </c>
      <c r="T66">
        <f>COUNTIF('UN｜CVレポート'!H:H,流入チャネル別顧客一覧_7月以降完全ユニークではない!#REF!)</f>
        <v>0</v>
      </c>
    </row>
    <row r="67" spans="2:20" ht="18.75">
      <c r="B67" s="44" t="s">
        <v>51</v>
      </c>
      <c r="C67" s="45">
        <v>45697.667361111111</v>
      </c>
      <c r="D67" s="44" t="s">
        <v>264</v>
      </c>
      <c r="E67" s="44" t="s">
        <v>119</v>
      </c>
      <c r="F67" s="44" t="s">
        <v>26</v>
      </c>
      <c r="G67" s="44"/>
      <c r="H67" s="44">
        <v>0</v>
      </c>
      <c r="I67" s="44">
        <v>0</v>
      </c>
      <c r="J67" s="44">
        <v>1</v>
      </c>
      <c r="K67" s="44">
        <v>0</v>
      </c>
      <c r="L67" s="44">
        <v>0</v>
      </c>
      <c r="M67" s="44">
        <v>0</v>
      </c>
      <c r="N67" s="44">
        <v>0</v>
      </c>
      <c r="O67" s="46" t="str">
        <f t="shared" si="1"/>
        <v>2025-02</v>
      </c>
      <c r="T67">
        <f>COUNTIF('UN｜CVレポート'!H:H,流入チャネル別顧客一覧_7月以降完全ユニークではない!#REF!)</f>
        <v>0</v>
      </c>
    </row>
    <row r="68" spans="2:20" ht="18.75">
      <c r="B68" s="44" t="s">
        <v>56</v>
      </c>
      <c r="C68" s="45">
        <v>45698.726388888892</v>
      </c>
      <c r="D68" s="44" t="s">
        <v>267</v>
      </c>
      <c r="E68" s="44" t="s">
        <v>154</v>
      </c>
      <c r="F68" s="44" t="s">
        <v>27</v>
      </c>
      <c r="G68" s="44"/>
      <c r="H68" s="44">
        <v>0</v>
      </c>
      <c r="I68" s="44">
        <v>0</v>
      </c>
      <c r="J68" s="44">
        <v>0</v>
      </c>
      <c r="K68" s="44">
        <v>1</v>
      </c>
      <c r="L68" s="44">
        <v>0</v>
      </c>
      <c r="M68" s="44">
        <v>0</v>
      </c>
      <c r="N68" s="44">
        <v>0</v>
      </c>
      <c r="O68" s="46" t="str">
        <f t="shared" si="1"/>
        <v>2025-02</v>
      </c>
      <c r="T68">
        <f>COUNTIF('UN｜CVレポート'!H:H,流入チャネル別顧客一覧_7月以降完全ユニークではない!#REF!)</f>
        <v>0</v>
      </c>
    </row>
    <row r="69" spans="2:20" ht="18.75">
      <c r="B69" s="44" t="s">
        <v>56</v>
      </c>
      <c r="C69" s="45">
        <v>45700.686111111114</v>
      </c>
      <c r="D69" s="44" t="s">
        <v>270</v>
      </c>
      <c r="E69" s="44" t="s">
        <v>119</v>
      </c>
      <c r="F69" s="44" t="s">
        <v>27</v>
      </c>
      <c r="G69" s="44"/>
      <c r="H69" s="44">
        <v>0</v>
      </c>
      <c r="I69" s="44">
        <v>0</v>
      </c>
      <c r="J69" s="44">
        <v>0</v>
      </c>
      <c r="K69" s="44">
        <v>1</v>
      </c>
      <c r="L69" s="44">
        <v>0</v>
      </c>
      <c r="M69" s="44">
        <v>0</v>
      </c>
      <c r="N69" s="44">
        <v>0</v>
      </c>
      <c r="O69" s="46" t="str">
        <f t="shared" si="1"/>
        <v>2025-02</v>
      </c>
      <c r="T69">
        <f>COUNTIF('UN｜CVレポート'!H:H,流入チャネル別顧客一覧_7月以降完全ユニークではない!#REF!)</f>
        <v>0</v>
      </c>
    </row>
    <row r="70" spans="2:20" ht="18.75">
      <c r="B70" s="44" t="s">
        <v>84</v>
      </c>
      <c r="C70" s="45">
        <v>45701.554166666669</v>
      </c>
      <c r="D70" s="44" t="s">
        <v>273</v>
      </c>
      <c r="E70" s="44" t="s">
        <v>123</v>
      </c>
      <c r="F70" s="44" t="s">
        <v>25</v>
      </c>
      <c r="G70" s="44"/>
      <c r="H70" s="44">
        <v>0</v>
      </c>
      <c r="I70" s="44">
        <v>1</v>
      </c>
      <c r="J70" s="44">
        <v>0</v>
      </c>
      <c r="K70" s="44">
        <v>0</v>
      </c>
      <c r="L70" s="44">
        <v>0</v>
      </c>
      <c r="M70" s="44">
        <v>0</v>
      </c>
      <c r="N70" s="44">
        <v>0</v>
      </c>
      <c r="O70" s="46" t="str">
        <f t="shared" si="1"/>
        <v>2025-02</v>
      </c>
      <c r="T70">
        <f>COUNTIF('UN｜CVレポート'!H:H,流入チャネル別顧客一覧_7月以降完全ユニークではない!#REF!)</f>
        <v>0</v>
      </c>
    </row>
    <row r="71" spans="2:20" ht="18.75">
      <c r="B71" s="44" t="s">
        <v>56</v>
      </c>
      <c r="C71" s="45">
        <v>45701.637499999997</v>
      </c>
      <c r="D71" s="44" t="s">
        <v>276</v>
      </c>
      <c r="E71" s="44" t="s">
        <v>119</v>
      </c>
      <c r="F71" s="44" t="s">
        <v>26</v>
      </c>
      <c r="G71" s="44"/>
      <c r="H71" s="44">
        <v>0</v>
      </c>
      <c r="I71" s="44">
        <v>0</v>
      </c>
      <c r="J71" s="44">
        <v>1</v>
      </c>
      <c r="K71" s="44">
        <v>0</v>
      </c>
      <c r="L71" s="44">
        <v>0</v>
      </c>
      <c r="M71" s="44">
        <v>0</v>
      </c>
      <c r="N71" s="44">
        <v>0</v>
      </c>
      <c r="O71" s="46" t="str">
        <f t="shared" si="1"/>
        <v>2025-02</v>
      </c>
      <c r="T71">
        <f>COUNTIF('UN｜CVレポート'!H:H,流入チャネル別顧客一覧_7月以降完全ユニークではない!#REF!)</f>
        <v>0</v>
      </c>
    </row>
    <row r="72" spans="2:20" ht="18.75">
      <c r="B72" s="44" t="s">
        <v>84</v>
      </c>
      <c r="C72" s="45">
        <v>45702.621527777781</v>
      </c>
      <c r="D72" s="44" t="s">
        <v>279</v>
      </c>
      <c r="E72" s="44" t="s">
        <v>154</v>
      </c>
      <c r="F72" s="44" t="s">
        <v>27</v>
      </c>
      <c r="G72" s="44"/>
      <c r="H72" s="44">
        <v>0</v>
      </c>
      <c r="I72" s="44">
        <v>0</v>
      </c>
      <c r="J72" s="44">
        <v>0</v>
      </c>
      <c r="K72" s="44">
        <v>1</v>
      </c>
      <c r="L72" s="44">
        <v>0</v>
      </c>
      <c r="M72" s="44">
        <v>0</v>
      </c>
      <c r="N72" s="44">
        <v>0</v>
      </c>
      <c r="O72" s="46" t="str">
        <f t="shared" si="1"/>
        <v>2025-02</v>
      </c>
      <c r="T72">
        <f>COUNTIF('UN｜CVレポート'!H:H,流入チャネル別顧客一覧_7月以降完全ユニークではない!#REF!)</f>
        <v>0</v>
      </c>
    </row>
    <row r="73" spans="2:20" ht="18.75">
      <c r="B73" s="44" t="s">
        <v>51</v>
      </c>
      <c r="C73" s="45">
        <v>45702.645138888889</v>
      </c>
      <c r="D73" s="50" t="s">
        <v>282</v>
      </c>
      <c r="E73" s="44" t="s">
        <v>135</v>
      </c>
      <c r="F73" s="44" t="s">
        <v>24</v>
      </c>
      <c r="G73" s="44"/>
      <c r="H73" s="44">
        <v>1</v>
      </c>
      <c r="I73" s="44">
        <v>0</v>
      </c>
      <c r="J73" s="44">
        <v>0</v>
      </c>
      <c r="K73" s="44">
        <v>0</v>
      </c>
      <c r="L73" s="44">
        <v>0</v>
      </c>
      <c r="M73" s="44">
        <v>0</v>
      </c>
      <c r="N73" s="44">
        <v>0</v>
      </c>
      <c r="O73" s="46" t="str">
        <f t="shared" si="1"/>
        <v>2025-02</v>
      </c>
      <c r="P73" s="49">
        <v>45702</v>
      </c>
      <c r="Q73" s="49">
        <v>45737</v>
      </c>
      <c r="S73" s="46" t="s">
        <v>284</v>
      </c>
      <c r="T73">
        <f>COUNTIF('UN｜CVレポート'!H:H,流入チャネル別顧客一覧_7月以降完全ユニークではない!#REF!)</f>
        <v>0</v>
      </c>
    </row>
    <row r="74" spans="2:20" ht="18.75">
      <c r="B74" s="44" t="s">
        <v>51</v>
      </c>
      <c r="C74" s="45">
        <v>45706.452777777777</v>
      </c>
      <c r="D74" s="50" t="s">
        <v>286</v>
      </c>
      <c r="E74" s="44" t="s">
        <v>149</v>
      </c>
      <c r="F74" s="44" t="s">
        <v>29</v>
      </c>
      <c r="G74" s="44"/>
      <c r="H74" s="44">
        <v>0</v>
      </c>
      <c r="I74" s="44">
        <v>0</v>
      </c>
      <c r="J74" s="44">
        <v>0</v>
      </c>
      <c r="K74" s="44">
        <v>0</v>
      </c>
      <c r="L74" s="44">
        <v>0</v>
      </c>
      <c r="M74" s="44">
        <v>1</v>
      </c>
      <c r="N74" s="44">
        <v>0</v>
      </c>
      <c r="O74" s="46" t="str">
        <f t="shared" si="1"/>
        <v>2025-02</v>
      </c>
      <c r="S74" s="46" t="s">
        <v>288</v>
      </c>
      <c r="T74">
        <f>COUNTIF('UN｜CVレポート'!H:H,流入チャネル別顧客一覧_7月以降完全ユニークではない!#REF!)</f>
        <v>0</v>
      </c>
    </row>
    <row r="75" spans="2:20" ht="18.75">
      <c r="B75" s="44" t="s">
        <v>56</v>
      </c>
      <c r="C75" s="45">
        <v>45708.772222222222</v>
      </c>
      <c r="D75" s="50" t="s">
        <v>290</v>
      </c>
      <c r="E75" s="44" t="s">
        <v>119</v>
      </c>
      <c r="F75" s="44" t="s">
        <v>29</v>
      </c>
      <c r="G75" s="44"/>
      <c r="H75" s="44">
        <v>0</v>
      </c>
      <c r="I75" s="44">
        <v>0</v>
      </c>
      <c r="J75" s="44">
        <v>0</v>
      </c>
      <c r="K75" s="44">
        <v>0</v>
      </c>
      <c r="L75" s="44">
        <v>0</v>
      </c>
      <c r="M75" s="44">
        <v>1</v>
      </c>
      <c r="N75" s="44">
        <v>0</v>
      </c>
      <c r="O75" s="46" t="str">
        <f t="shared" si="1"/>
        <v>2025-02</v>
      </c>
      <c r="P75" s="49">
        <v>45708</v>
      </c>
      <c r="Q75" s="49">
        <v>45717</v>
      </c>
      <c r="S75" s="46" t="s">
        <v>292</v>
      </c>
      <c r="T75">
        <f>COUNTIF('UN｜CVレポート'!H:H,流入チャネル別顧客一覧_7月以降完全ユニークではない!#REF!)</f>
        <v>0</v>
      </c>
    </row>
    <row r="76" spans="2:20" ht="18.75">
      <c r="B76" s="44" t="s">
        <v>56</v>
      </c>
      <c r="C76" s="45">
        <v>45713.731944444444</v>
      </c>
      <c r="D76" s="44" t="s">
        <v>294</v>
      </c>
      <c r="E76" s="44" t="s">
        <v>154</v>
      </c>
      <c r="F76" s="44" t="s">
        <v>26</v>
      </c>
      <c r="G76" s="44"/>
      <c r="H76" s="44">
        <v>0</v>
      </c>
      <c r="I76" s="44">
        <v>0</v>
      </c>
      <c r="J76" s="44">
        <v>1</v>
      </c>
      <c r="K76" s="44">
        <v>0</v>
      </c>
      <c r="L76" s="44">
        <v>0</v>
      </c>
      <c r="M76" s="44">
        <v>0</v>
      </c>
      <c r="N76" s="44">
        <v>0</v>
      </c>
      <c r="O76" s="46" t="str">
        <f t="shared" si="1"/>
        <v>2025-02</v>
      </c>
      <c r="T76">
        <f>COUNTIF('UN｜CVレポート'!H:H,流入チャネル別顧客一覧_7月以降完全ユニークではない!#REF!)</f>
        <v>0</v>
      </c>
    </row>
    <row r="77" spans="2:20" ht="18.75">
      <c r="B77" s="44" t="s">
        <v>84</v>
      </c>
      <c r="C77" s="45">
        <v>45714.60833333333</v>
      </c>
      <c r="D77" s="44" t="s">
        <v>297</v>
      </c>
      <c r="E77" s="44" t="s">
        <v>154</v>
      </c>
      <c r="F77" s="44" t="s">
        <v>25</v>
      </c>
      <c r="G77" s="44"/>
      <c r="H77" s="44">
        <v>0</v>
      </c>
      <c r="I77" s="44">
        <v>1</v>
      </c>
      <c r="J77" s="44">
        <v>0</v>
      </c>
      <c r="K77" s="44">
        <v>0</v>
      </c>
      <c r="L77" s="44">
        <v>0</v>
      </c>
      <c r="M77" s="44">
        <v>0</v>
      </c>
      <c r="N77" s="44">
        <v>0</v>
      </c>
      <c r="O77" s="46" t="str">
        <f t="shared" si="1"/>
        <v>2025-02</v>
      </c>
      <c r="T77">
        <f>COUNTIF('UN｜CVレポート'!H:H,流入チャネル別顧客一覧_7月以降完全ユニークではない!#REF!)</f>
        <v>0</v>
      </c>
    </row>
    <row r="78" spans="2:20" ht="18.75">
      <c r="B78" s="44" t="s">
        <v>56</v>
      </c>
      <c r="C78" s="45">
        <v>45714.627083333333</v>
      </c>
      <c r="D78" s="50" t="s">
        <v>300</v>
      </c>
      <c r="E78" s="44" t="s">
        <v>149</v>
      </c>
      <c r="F78" s="44" t="s">
        <v>26</v>
      </c>
      <c r="G78" s="44"/>
      <c r="H78" s="44">
        <v>0</v>
      </c>
      <c r="I78" s="44">
        <v>0</v>
      </c>
      <c r="J78" s="44">
        <v>1</v>
      </c>
      <c r="K78" s="44">
        <v>0</v>
      </c>
      <c r="L78" s="44">
        <v>0</v>
      </c>
      <c r="M78" s="44">
        <v>0</v>
      </c>
      <c r="N78" s="44">
        <v>0</v>
      </c>
      <c r="O78" s="46" t="str">
        <f t="shared" si="1"/>
        <v>2025-02</v>
      </c>
      <c r="P78" s="49">
        <v>45689</v>
      </c>
      <c r="Q78" s="49">
        <v>45689</v>
      </c>
      <c r="T78">
        <f>COUNTIF('UN｜CVレポート'!H:H,流入チャネル別顧客一覧_7月以降完全ユニークではない!#REF!)</f>
        <v>0</v>
      </c>
    </row>
    <row r="79" spans="2:20" ht="18.75">
      <c r="B79" s="44" t="s">
        <v>84</v>
      </c>
      <c r="C79" s="45">
        <v>45716.454861111109</v>
      </c>
      <c r="D79" s="44" t="s">
        <v>303</v>
      </c>
      <c r="E79" s="44" t="s">
        <v>123</v>
      </c>
      <c r="F79" s="44" t="s">
        <v>29</v>
      </c>
      <c r="G79" s="44"/>
      <c r="H79" s="44">
        <v>0</v>
      </c>
      <c r="I79" s="44">
        <v>0</v>
      </c>
      <c r="J79" s="44">
        <v>0</v>
      </c>
      <c r="K79" s="44">
        <v>0</v>
      </c>
      <c r="L79" s="44">
        <v>0</v>
      </c>
      <c r="M79" s="44">
        <v>1</v>
      </c>
      <c r="N79" s="44">
        <v>0</v>
      </c>
      <c r="O79" s="46" t="str">
        <f t="shared" si="1"/>
        <v>2025-02</v>
      </c>
      <c r="T79">
        <f>COUNTIF('UN｜CVレポート'!H:H,流入チャネル別顧客一覧_7月以降完全ユニークではない!#REF!)</f>
        <v>0</v>
      </c>
    </row>
    <row r="80" spans="2:20" ht="18.75">
      <c r="B80" s="44" t="s">
        <v>56</v>
      </c>
      <c r="C80" s="45">
        <v>45716.688888888886</v>
      </c>
      <c r="D80" s="50" t="s">
        <v>306</v>
      </c>
      <c r="E80" s="44" t="s">
        <v>119</v>
      </c>
      <c r="F80" s="44" t="s">
        <v>26</v>
      </c>
      <c r="G80" s="44"/>
      <c r="H80" s="44">
        <v>0</v>
      </c>
      <c r="I80" s="44">
        <v>0</v>
      </c>
      <c r="J80" s="44">
        <v>1</v>
      </c>
      <c r="K80" s="44">
        <v>0</v>
      </c>
      <c r="L80" s="44">
        <v>0</v>
      </c>
      <c r="M80" s="44">
        <v>0</v>
      </c>
      <c r="N80" s="44">
        <v>0</v>
      </c>
      <c r="O80" s="46" t="str">
        <f t="shared" si="1"/>
        <v>2025-02</v>
      </c>
      <c r="P80" s="49">
        <v>45716</v>
      </c>
      <c r="Q80" s="57"/>
      <c r="S80" s="46" t="s">
        <v>308</v>
      </c>
      <c r="T80">
        <f>COUNTIF('UN｜CVレポート'!H:H,流入チャネル別顧客一覧_7月以降完全ユニークではない!#REF!)</f>
        <v>0</v>
      </c>
    </row>
    <row r="81" spans="2:20" ht="18.75">
      <c r="B81" s="44" t="s">
        <v>84</v>
      </c>
      <c r="C81" s="45">
        <v>45717.401388888888</v>
      </c>
      <c r="D81" s="53" t="s">
        <v>310</v>
      </c>
      <c r="E81" s="44" t="s">
        <v>154</v>
      </c>
      <c r="F81" s="44" t="s">
        <v>29</v>
      </c>
      <c r="G81" s="44"/>
      <c r="H81" s="44">
        <v>0</v>
      </c>
      <c r="I81" s="44">
        <v>0</v>
      </c>
      <c r="J81" s="44">
        <v>0</v>
      </c>
      <c r="K81" s="44">
        <v>0</v>
      </c>
      <c r="L81" s="44">
        <v>0</v>
      </c>
      <c r="M81" s="44">
        <v>1</v>
      </c>
      <c r="N81" s="44">
        <v>0</v>
      </c>
      <c r="O81" s="46" t="str">
        <f t="shared" si="1"/>
        <v>2025-03</v>
      </c>
      <c r="P81" s="49">
        <f>C81</f>
        <v>45717.401388888888</v>
      </c>
      <c r="Q81" s="49">
        <v>45747</v>
      </c>
      <c r="R81" s="54">
        <v>45807</v>
      </c>
      <c r="S81" s="55" t="s">
        <v>312</v>
      </c>
      <c r="T81">
        <f>COUNTIF('UN｜CVレポート'!H:H,流入チャネル別顧客一覧_7月以降完全ユニークではない!#REF!)</f>
        <v>0</v>
      </c>
    </row>
    <row r="82" spans="2:20" ht="18.75">
      <c r="B82" s="44" t="s">
        <v>56</v>
      </c>
      <c r="C82" s="45">
        <v>45720.538194444445</v>
      </c>
      <c r="D82" s="50" t="s">
        <v>314</v>
      </c>
      <c r="E82" s="44" t="s">
        <v>154</v>
      </c>
      <c r="F82" s="44" t="s">
        <v>26</v>
      </c>
      <c r="G82" s="44"/>
      <c r="H82" s="44">
        <v>0</v>
      </c>
      <c r="I82" s="44">
        <v>0</v>
      </c>
      <c r="J82" s="44">
        <v>1</v>
      </c>
      <c r="K82" s="44">
        <v>0</v>
      </c>
      <c r="L82" s="44">
        <v>0</v>
      </c>
      <c r="M82" s="44">
        <v>0</v>
      </c>
      <c r="N82" s="44">
        <v>0</v>
      </c>
      <c r="O82" s="46" t="str">
        <f t="shared" si="1"/>
        <v>2025-03</v>
      </c>
      <c r="P82" s="49">
        <f>C82</f>
        <v>45720.538194444445</v>
      </c>
      <c r="Q82" s="49">
        <v>46082</v>
      </c>
      <c r="S82" s="46" t="s">
        <v>316</v>
      </c>
      <c r="T82">
        <f>COUNTIF('UN｜CVレポート'!H:H,流入チャネル別顧客一覧_7月以降完全ユニークではない!#REF!)</f>
        <v>0</v>
      </c>
    </row>
    <row r="83" spans="2:20" ht="18.75">
      <c r="B83" s="44" t="s">
        <v>56</v>
      </c>
      <c r="C83" s="45">
        <v>45721.4</v>
      </c>
      <c r="D83" s="44" t="s">
        <v>318</v>
      </c>
      <c r="E83" s="44" t="s">
        <v>119</v>
      </c>
      <c r="F83" s="44" t="s">
        <v>27</v>
      </c>
      <c r="G83" s="44"/>
      <c r="H83" s="44">
        <v>0</v>
      </c>
      <c r="I83" s="44">
        <v>0</v>
      </c>
      <c r="J83" s="44">
        <v>0</v>
      </c>
      <c r="K83" s="44">
        <v>1</v>
      </c>
      <c r="L83" s="44">
        <v>0</v>
      </c>
      <c r="M83" s="44">
        <v>0</v>
      </c>
      <c r="N83" s="44">
        <v>0</v>
      </c>
      <c r="O83" s="46" t="str">
        <f t="shared" si="1"/>
        <v>2025-03</v>
      </c>
      <c r="T83">
        <f>COUNTIF('UN｜CVレポート'!H:H,流入チャネル別顧客一覧_7月以降完全ユニークではない!#REF!)</f>
        <v>0</v>
      </c>
    </row>
    <row r="84" spans="2:20" ht="18.75">
      <c r="B84" s="44" t="s">
        <v>51</v>
      </c>
      <c r="C84" s="45">
        <v>45722.552777777775</v>
      </c>
      <c r="D84" s="44" t="s">
        <v>321</v>
      </c>
      <c r="E84" s="44" t="s">
        <v>119</v>
      </c>
      <c r="F84" s="44" t="s">
        <v>25</v>
      </c>
      <c r="G84" s="44"/>
      <c r="H84" s="44">
        <v>0</v>
      </c>
      <c r="I84" s="44">
        <v>1</v>
      </c>
      <c r="J84" s="44">
        <v>0</v>
      </c>
      <c r="K84" s="44">
        <v>0</v>
      </c>
      <c r="L84" s="44">
        <v>0</v>
      </c>
      <c r="M84" s="44">
        <v>0</v>
      </c>
      <c r="N84" s="44">
        <v>0</v>
      </c>
      <c r="O84" s="46" t="str">
        <f t="shared" si="1"/>
        <v>2025-03</v>
      </c>
      <c r="T84">
        <f>COUNTIF('UN｜CVレポート'!H:H,流入チャネル別顧客一覧_7月以降完全ユニークではない!#REF!)</f>
        <v>0</v>
      </c>
    </row>
    <row r="85" spans="2:20" ht="18.75">
      <c r="B85" s="44" t="s">
        <v>56</v>
      </c>
      <c r="C85" s="45">
        <v>45722.8</v>
      </c>
      <c r="D85" s="44" t="s">
        <v>324</v>
      </c>
      <c r="E85" s="44" t="s">
        <v>119</v>
      </c>
      <c r="F85" s="44" t="s">
        <v>27</v>
      </c>
      <c r="G85" s="44"/>
      <c r="H85" s="44">
        <v>0</v>
      </c>
      <c r="I85" s="44">
        <v>0</v>
      </c>
      <c r="J85" s="44">
        <v>0</v>
      </c>
      <c r="K85" s="44">
        <v>1</v>
      </c>
      <c r="L85" s="44">
        <v>0</v>
      </c>
      <c r="M85" s="44">
        <v>0</v>
      </c>
      <c r="N85" s="44">
        <v>0</v>
      </c>
      <c r="O85" s="46" t="str">
        <f t="shared" si="1"/>
        <v>2025-03</v>
      </c>
      <c r="T85">
        <f>COUNTIF('UN｜CVレポート'!H:H,流入チャネル別顧客一覧_7月以降完全ユニークではない!#REF!)</f>
        <v>0</v>
      </c>
    </row>
    <row r="86" spans="2:20" ht="18.75">
      <c r="B86" s="44" t="s">
        <v>56</v>
      </c>
      <c r="C86" s="45">
        <v>45722.838888888888</v>
      </c>
      <c r="D86" s="44" t="s">
        <v>327</v>
      </c>
      <c r="E86" s="44" t="s">
        <v>119</v>
      </c>
      <c r="F86" s="44" t="s">
        <v>30</v>
      </c>
      <c r="G86" s="44"/>
      <c r="H86" s="44">
        <v>0</v>
      </c>
      <c r="I86" s="44">
        <v>0</v>
      </c>
      <c r="J86" s="44">
        <v>0</v>
      </c>
      <c r="K86" s="44">
        <v>0</v>
      </c>
      <c r="L86" s="44">
        <v>0</v>
      </c>
      <c r="M86" s="44">
        <v>0</v>
      </c>
      <c r="N86" s="44">
        <v>1</v>
      </c>
      <c r="O86" s="46" t="str">
        <f t="shared" si="1"/>
        <v>2025-03</v>
      </c>
      <c r="T86">
        <f>COUNTIF('UN｜CVレポート'!H:H,流入チャネル別顧客一覧_7月以降完全ユニークではない!#REF!)</f>
        <v>0</v>
      </c>
    </row>
    <row r="87" spans="2:20" ht="18.75">
      <c r="B87" s="44" t="s">
        <v>56</v>
      </c>
      <c r="C87" s="45">
        <v>45728.554166666669</v>
      </c>
      <c r="D87" s="44" t="s">
        <v>330</v>
      </c>
      <c r="E87" s="44" t="s">
        <v>119</v>
      </c>
      <c r="F87" s="44" t="s">
        <v>26</v>
      </c>
      <c r="G87" s="44"/>
      <c r="H87" s="44">
        <v>0</v>
      </c>
      <c r="I87" s="44">
        <v>0</v>
      </c>
      <c r="J87" s="44">
        <v>1</v>
      </c>
      <c r="K87" s="44">
        <v>0</v>
      </c>
      <c r="L87" s="44">
        <v>0</v>
      </c>
      <c r="M87" s="44">
        <v>0</v>
      </c>
      <c r="N87" s="44">
        <v>0</v>
      </c>
      <c r="O87" s="46" t="str">
        <f t="shared" si="1"/>
        <v>2025-03</v>
      </c>
      <c r="T87">
        <f>COUNTIF('UN｜CVレポート'!H:H,流入チャネル別顧客一覧_7月以降完全ユニークではない!#REF!)</f>
        <v>0</v>
      </c>
    </row>
    <row r="88" spans="2:20" ht="18.75">
      <c r="B88" s="44" t="s">
        <v>84</v>
      </c>
      <c r="C88" s="45">
        <v>45729.474999999999</v>
      </c>
      <c r="D88" s="50" t="s">
        <v>333</v>
      </c>
      <c r="E88" s="44" t="s">
        <v>154</v>
      </c>
      <c r="F88" s="44" t="s">
        <v>29</v>
      </c>
      <c r="G88" s="44"/>
      <c r="H88" s="44">
        <v>0</v>
      </c>
      <c r="I88" s="44">
        <v>0</v>
      </c>
      <c r="J88" s="44">
        <v>0</v>
      </c>
      <c r="K88" s="44">
        <v>0</v>
      </c>
      <c r="L88" s="44">
        <v>0</v>
      </c>
      <c r="M88" s="44">
        <v>1</v>
      </c>
      <c r="N88" s="44">
        <v>0</v>
      </c>
      <c r="O88" s="46" t="str">
        <f t="shared" si="1"/>
        <v>2025-03</v>
      </c>
      <c r="P88" s="49">
        <f>C88</f>
        <v>45729.474999999999</v>
      </c>
      <c r="Q88" s="49">
        <v>45740</v>
      </c>
      <c r="S88" s="46" t="s">
        <v>284</v>
      </c>
      <c r="T88">
        <f>COUNTIF('UN｜CVレポート'!H:H,流入チャネル別顧客一覧_7月以降完全ユニークではない!#REF!)</f>
        <v>0</v>
      </c>
    </row>
    <row r="89" spans="2:20" ht="18.75">
      <c r="B89" s="44" t="s">
        <v>84</v>
      </c>
      <c r="C89" s="45">
        <v>45730.484722222223</v>
      </c>
      <c r="D89" s="44" t="s">
        <v>336</v>
      </c>
      <c r="E89" s="44" t="s">
        <v>123</v>
      </c>
      <c r="F89" s="44" t="s">
        <v>29</v>
      </c>
      <c r="G89" s="44"/>
      <c r="H89" s="44">
        <v>0</v>
      </c>
      <c r="I89" s="44">
        <v>0</v>
      </c>
      <c r="J89" s="44">
        <v>0</v>
      </c>
      <c r="K89" s="44">
        <v>0</v>
      </c>
      <c r="L89" s="44">
        <v>0</v>
      </c>
      <c r="M89" s="44">
        <v>1</v>
      </c>
      <c r="N89" s="44">
        <v>0</v>
      </c>
      <c r="O89" s="46" t="str">
        <f t="shared" si="1"/>
        <v>2025-03</v>
      </c>
      <c r="T89">
        <f>COUNTIF('UN｜CVレポート'!H:H,流入チャネル別顧客一覧_7月以降完全ユニークではない!#REF!)</f>
        <v>0</v>
      </c>
    </row>
    <row r="90" spans="2:20" ht="18.75">
      <c r="B90" s="44" t="s">
        <v>84</v>
      </c>
      <c r="C90" s="45">
        <v>45730.676388888889</v>
      </c>
      <c r="D90" s="44" t="s">
        <v>339</v>
      </c>
      <c r="E90" s="44" t="s">
        <v>123</v>
      </c>
      <c r="F90" s="44" t="s">
        <v>27</v>
      </c>
      <c r="G90" s="44"/>
      <c r="H90" s="44">
        <v>0</v>
      </c>
      <c r="I90" s="44">
        <v>0</v>
      </c>
      <c r="J90" s="44">
        <v>0</v>
      </c>
      <c r="K90" s="44">
        <v>1</v>
      </c>
      <c r="L90" s="44">
        <v>0</v>
      </c>
      <c r="M90" s="44">
        <v>0</v>
      </c>
      <c r="N90" s="44">
        <v>0</v>
      </c>
      <c r="O90" s="46" t="str">
        <f t="shared" si="1"/>
        <v>2025-03</v>
      </c>
      <c r="T90">
        <f>COUNTIF('UN｜CVレポート'!H:H,流入チャネル別顧客一覧_7月以降完全ユニークではない!#REF!)</f>
        <v>0</v>
      </c>
    </row>
    <row r="91" spans="2:20" ht="18.75">
      <c r="B91" s="44" t="s">
        <v>56</v>
      </c>
      <c r="C91" s="45">
        <v>45733.663194444445</v>
      </c>
      <c r="D91" s="44" t="s">
        <v>342</v>
      </c>
      <c r="E91" s="44" t="s">
        <v>119</v>
      </c>
      <c r="F91" s="44" t="s">
        <v>30</v>
      </c>
      <c r="G91" s="44"/>
      <c r="H91" s="44">
        <v>0</v>
      </c>
      <c r="I91" s="44">
        <v>0</v>
      </c>
      <c r="J91" s="44">
        <v>0</v>
      </c>
      <c r="K91" s="44">
        <v>0</v>
      </c>
      <c r="L91" s="44">
        <v>0</v>
      </c>
      <c r="M91" s="44">
        <v>0</v>
      </c>
      <c r="N91" s="44">
        <v>1</v>
      </c>
      <c r="O91" s="46" t="str">
        <f t="shared" si="1"/>
        <v>2025-03</v>
      </c>
      <c r="T91">
        <f>COUNTIF('UN｜CVレポート'!H:H,流入チャネル別顧客一覧_7月以降完全ユニークではない!#REF!)</f>
        <v>0</v>
      </c>
    </row>
    <row r="92" spans="2:20" ht="18.75">
      <c r="B92" s="44" t="s">
        <v>51</v>
      </c>
      <c r="C92" s="45">
        <v>45734.582638888889</v>
      </c>
      <c r="D92" s="44" t="s">
        <v>345</v>
      </c>
      <c r="E92" s="44" t="s">
        <v>119</v>
      </c>
      <c r="F92" s="44" t="s">
        <v>24</v>
      </c>
      <c r="G92" s="44"/>
      <c r="H92" s="44">
        <v>1</v>
      </c>
      <c r="I92" s="44">
        <v>0</v>
      </c>
      <c r="J92" s="44">
        <v>0</v>
      </c>
      <c r="K92" s="44">
        <v>0</v>
      </c>
      <c r="L92" s="44">
        <v>0</v>
      </c>
      <c r="M92" s="44">
        <v>0</v>
      </c>
      <c r="N92" s="44">
        <v>0</v>
      </c>
      <c r="O92" s="46" t="str">
        <f t="shared" si="1"/>
        <v>2025-03</v>
      </c>
      <c r="T92">
        <f>COUNTIF('UN｜CVレポート'!H:H,流入チャネル別顧客一覧_7月以降完全ユニークではない!#REF!)</f>
        <v>0</v>
      </c>
    </row>
    <row r="93" spans="2:20" ht="18.75">
      <c r="B93" s="44" t="s">
        <v>51</v>
      </c>
      <c r="C93" s="45">
        <v>45735.395833333336</v>
      </c>
      <c r="D93" s="44" t="s">
        <v>348</v>
      </c>
      <c r="E93" s="44" t="s">
        <v>119</v>
      </c>
      <c r="F93" s="44" t="s">
        <v>29</v>
      </c>
      <c r="G93" s="44"/>
      <c r="H93" s="44">
        <v>0</v>
      </c>
      <c r="I93" s="44">
        <v>0</v>
      </c>
      <c r="J93" s="44">
        <v>0</v>
      </c>
      <c r="K93" s="44">
        <v>0</v>
      </c>
      <c r="L93" s="44">
        <v>0</v>
      </c>
      <c r="M93" s="44">
        <v>1</v>
      </c>
      <c r="N93" s="44">
        <v>0</v>
      </c>
      <c r="O93" s="46" t="str">
        <f t="shared" si="1"/>
        <v>2025-03</v>
      </c>
      <c r="T93">
        <f>COUNTIF('UN｜CVレポート'!H:H,流入チャネル別顧客一覧_7月以降完全ユニークではない!#REF!)</f>
        <v>0</v>
      </c>
    </row>
    <row r="94" spans="2:20" ht="18.75">
      <c r="B94" s="44" t="s">
        <v>56</v>
      </c>
      <c r="C94" s="45">
        <v>45735.563194444447</v>
      </c>
      <c r="D94" s="44" t="s">
        <v>351</v>
      </c>
      <c r="E94" s="44" t="s">
        <v>119</v>
      </c>
      <c r="F94" s="44" t="s">
        <v>26</v>
      </c>
      <c r="G94" s="44"/>
      <c r="H94" s="44">
        <v>0</v>
      </c>
      <c r="I94" s="44">
        <v>0</v>
      </c>
      <c r="J94" s="44">
        <v>1</v>
      </c>
      <c r="K94" s="44">
        <v>0</v>
      </c>
      <c r="L94" s="44">
        <v>0</v>
      </c>
      <c r="M94" s="44">
        <v>0</v>
      </c>
      <c r="N94" s="44">
        <v>0</v>
      </c>
      <c r="O94" s="46" t="str">
        <f t="shared" si="1"/>
        <v>2025-03</v>
      </c>
      <c r="T94">
        <f>COUNTIF('UN｜CVレポート'!H:H,流入チャネル別顧客一覧_7月以降完全ユニークではない!#REF!)</f>
        <v>0</v>
      </c>
    </row>
    <row r="95" spans="2:20" ht="18.75">
      <c r="B95" s="44" t="s">
        <v>56</v>
      </c>
      <c r="C95" s="45">
        <v>45740.742361111108</v>
      </c>
      <c r="D95" s="51" t="s">
        <v>354</v>
      </c>
      <c r="E95" s="44" t="s">
        <v>135</v>
      </c>
      <c r="F95" s="44" t="s">
        <v>26</v>
      </c>
      <c r="G95" s="44"/>
      <c r="H95" s="44">
        <v>0</v>
      </c>
      <c r="I95" s="44">
        <v>0</v>
      </c>
      <c r="J95" s="44">
        <v>1</v>
      </c>
      <c r="K95" s="44">
        <v>0</v>
      </c>
      <c r="L95" s="44">
        <v>0</v>
      </c>
      <c r="M95" s="44">
        <v>0</v>
      </c>
      <c r="N95" s="44">
        <v>0</v>
      </c>
      <c r="O95" s="46" t="str">
        <f t="shared" si="1"/>
        <v>2025-03</v>
      </c>
      <c r="P95" s="73"/>
      <c r="S95" s="52" t="s">
        <v>356</v>
      </c>
      <c r="T95">
        <f>COUNTIF('UN｜CVレポート'!H:H,流入チャネル別顧客一覧_7月以降完全ユニークではない!#REF!)</f>
        <v>0</v>
      </c>
    </row>
    <row r="96" spans="2:20" ht="18.75">
      <c r="B96" s="44" t="s">
        <v>84</v>
      </c>
      <c r="C96" s="45">
        <v>45740.864583333336</v>
      </c>
      <c r="D96" s="50" t="s">
        <v>358</v>
      </c>
      <c r="E96" s="44" t="s">
        <v>360</v>
      </c>
      <c r="F96" s="44" t="s">
        <v>26</v>
      </c>
      <c r="G96" s="44"/>
      <c r="H96" s="44">
        <v>0</v>
      </c>
      <c r="I96" s="44">
        <v>0</v>
      </c>
      <c r="J96" s="44">
        <v>1</v>
      </c>
      <c r="K96" s="44">
        <v>0</v>
      </c>
      <c r="L96" s="44">
        <v>0</v>
      </c>
      <c r="M96" s="44">
        <v>0</v>
      </c>
      <c r="N96" s="44">
        <v>0</v>
      </c>
      <c r="O96" s="46" t="str">
        <f t="shared" si="1"/>
        <v>2025-03</v>
      </c>
      <c r="P96" s="49">
        <f>C96</f>
        <v>45740.864583333336</v>
      </c>
      <c r="Q96" s="49">
        <v>45749</v>
      </c>
      <c r="S96" s="46" t="s">
        <v>361</v>
      </c>
      <c r="T96">
        <f>COUNTIF('UN｜CVレポート'!H:H,流入チャネル別顧客一覧_7月以降完全ユニークではない!#REF!)</f>
        <v>0</v>
      </c>
    </row>
    <row r="97" spans="2:20" ht="18.75">
      <c r="B97" s="44" t="s">
        <v>51</v>
      </c>
      <c r="C97" s="45">
        <v>45741.665972222225</v>
      </c>
      <c r="D97" s="44" t="s">
        <v>363</v>
      </c>
      <c r="E97" s="44" t="s">
        <v>365</v>
      </c>
      <c r="F97" s="44" t="s">
        <v>27</v>
      </c>
      <c r="G97" s="44"/>
      <c r="H97" s="44">
        <v>0</v>
      </c>
      <c r="I97" s="44">
        <v>0</v>
      </c>
      <c r="J97" s="44">
        <v>0</v>
      </c>
      <c r="K97" s="44">
        <v>1</v>
      </c>
      <c r="L97" s="44">
        <v>0</v>
      </c>
      <c r="M97" s="44">
        <v>0</v>
      </c>
      <c r="N97" s="44">
        <v>0</v>
      </c>
      <c r="O97" s="46" t="str">
        <f t="shared" si="1"/>
        <v>2025-03</v>
      </c>
      <c r="T97">
        <f>COUNTIF('UN｜CVレポート'!H:H,流入チャネル別顧客一覧_7月以降完全ユニークではない!#REF!)</f>
        <v>0</v>
      </c>
    </row>
    <row r="98" spans="2:20" ht="18.75">
      <c r="B98" s="44" t="s">
        <v>56</v>
      </c>
      <c r="C98" s="45">
        <v>45743.372916666667</v>
      </c>
      <c r="D98" s="50" t="s">
        <v>367</v>
      </c>
      <c r="E98" s="44" t="s">
        <v>365</v>
      </c>
      <c r="F98" s="44" t="s">
        <v>25</v>
      </c>
      <c r="G98" s="44"/>
      <c r="H98" s="44">
        <v>0</v>
      </c>
      <c r="I98" s="44">
        <v>1</v>
      </c>
      <c r="J98" s="44">
        <v>0</v>
      </c>
      <c r="K98" s="44">
        <v>0</v>
      </c>
      <c r="L98" s="44">
        <v>0</v>
      </c>
      <c r="M98" s="44">
        <v>0</v>
      </c>
      <c r="N98" s="44">
        <v>0</v>
      </c>
      <c r="O98" s="46" t="str">
        <f t="shared" si="1"/>
        <v>2025-03</v>
      </c>
      <c r="P98" s="49">
        <f>C98</f>
        <v>45743.372916666667</v>
      </c>
      <c r="Q98" s="49">
        <v>45761</v>
      </c>
      <c r="S98" s="56" t="s">
        <v>369</v>
      </c>
      <c r="T98">
        <f>COUNTIF('UN｜CVレポート'!H:H,流入チャネル別顧客一覧_7月以降完全ユニークではない!#REF!)</f>
        <v>0</v>
      </c>
    </row>
    <row r="99" spans="2:20" ht="18.75">
      <c r="B99" s="44" t="s">
        <v>51</v>
      </c>
      <c r="C99" s="45">
        <v>45743.392361111109</v>
      </c>
      <c r="D99" s="50" t="s">
        <v>371</v>
      </c>
      <c r="E99" s="44" t="s">
        <v>365</v>
      </c>
      <c r="F99" s="44" t="s">
        <v>28</v>
      </c>
      <c r="G99" s="44"/>
      <c r="H99" s="44">
        <v>0</v>
      </c>
      <c r="I99" s="44">
        <v>0</v>
      </c>
      <c r="J99" s="44">
        <v>0</v>
      </c>
      <c r="K99" s="44">
        <v>0</v>
      </c>
      <c r="L99" s="44">
        <v>1</v>
      </c>
      <c r="M99" s="44">
        <v>0</v>
      </c>
      <c r="N99" s="44">
        <v>0</v>
      </c>
      <c r="O99" s="46" t="str">
        <f t="shared" si="1"/>
        <v>2025-03</v>
      </c>
      <c r="S99" s="46" t="s">
        <v>373</v>
      </c>
      <c r="T99">
        <f>COUNTIF('UN｜CVレポート'!H:H,流入チャネル別顧客一覧_7月以降完全ユニークではない!#REF!)</f>
        <v>0</v>
      </c>
    </row>
    <row r="100" spans="2:20" ht="18.75">
      <c r="B100" s="44" t="s">
        <v>56</v>
      </c>
      <c r="C100" s="45">
        <v>45748.65902777778</v>
      </c>
      <c r="D100" s="44" t="s">
        <v>375</v>
      </c>
      <c r="E100" s="44" t="s">
        <v>365</v>
      </c>
      <c r="F100" s="44" t="s">
        <v>25</v>
      </c>
      <c r="G100" s="44"/>
      <c r="H100" s="44">
        <v>0</v>
      </c>
      <c r="I100" s="44">
        <v>1</v>
      </c>
      <c r="J100" s="44">
        <v>0</v>
      </c>
      <c r="K100" s="44">
        <v>0</v>
      </c>
      <c r="L100" s="44">
        <v>0</v>
      </c>
      <c r="M100" s="44">
        <v>0</v>
      </c>
      <c r="N100" s="44">
        <v>0</v>
      </c>
      <c r="O100" s="46" t="str">
        <f t="shared" si="1"/>
        <v>2025-04</v>
      </c>
      <c r="T100">
        <f>COUNTIF('UN｜CVレポート'!H:H,流入チャネル別顧客一覧_7月以降完全ユニークではない!#REF!)</f>
        <v>0</v>
      </c>
    </row>
    <row r="101" spans="2:20" ht="18.75">
      <c r="B101" s="46" t="s">
        <v>51</v>
      </c>
      <c r="C101" s="58">
        <v>45749.54791666667</v>
      </c>
      <c r="D101" s="46" t="s">
        <v>378</v>
      </c>
      <c r="E101" s="46" t="s">
        <v>380</v>
      </c>
      <c r="F101" s="46" t="s">
        <v>27</v>
      </c>
      <c r="H101" s="46">
        <v>0</v>
      </c>
      <c r="I101" s="46">
        <v>0</v>
      </c>
      <c r="J101" s="46">
        <v>0</v>
      </c>
      <c r="K101" s="46">
        <v>1</v>
      </c>
      <c r="L101" s="46">
        <v>0</v>
      </c>
      <c r="M101" s="46">
        <v>0</v>
      </c>
      <c r="N101" s="46">
        <v>0</v>
      </c>
      <c r="O101" s="46" t="str">
        <f t="shared" si="1"/>
        <v>2025-04</v>
      </c>
      <c r="T101">
        <f>COUNTIF('UN｜CVレポート'!H:H,流入チャネル別顧客一覧_7月以降完全ユニークではない!#REF!)</f>
        <v>0</v>
      </c>
    </row>
    <row r="102" spans="2:20" ht="18.75">
      <c r="B102" s="46" t="s">
        <v>51</v>
      </c>
      <c r="C102" s="58">
        <v>45749.563194444447</v>
      </c>
      <c r="D102" s="46" t="s">
        <v>382</v>
      </c>
      <c r="E102" s="46" t="s">
        <v>380</v>
      </c>
      <c r="F102" s="46" t="s">
        <v>27</v>
      </c>
      <c r="H102" s="46">
        <v>0</v>
      </c>
      <c r="I102" s="46">
        <v>0</v>
      </c>
      <c r="J102" s="46">
        <v>0</v>
      </c>
      <c r="K102" s="46">
        <v>1</v>
      </c>
      <c r="L102" s="46">
        <v>0</v>
      </c>
      <c r="M102" s="46">
        <v>0</v>
      </c>
      <c r="N102" s="46">
        <v>0</v>
      </c>
      <c r="O102" s="46" t="str">
        <f t="shared" si="1"/>
        <v>2025-04</v>
      </c>
      <c r="T102">
        <f>COUNTIF('UN｜CVレポート'!H:H,流入チャネル別顧客一覧_7月以降完全ユニークではない!#REF!)</f>
        <v>0</v>
      </c>
    </row>
    <row r="103" spans="2:20" ht="18.75">
      <c r="B103" s="46" t="s">
        <v>51</v>
      </c>
      <c r="C103" s="58">
        <v>45749.571527777778</v>
      </c>
      <c r="D103" s="59" t="s">
        <v>385</v>
      </c>
      <c r="E103" s="46" t="s">
        <v>365</v>
      </c>
      <c r="F103" s="46" t="s">
        <v>27</v>
      </c>
      <c r="H103" s="46">
        <v>0</v>
      </c>
      <c r="I103" s="46">
        <v>0</v>
      </c>
      <c r="J103" s="46">
        <v>0</v>
      </c>
      <c r="K103" s="46">
        <v>1</v>
      </c>
      <c r="L103" s="46">
        <v>0</v>
      </c>
      <c r="M103" s="46">
        <v>0</v>
      </c>
      <c r="N103" s="46">
        <v>0</v>
      </c>
      <c r="O103" s="46" t="str">
        <f t="shared" si="1"/>
        <v>2025-04</v>
      </c>
      <c r="P103" s="49">
        <f>C103</f>
        <v>45749.571527777778</v>
      </c>
      <c r="Q103" s="49">
        <v>45748</v>
      </c>
      <c r="S103" s="56" t="s">
        <v>387</v>
      </c>
      <c r="T103">
        <f>COUNTIF('UN｜CVレポート'!H:H,流入チャネル別顧客一覧_7月以降完全ユニークではない!#REF!)</f>
        <v>0</v>
      </c>
    </row>
    <row r="104" spans="2:20" ht="18.75">
      <c r="B104" s="46" t="s">
        <v>51</v>
      </c>
      <c r="C104" s="58">
        <v>45749.732638888891</v>
      </c>
      <c r="D104" s="46" t="s">
        <v>389</v>
      </c>
      <c r="E104" s="46" t="s">
        <v>365</v>
      </c>
      <c r="F104" s="46" t="s">
        <v>27</v>
      </c>
      <c r="H104" s="46">
        <v>0</v>
      </c>
      <c r="I104" s="46">
        <v>0</v>
      </c>
      <c r="J104" s="46">
        <v>0</v>
      </c>
      <c r="K104" s="46">
        <v>1</v>
      </c>
      <c r="L104" s="46">
        <v>0</v>
      </c>
      <c r="M104" s="46">
        <v>0</v>
      </c>
      <c r="N104" s="46">
        <v>0</v>
      </c>
      <c r="O104" s="46" t="str">
        <f t="shared" si="1"/>
        <v>2025-04</v>
      </c>
      <c r="T104">
        <f>COUNTIF('UN｜CVレポート'!H:H,流入チャネル別顧客一覧_7月以降完全ユニークではない!#REF!)</f>
        <v>0</v>
      </c>
    </row>
    <row r="105" spans="2:20" ht="18.75">
      <c r="B105" s="46" t="s">
        <v>56</v>
      </c>
      <c r="C105" s="58">
        <v>45750.649305555555</v>
      </c>
      <c r="D105" s="59" t="s">
        <v>392</v>
      </c>
      <c r="E105" s="46" t="s">
        <v>365</v>
      </c>
      <c r="F105" s="46" t="s">
        <v>26</v>
      </c>
      <c r="H105" s="46">
        <v>0</v>
      </c>
      <c r="I105" s="46">
        <v>0</v>
      </c>
      <c r="J105" s="46">
        <v>1</v>
      </c>
      <c r="K105" s="46">
        <v>0</v>
      </c>
      <c r="L105" s="46">
        <v>0</v>
      </c>
      <c r="M105" s="46">
        <v>0</v>
      </c>
      <c r="N105" s="46">
        <v>0</v>
      </c>
      <c r="O105" s="46" t="str">
        <f t="shared" si="1"/>
        <v>2025-04</v>
      </c>
      <c r="P105" s="49">
        <f>C105</f>
        <v>45750.649305555555</v>
      </c>
      <c r="Q105" s="49">
        <v>45758</v>
      </c>
      <c r="S105" s="56" t="s">
        <v>394</v>
      </c>
      <c r="T105">
        <f>COUNTIF('UN｜CVレポート'!H:H,流入チャネル別顧客一覧_7月以降完全ユニークではない!#REF!)</f>
        <v>0</v>
      </c>
    </row>
    <row r="106" spans="2:20" ht="18.75">
      <c r="B106" s="46" t="s">
        <v>84</v>
      </c>
      <c r="C106" s="58">
        <v>45757.501388888886</v>
      </c>
      <c r="D106" s="46" t="s">
        <v>396</v>
      </c>
      <c r="E106" s="46" t="s">
        <v>380</v>
      </c>
      <c r="F106" s="46" t="s">
        <v>25</v>
      </c>
      <c r="H106" s="46">
        <v>0</v>
      </c>
      <c r="I106" s="46">
        <v>1</v>
      </c>
      <c r="J106" s="46">
        <v>0</v>
      </c>
      <c r="K106" s="46">
        <v>0</v>
      </c>
      <c r="L106" s="46">
        <v>0</v>
      </c>
      <c r="M106" s="46">
        <v>0</v>
      </c>
      <c r="N106" s="46">
        <v>0</v>
      </c>
      <c r="O106" s="46" t="str">
        <f t="shared" si="1"/>
        <v>2025-04</v>
      </c>
      <c r="T106">
        <f>COUNTIF('UN｜CVレポート'!H:H,流入チャネル別顧客一覧_7月以降完全ユニークではない!#REF!)</f>
        <v>0</v>
      </c>
    </row>
    <row r="107" spans="2:20" ht="18.75">
      <c r="B107" s="46" t="s">
        <v>56</v>
      </c>
      <c r="C107" s="58">
        <v>45758.564583333333</v>
      </c>
      <c r="D107" s="46" t="s">
        <v>399</v>
      </c>
      <c r="E107" s="46" t="s">
        <v>365</v>
      </c>
      <c r="F107" s="46" t="s">
        <v>27</v>
      </c>
      <c r="H107" s="46">
        <v>0</v>
      </c>
      <c r="I107" s="46">
        <v>0</v>
      </c>
      <c r="J107" s="46">
        <v>0</v>
      </c>
      <c r="K107" s="46">
        <v>1</v>
      </c>
      <c r="L107" s="46">
        <v>0</v>
      </c>
      <c r="M107" s="46">
        <v>0</v>
      </c>
      <c r="N107" s="46">
        <v>0</v>
      </c>
      <c r="O107" s="46" t="str">
        <f t="shared" si="1"/>
        <v>2025-04</v>
      </c>
      <c r="T107">
        <f>COUNTIF('UN｜CVレポート'!H:H,流入チャネル別顧客一覧_7月以降完全ユニークではない!#REF!)</f>
        <v>0</v>
      </c>
    </row>
    <row r="108" spans="2:20" ht="18.75">
      <c r="B108" s="46" t="s">
        <v>51</v>
      </c>
      <c r="C108" s="58">
        <v>45758.635416666664</v>
      </c>
      <c r="D108" s="59" t="s">
        <v>402</v>
      </c>
      <c r="E108" s="46" t="s">
        <v>135</v>
      </c>
      <c r="F108" s="46" t="s">
        <v>26</v>
      </c>
      <c r="H108" s="46">
        <v>0</v>
      </c>
      <c r="I108" s="46">
        <v>0</v>
      </c>
      <c r="J108" s="46">
        <v>1</v>
      </c>
      <c r="K108" s="46">
        <v>0</v>
      </c>
      <c r="L108" s="46">
        <v>0</v>
      </c>
      <c r="M108" s="46">
        <v>0</v>
      </c>
      <c r="N108" s="46">
        <v>0</v>
      </c>
      <c r="O108" s="46" t="str">
        <f t="shared" si="1"/>
        <v>2025-04</v>
      </c>
      <c r="P108" s="49">
        <f>C108</f>
        <v>45758.635416666664</v>
      </c>
      <c r="Q108" s="49">
        <v>45765</v>
      </c>
      <c r="R108" s="54">
        <v>46023</v>
      </c>
      <c r="S108" s="55" t="s">
        <v>404</v>
      </c>
      <c r="T108">
        <f>COUNTIF('UN｜CVレポート'!H:H,流入チャネル別顧客一覧_7月以降完全ユニークではない!#REF!)</f>
        <v>0</v>
      </c>
    </row>
    <row r="109" spans="2:20" ht="18.75">
      <c r="B109" s="46" t="s">
        <v>56</v>
      </c>
      <c r="C109" s="58">
        <v>45762.424305555556</v>
      </c>
      <c r="D109" s="46" t="s">
        <v>406</v>
      </c>
      <c r="E109" s="46" t="s">
        <v>365</v>
      </c>
      <c r="F109" s="46" t="s">
        <v>25</v>
      </c>
      <c r="H109" s="46">
        <v>0</v>
      </c>
      <c r="I109" s="46">
        <v>1</v>
      </c>
      <c r="J109" s="46">
        <v>0</v>
      </c>
      <c r="K109" s="46">
        <v>0</v>
      </c>
      <c r="L109" s="46">
        <v>0</v>
      </c>
      <c r="M109" s="46">
        <v>0</v>
      </c>
      <c r="N109" s="46">
        <v>0</v>
      </c>
      <c r="O109" s="46" t="str">
        <f t="shared" si="1"/>
        <v>2025-04</v>
      </c>
      <c r="T109">
        <f>COUNTIF('UN｜CVレポート'!H:H,流入チャネル別顧客一覧_7月以降完全ユニークではない!#REF!)</f>
        <v>0</v>
      </c>
    </row>
    <row r="110" spans="2:20" ht="18.75">
      <c r="B110" s="46" t="s">
        <v>56</v>
      </c>
      <c r="C110" s="58">
        <v>45762.68472222222</v>
      </c>
      <c r="D110" s="46" t="s">
        <v>409</v>
      </c>
      <c r="E110" s="46" t="s">
        <v>365</v>
      </c>
      <c r="F110" s="46" t="s">
        <v>25</v>
      </c>
      <c r="H110" s="46">
        <v>0</v>
      </c>
      <c r="I110" s="46">
        <v>1</v>
      </c>
      <c r="J110" s="46">
        <v>0</v>
      </c>
      <c r="K110" s="46">
        <v>0</v>
      </c>
      <c r="L110" s="46">
        <v>0</v>
      </c>
      <c r="M110" s="46">
        <v>0</v>
      </c>
      <c r="N110" s="46">
        <v>0</v>
      </c>
      <c r="O110" s="46" t="str">
        <f t="shared" si="1"/>
        <v>2025-04</v>
      </c>
      <c r="T110">
        <f>COUNTIF('UN｜CVレポート'!H:H,流入チャネル別顧客一覧_7月以降完全ユニークではない!#REF!)</f>
        <v>0</v>
      </c>
    </row>
    <row r="111" spans="2:20" ht="18.75">
      <c r="B111" s="46" t="s">
        <v>56</v>
      </c>
      <c r="C111" s="58">
        <v>45763.477777777778</v>
      </c>
      <c r="D111" s="59" t="s">
        <v>412</v>
      </c>
      <c r="E111" s="46" t="s">
        <v>365</v>
      </c>
      <c r="F111" s="46" t="s">
        <v>29</v>
      </c>
      <c r="H111" s="46">
        <v>0</v>
      </c>
      <c r="I111" s="46">
        <v>0</v>
      </c>
      <c r="J111" s="46">
        <v>0</v>
      </c>
      <c r="K111" s="46">
        <v>0</v>
      </c>
      <c r="L111" s="46">
        <v>0</v>
      </c>
      <c r="M111" s="46">
        <v>1</v>
      </c>
      <c r="N111" s="46">
        <v>0</v>
      </c>
      <c r="O111" s="46" t="str">
        <f t="shared" si="1"/>
        <v>2025-04</v>
      </c>
      <c r="T111">
        <f>COUNTIF('UN｜CVレポート'!H:H,流入チャネル別顧客一覧_7月以降完全ユニークではない!#REF!)</f>
        <v>0</v>
      </c>
    </row>
    <row r="112" spans="2:20" ht="18.75">
      <c r="B112" s="46" t="s">
        <v>56</v>
      </c>
      <c r="C112" s="58">
        <v>45763.935416666667</v>
      </c>
      <c r="D112" s="46" t="s">
        <v>415</v>
      </c>
      <c r="E112" s="46" t="s">
        <v>365</v>
      </c>
      <c r="F112" s="46" t="s">
        <v>29</v>
      </c>
      <c r="H112" s="46">
        <v>0</v>
      </c>
      <c r="I112" s="46">
        <v>0</v>
      </c>
      <c r="J112" s="46">
        <v>0</v>
      </c>
      <c r="K112" s="46">
        <v>0</v>
      </c>
      <c r="L112" s="46">
        <v>0</v>
      </c>
      <c r="M112" s="46">
        <v>1</v>
      </c>
      <c r="N112" s="46">
        <v>0</v>
      </c>
      <c r="O112" s="46" t="str">
        <f t="shared" si="1"/>
        <v>2025-04</v>
      </c>
      <c r="T112">
        <f>COUNTIF('UN｜CVレポート'!H:H,流入チャネル別顧客一覧_7月以降完全ユニークではない!#REF!)</f>
        <v>0</v>
      </c>
    </row>
    <row r="113" spans="2:20" ht="18.75">
      <c r="B113" s="46" t="s">
        <v>84</v>
      </c>
      <c r="C113" s="58">
        <v>45764.40902777778</v>
      </c>
      <c r="D113" s="46" t="s">
        <v>418</v>
      </c>
      <c r="E113" s="46" t="s">
        <v>420</v>
      </c>
      <c r="F113" s="46" t="s">
        <v>27</v>
      </c>
      <c r="H113" s="46">
        <v>0</v>
      </c>
      <c r="I113" s="46">
        <v>0</v>
      </c>
      <c r="J113" s="46">
        <v>0</v>
      </c>
      <c r="K113" s="46">
        <v>1</v>
      </c>
      <c r="L113" s="46">
        <v>0</v>
      </c>
      <c r="M113" s="46">
        <v>0</v>
      </c>
      <c r="N113" s="46">
        <v>0</v>
      </c>
      <c r="O113" s="46" t="str">
        <f t="shared" si="1"/>
        <v>2025-04</v>
      </c>
      <c r="T113">
        <f>COUNTIF('UN｜CVレポート'!H:H,流入チャネル別顧客一覧_7月以降完全ユニークではない!#REF!)</f>
        <v>0</v>
      </c>
    </row>
    <row r="114" spans="2:20" ht="18.75">
      <c r="B114" s="46" t="s">
        <v>51</v>
      </c>
      <c r="C114" s="58">
        <v>45764.806944444441</v>
      </c>
      <c r="D114" s="59" t="s">
        <v>422</v>
      </c>
      <c r="E114" s="46" t="s">
        <v>135</v>
      </c>
      <c r="F114" s="46" t="s">
        <v>28</v>
      </c>
      <c r="H114" s="46">
        <v>0</v>
      </c>
      <c r="I114" s="46">
        <v>0</v>
      </c>
      <c r="J114" s="46">
        <v>0</v>
      </c>
      <c r="K114" s="46">
        <v>0</v>
      </c>
      <c r="L114" s="46">
        <v>1</v>
      </c>
      <c r="M114" s="46">
        <v>0</v>
      </c>
      <c r="N114" s="46">
        <v>0</v>
      </c>
      <c r="O114" s="46" t="str">
        <f t="shared" si="1"/>
        <v>2025-04</v>
      </c>
      <c r="P114" s="49">
        <f>C114</f>
        <v>45764.806944444441</v>
      </c>
      <c r="Q114" s="49">
        <v>45839</v>
      </c>
      <c r="S114" s="56" t="s">
        <v>424</v>
      </c>
      <c r="T114">
        <f>COUNTIF('UN｜CVレポート'!H:H,流入チャネル別顧客一覧_7月以降完全ユニークではない!#REF!)</f>
        <v>0</v>
      </c>
    </row>
    <row r="115" spans="2:20" ht="18.75">
      <c r="B115" s="46" t="s">
        <v>56</v>
      </c>
      <c r="C115" s="58">
        <v>45765.621527777781</v>
      </c>
      <c r="D115" s="46" t="s">
        <v>426</v>
      </c>
      <c r="E115" s="46" t="s">
        <v>365</v>
      </c>
      <c r="F115" s="46" t="s">
        <v>27</v>
      </c>
      <c r="H115" s="46">
        <v>0</v>
      </c>
      <c r="I115" s="46">
        <v>0</v>
      </c>
      <c r="J115" s="46">
        <v>0</v>
      </c>
      <c r="K115" s="46">
        <v>1</v>
      </c>
      <c r="L115" s="46">
        <v>0</v>
      </c>
      <c r="M115" s="46">
        <v>0</v>
      </c>
      <c r="N115" s="46">
        <v>0</v>
      </c>
      <c r="O115" s="46" t="str">
        <f t="shared" si="1"/>
        <v>2025-04</v>
      </c>
      <c r="T115">
        <f>COUNTIF('UN｜CVレポート'!H:H,流入チャネル別顧客一覧_7月以降完全ユニークではない!#REF!)</f>
        <v>0</v>
      </c>
    </row>
    <row r="116" spans="2:20" ht="18.75">
      <c r="B116" s="46" t="s">
        <v>84</v>
      </c>
      <c r="C116" s="58">
        <v>45768.52847222222</v>
      </c>
      <c r="D116" s="46" t="s">
        <v>429</v>
      </c>
      <c r="E116" s="46" t="s">
        <v>420</v>
      </c>
      <c r="F116" s="46" t="s">
        <v>26</v>
      </c>
      <c r="H116" s="46">
        <v>0</v>
      </c>
      <c r="I116" s="46">
        <v>0</v>
      </c>
      <c r="J116" s="46">
        <v>1</v>
      </c>
      <c r="K116" s="46">
        <v>0</v>
      </c>
      <c r="L116" s="46">
        <v>0</v>
      </c>
      <c r="M116" s="46">
        <v>0</v>
      </c>
      <c r="N116" s="46">
        <v>0</v>
      </c>
      <c r="O116" s="46" t="str">
        <f t="shared" si="1"/>
        <v>2025-04</v>
      </c>
      <c r="T116">
        <f>COUNTIF('UN｜CVレポート'!H:H,流入チャネル別顧客一覧_7月以降完全ユニークではない!#REF!)</f>
        <v>0</v>
      </c>
    </row>
    <row r="117" spans="2:20" ht="18.75">
      <c r="B117" s="46" t="s">
        <v>84</v>
      </c>
      <c r="C117" s="58">
        <v>45769.453472222223</v>
      </c>
      <c r="D117" s="46" t="s">
        <v>432</v>
      </c>
      <c r="E117" s="46" t="s">
        <v>420</v>
      </c>
      <c r="F117" s="46" t="s">
        <v>24</v>
      </c>
      <c r="H117" s="46">
        <v>1</v>
      </c>
      <c r="I117" s="46">
        <v>0</v>
      </c>
      <c r="J117" s="46">
        <v>0</v>
      </c>
      <c r="K117" s="46">
        <v>0</v>
      </c>
      <c r="L117" s="46">
        <v>0</v>
      </c>
      <c r="M117" s="46">
        <v>0</v>
      </c>
      <c r="N117" s="46">
        <v>0</v>
      </c>
      <c r="O117" s="46" t="str">
        <f t="shared" si="1"/>
        <v>2025-04</v>
      </c>
      <c r="T117">
        <f>COUNTIF('UN｜CVレポート'!H:H,流入チャネル別顧客一覧_7月以降完全ユニークではない!#REF!)</f>
        <v>0</v>
      </c>
    </row>
    <row r="118" spans="2:20" ht="18.75">
      <c r="B118" s="46" t="s">
        <v>84</v>
      </c>
      <c r="C118" s="58">
        <v>45770.572222222225</v>
      </c>
      <c r="D118" s="46" t="s">
        <v>435</v>
      </c>
      <c r="E118" s="46" t="s">
        <v>420</v>
      </c>
      <c r="F118" s="46" t="s">
        <v>25</v>
      </c>
      <c r="H118" s="46">
        <v>0</v>
      </c>
      <c r="I118" s="46">
        <v>1</v>
      </c>
      <c r="J118" s="46">
        <v>0</v>
      </c>
      <c r="K118" s="46">
        <v>0</v>
      </c>
      <c r="L118" s="46">
        <v>0</v>
      </c>
      <c r="M118" s="46">
        <v>0</v>
      </c>
      <c r="N118" s="46">
        <v>0</v>
      </c>
      <c r="O118" s="46" t="str">
        <f t="shared" si="1"/>
        <v>2025-04</v>
      </c>
      <c r="T118">
        <f>COUNTIF('UN｜CVレポート'!H:H,流入チャネル別顧客一覧_7月以降完全ユニークではない!#REF!)</f>
        <v>0</v>
      </c>
    </row>
    <row r="119" spans="2:20" ht="18.75">
      <c r="B119" s="46" t="s">
        <v>56</v>
      </c>
      <c r="C119" s="58">
        <v>45771.48333333333</v>
      </c>
      <c r="D119" s="46" t="s">
        <v>438</v>
      </c>
      <c r="E119" s="46" t="s">
        <v>365</v>
      </c>
      <c r="F119" s="46" t="s">
        <v>27</v>
      </c>
      <c r="H119" s="46">
        <v>0</v>
      </c>
      <c r="I119" s="46">
        <v>0</v>
      </c>
      <c r="J119" s="46">
        <v>0</v>
      </c>
      <c r="K119" s="46">
        <v>1</v>
      </c>
      <c r="L119" s="46">
        <v>0</v>
      </c>
      <c r="M119" s="46">
        <v>0</v>
      </c>
      <c r="N119" s="46">
        <v>0</v>
      </c>
      <c r="O119" s="46" t="str">
        <f t="shared" si="1"/>
        <v>2025-04</v>
      </c>
      <c r="T119">
        <f>COUNTIF('UN｜CVレポート'!H:H,流入チャネル別顧客一覧_7月以降完全ユニークではない!#REF!)</f>
        <v>0</v>
      </c>
    </row>
    <row r="120" spans="2:20" ht="18.75">
      <c r="B120" s="44" t="s">
        <v>56</v>
      </c>
      <c r="C120" s="45">
        <v>45778.938888888886</v>
      </c>
      <c r="D120" s="44" t="s">
        <v>441</v>
      </c>
      <c r="E120" s="44" t="s">
        <v>365</v>
      </c>
      <c r="F120" s="44" t="s">
        <v>30</v>
      </c>
      <c r="G120" s="46">
        <v>0</v>
      </c>
      <c r="H120" s="46">
        <v>0</v>
      </c>
      <c r="I120" s="44">
        <v>0</v>
      </c>
      <c r="J120" s="44">
        <v>0</v>
      </c>
      <c r="K120" s="44">
        <v>0</v>
      </c>
      <c r="L120" s="46">
        <v>0</v>
      </c>
      <c r="M120" s="44">
        <v>0</v>
      </c>
      <c r="N120" s="44">
        <v>1</v>
      </c>
      <c r="O120" s="46" t="str">
        <f t="shared" si="1"/>
        <v>2025-05</v>
      </c>
      <c r="T120">
        <f>COUNTIF('UN｜CVレポート'!H:H,流入チャネル別顧客一覧_7月以降完全ユニークではない!#REF!)</f>
        <v>0</v>
      </c>
    </row>
    <row r="121" spans="2:20" ht="18.75">
      <c r="B121" s="44" t="s">
        <v>51</v>
      </c>
      <c r="C121" s="45">
        <v>45779.341666666667</v>
      </c>
      <c r="D121" s="50" t="s">
        <v>444</v>
      </c>
      <c r="E121" s="44" t="s">
        <v>380</v>
      </c>
      <c r="F121" s="44" t="s">
        <v>27</v>
      </c>
      <c r="G121" s="46">
        <v>0</v>
      </c>
      <c r="H121" s="46">
        <v>0</v>
      </c>
      <c r="I121" s="44">
        <v>0</v>
      </c>
      <c r="J121" s="44">
        <v>0</v>
      </c>
      <c r="K121" s="44">
        <v>1</v>
      </c>
      <c r="L121" s="46">
        <v>0</v>
      </c>
      <c r="M121" s="44">
        <v>0</v>
      </c>
      <c r="N121" s="44">
        <v>0</v>
      </c>
      <c r="O121" s="46" t="str">
        <f t="shared" si="1"/>
        <v>2025-05</v>
      </c>
      <c r="P121" s="49">
        <f>C121</f>
        <v>45779.341666666667</v>
      </c>
      <c r="Q121" s="49">
        <v>45803</v>
      </c>
      <c r="S121" s="56" t="s">
        <v>446</v>
      </c>
      <c r="T121">
        <f>COUNTIF('UN｜CVレポート'!H:H,流入チャネル別顧客一覧_7月以降完全ユニークではない!#REF!)</f>
        <v>0</v>
      </c>
    </row>
    <row r="122" spans="2:20" ht="18.75">
      <c r="B122" s="44" t="s">
        <v>84</v>
      </c>
      <c r="C122" s="45">
        <v>45779.436111111114</v>
      </c>
      <c r="D122" s="53" t="s">
        <v>448</v>
      </c>
      <c r="E122" s="44" t="s">
        <v>420</v>
      </c>
      <c r="F122" s="44" t="s">
        <v>27</v>
      </c>
      <c r="G122" s="46">
        <v>0</v>
      </c>
      <c r="H122" s="46">
        <v>0</v>
      </c>
      <c r="I122" s="44">
        <v>0</v>
      </c>
      <c r="J122" s="44">
        <v>0</v>
      </c>
      <c r="K122" s="44">
        <v>1</v>
      </c>
      <c r="L122" s="46">
        <v>0</v>
      </c>
      <c r="M122" s="44">
        <v>0</v>
      </c>
      <c r="N122" s="44">
        <v>0</v>
      </c>
      <c r="O122" s="46" t="str">
        <f t="shared" si="1"/>
        <v>2025-05</v>
      </c>
      <c r="P122" s="49">
        <f>C122</f>
        <v>45779.436111111114</v>
      </c>
      <c r="Q122" s="49">
        <v>45791</v>
      </c>
      <c r="R122" s="54">
        <v>45962</v>
      </c>
      <c r="S122" s="54" t="s">
        <v>450</v>
      </c>
      <c r="T122">
        <f>COUNTIF('UN｜CVレポート'!H:H,流入チャネル別顧客一覧_7月以降完全ユニークではない!#REF!)</f>
        <v>0</v>
      </c>
    </row>
    <row r="123" spans="2:20" ht="18.75">
      <c r="B123" s="44" t="s">
        <v>84</v>
      </c>
      <c r="C123" s="45">
        <v>45786.463888888888</v>
      </c>
      <c r="D123" s="44" t="s">
        <v>452</v>
      </c>
      <c r="E123" s="44" t="s">
        <v>420</v>
      </c>
      <c r="F123" s="44" t="s">
        <v>27</v>
      </c>
      <c r="G123" s="46">
        <v>0</v>
      </c>
      <c r="H123" s="46">
        <v>0</v>
      </c>
      <c r="I123" s="44">
        <v>0</v>
      </c>
      <c r="J123" s="44">
        <v>0</v>
      </c>
      <c r="K123" s="44">
        <v>1</v>
      </c>
      <c r="L123" s="46">
        <v>0</v>
      </c>
      <c r="M123" s="44">
        <v>0</v>
      </c>
      <c r="N123" s="44">
        <v>0</v>
      </c>
      <c r="O123" s="46" t="str">
        <f t="shared" si="1"/>
        <v>2025-05</v>
      </c>
      <c r="T123">
        <f>COUNTIF('UN｜CVレポート'!H:H,流入チャネル別顧客一覧_7月以降完全ユニークではない!#REF!)</f>
        <v>0</v>
      </c>
    </row>
    <row r="124" spans="2:20" ht="18.75">
      <c r="B124" s="44" t="s">
        <v>56</v>
      </c>
      <c r="C124" s="45">
        <v>45786.479861111111</v>
      </c>
      <c r="D124" s="44" t="s">
        <v>455</v>
      </c>
      <c r="E124" s="44" t="s">
        <v>365</v>
      </c>
      <c r="F124" s="44" t="s">
        <v>26</v>
      </c>
      <c r="G124" s="46">
        <v>0</v>
      </c>
      <c r="H124" s="46">
        <v>0</v>
      </c>
      <c r="I124" s="44">
        <v>0</v>
      </c>
      <c r="J124" s="44">
        <v>1</v>
      </c>
      <c r="K124" s="44">
        <v>0</v>
      </c>
      <c r="L124" s="46">
        <v>0</v>
      </c>
      <c r="M124" s="44">
        <v>0</v>
      </c>
      <c r="N124" s="44">
        <v>0</v>
      </c>
      <c r="O124" s="46" t="str">
        <f t="shared" si="1"/>
        <v>2025-05</v>
      </c>
      <c r="T124">
        <f>COUNTIF('UN｜CVレポート'!H:H,流入チャネル別顧客一覧_7月以降完全ユニークではない!#REF!)</f>
        <v>0</v>
      </c>
    </row>
    <row r="125" spans="2:20" ht="18.75">
      <c r="B125" s="44" t="s">
        <v>56</v>
      </c>
      <c r="C125" s="45">
        <v>45787.504861111112</v>
      </c>
      <c r="D125" s="44" t="s">
        <v>458</v>
      </c>
      <c r="E125" s="44" t="s">
        <v>365</v>
      </c>
      <c r="F125" s="44" t="s">
        <v>26</v>
      </c>
      <c r="G125" s="46">
        <v>0</v>
      </c>
      <c r="H125" s="46">
        <v>0</v>
      </c>
      <c r="I125" s="44">
        <v>0</v>
      </c>
      <c r="J125" s="44">
        <v>1</v>
      </c>
      <c r="K125" s="44">
        <v>0</v>
      </c>
      <c r="L125" s="46">
        <v>0</v>
      </c>
      <c r="M125" s="44">
        <v>0</v>
      </c>
      <c r="N125" s="44">
        <v>0</v>
      </c>
      <c r="O125" s="46" t="str">
        <f t="shared" si="1"/>
        <v>2025-05</v>
      </c>
      <c r="T125">
        <f>COUNTIF('UN｜CVレポート'!H:H,流入チャネル別顧客一覧_7月以降完全ユニークではない!#REF!)</f>
        <v>0</v>
      </c>
    </row>
    <row r="126" spans="2:20" ht="18.75">
      <c r="B126" s="44" t="s">
        <v>84</v>
      </c>
      <c r="C126" s="45">
        <v>45789.537499999999</v>
      </c>
      <c r="D126" s="44" t="s">
        <v>461</v>
      </c>
      <c r="E126" s="44" t="s">
        <v>420</v>
      </c>
      <c r="F126" s="44" t="s">
        <v>29</v>
      </c>
      <c r="G126" s="46">
        <v>0</v>
      </c>
      <c r="H126" s="46">
        <v>0</v>
      </c>
      <c r="I126" s="44">
        <v>0</v>
      </c>
      <c r="J126" s="44">
        <v>0</v>
      </c>
      <c r="K126" s="44">
        <v>0</v>
      </c>
      <c r="L126" s="46">
        <v>0</v>
      </c>
      <c r="M126" s="44">
        <v>1</v>
      </c>
      <c r="N126" s="44">
        <v>0</v>
      </c>
      <c r="O126" s="46" t="str">
        <f t="shared" si="1"/>
        <v>2025-05</v>
      </c>
      <c r="T126">
        <f>COUNTIF('UN｜CVレポート'!H:H,流入チャネル別顧客一覧_7月以降完全ユニークではない!#REF!)</f>
        <v>0</v>
      </c>
    </row>
    <row r="127" spans="2:20" ht="18.75">
      <c r="B127" s="44" t="s">
        <v>84</v>
      </c>
      <c r="C127" s="45">
        <v>45790.672222222223</v>
      </c>
      <c r="D127" s="44" t="s">
        <v>455</v>
      </c>
      <c r="E127" s="44" t="s">
        <v>420</v>
      </c>
      <c r="F127" s="44" t="s">
        <v>26</v>
      </c>
      <c r="G127" s="46">
        <v>0</v>
      </c>
      <c r="H127" s="46">
        <v>0</v>
      </c>
      <c r="I127" s="44">
        <v>0</v>
      </c>
      <c r="J127" s="44">
        <v>1</v>
      </c>
      <c r="K127" s="44">
        <v>0</v>
      </c>
      <c r="L127" s="46">
        <v>0</v>
      </c>
      <c r="M127" s="44">
        <v>0</v>
      </c>
      <c r="N127" s="44">
        <v>0</v>
      </c>
      <c r="O127" s="46" t="str">
        <f t="shared" si="1"/>
        <v>2025-05</v>
      </c>
      <c r="T127">
        <f>COUNTIF('UN｜CVレポート'!H:H,流入チャネル別顧客一覧_7月以降完全ユニークではない!#REF!)</f>
        <v>0</v>
      </c>
    </row>
    <row r="128" spans="2:20" ht="18.75">
      <c r="B128" s="44" t="s">
        <v>84</v>
      </c>
      <c r="C128" s="45">
        <v>45793.740277777775</v>
      </c>
      <c r="D128" s="44" t="s">
        <v>465</v>
      </c>
      <c r="E128" s="44" t="s">
        <v>420</v>
      </c>
      <c r="F128" s="44" t="s">
        <v>25</v>
      </c>
      <c r="G128" s="46">
        <v>0</v>
      </c>
      <c r="H128" s="46">
        <v>0</v>
      </c>
      <c r="I128" s="44">
        <v>1</v>
      </c>
      <c r="J128" s="44">
        <v>0</v>
      </c>
      <c r="K128" s="44">
        <v>0</v>
      </c>
      <c r="L128" s="46">
        <v>0</v>
      </c>
      <c r="M128" s="44">
        <v>0</v>
      </c>
      <c r="N128" s="44">
        <v>0</v>
      </c>
      <c r="O128" s="46" t="str">
        <f t="shared" si="1"/>
        <v>2025-05</v>
      </c>
      <c r="T128">
        <f>COUNTIF('UN｜CVレポート'!H:H,流入チャネル別顧客一覧_7月以降完全ユニークではない!#REF!)</f>
        <v>0</v>
      </c>
    </row>
    <row r="129" spans="2:20" ht="18.75">
      <c r="B129" s="44" t="s">
        <v>84</v>
      </c>
      <c r="C129" s="45">
        <v>45796.598611111112</v>
      </c>
      <c r="D129" s="44" t="s">
        <v>468</v>
      </c>
      <c r="E129" s="44" t="s">
        <v>420</v>
      </c>
      <c r="F129" s="44" t="s">
        <v>26</v>
      </c>
      <c r="G129" s="46">
        <v>0</v>
      </c>
      <c r="H129" s="46">
        <v>0</v>
      </c>
      <c r="I129" s="44">
        <v>0</v>
      </c>
      <c r="J129" s="44">
        <v>1</v>
      </c>
      <c r="K129" s="44">
        <v>0</v>
      </c>
      <c r="L129" s="46">
        <v>0</v>
      </c>
      <c r="M129" s="44">
        <v>0</v>
      </c>
      <c r="N129" s="44">
        <v>0</v>
      </c>
      <c r="O129" s="46" t="str">
        <f t="shared" si="1"/>
        <v>2025-05</v>
      </c>
      <c r="T129">
        <f>COUNTIF('UN｜CVレポート'!H:H,流入チャネル別顧客一覧_7月以降完全ユニークではない!#REF!)</f>
        <v>0</v>
      </c>
    </row>
    <row r="130" spans="2:20" ht="18.75">
      <c r="B130" s="44" t="s">
        <v>56</v>
      </c>
      <c r="C130" s="45">
        <v>45798.42083333333</v>
      </c>
      <c r="D130" s="50" t="s">
        <v>471</v>
      </c>
      <c r="E130" s="44" t="s">
        <v>473</v>
      </c>
      <c r="F130" s="44" t="s">
        <v>30</v>
      </c>
      <c r="G130" s="46">
        <v>0</v>
      </c>
      <c r="H130" s="46">
        <v>0</v>
      </c>
      <c r="I130" s="44">
        <v>0</v>
      </c>
      <c r="J130" s="44">
        <v>0</v>
      </c>
      <c r="K130" s="44">
        <v>0</v>
      </c>
      <c r="L130" s="46">
        <v>0</v>
      </c>
      <c r="M130" s="44">
        <v>0</v>
      </c>
      <c r="N130" s="44">
        <v>1</v>
      </c>
      <c r="O130" s="46" t="str">
        <f t="shared" ref="O130:O193" si="2">TEXT(C130, "yyyy-mm")</f>
        <v>2025-05</v>
      </c>
      <c r="P130" s="49">
        <f>C130</f>
        <v>45798.42083333333</v>
      </c>
      <c r="Q130" s="49">
        <v>45811</v>
      </c>
      <c r="S130" s="56" t="s">
        <v>474</v>
      </c>
      <c r="T130">
        <f>COUNTIF('UN｜CVレポート'!H:H,流入チャネル別顧客一覧_7月以降完全ユニークではない!#REF!)</f>
        <v>0</v>
      </c>
    </row>
    <row r="131" spans="2:20" ht="18.75">
      <c r="B131" s="44" t="s">
        <v>51</v>
      </c>
      <c r="C131" s="45">
        <v>45799.554861111108</v>
      </c>
      <c r="D131" s="44" t="s">
        <v>476</v>
      </c>
      <c r="E131" s="44" t="s">
        <v>365</v>
      </c>
      <c r="F131" s="44" t="s">
        <v>27</v>
      </c>
      <c r="G131" s="46">
        <v>0</v>
      </c>
      <c r="H131" s="46">
        <v>0</v>
      </c>
      <c r="I131" s="44">
        <v>0</v>
      </c>
      <c r="J131" s="44">
        <v>0</v>
      </c>
      <c r="K131" s="44">
        <v>1</v>
      </c>
      <c r="L131" s="46">
        <v>0</v>
      </c>
      <c r="M131" s="44">
        <v>0</v>
      </c>
      <c r="N131" s="44">
        <v>0</v>
      </c>
      <c r="O131" s="46" t="str">
        <f t="shared" si="2"/>
        <v>2025-05</v>
      </c>
      <c r="T131">
        <f>COUNTIF('UN｜CVレポート'!H:H,流入チャネル別顧客一覧_7月以降完全ユニークではない!#REF!)</f>
        <v>0</v>
      </c>
    </row>
    <row r="132" spans="2:20" ht="18.75">
      <c r="B132" s="44" t="s">
        <v>51</v>
      </c>
      <c r="C132" s="45">
        <v>45799.663888888892</v>
      </c>
      <c r="D132" s="50" t="s">
        <v>479</v>
      </c>
      <c r="E132" s="44" t="s">
        <v>380</v>
      </c>
      <c r="F132" s="44" t="s">
        <v>26</v>
      </c>
      <c r="G132" s="46">
        <v>0</v>
      </c>
      <c r="H132" s="46">
        <v>0</v>
      </c>
      <c r="I132" s="44">
        <v>0</v>
      </c>
      <c r="J132" s="44">
        <v>1</v>
      </c>
      <c r="K132" s="44">
        <v>0</v>
      </c>
      <c r="L132" s="46">
        <v>0</v>
      </c>
      <c r="M132" s="44">
        <v>0</v>
      </c>
      <c r="N132" s="44">
        <v>0</v>
      </c>
      <c r="O132" s="46" t="str">
        <f t="shared" si="2"/>
        <v>2025-05</v>
      </c>
      <c r="P132" s="49">
        <f>C132</f>
        <v>45799.663888888892</v>
      </c>
      <c r="Q132" s="49">
        <v>45778</v>
      </c>
      <c r="S132" s="46" t="s">
        <v>481</v>
      </c>
      <c r="T132">
        <f>COUNTIF('UN｜CVレポート'!H:H,流入チャネル別顧客一覧_7月以降完全ユニークではない!#REF!)</f>
        <v>0</v>
      </c>
    </row>
    <row r="133" spans="2:20" ht="18.75">
      <c r="B133" s="44" t="s">
        <v>84</v>
      </c>
      <c r="C133" s="45">
        <v>45800.482638888891</v>
      </c>
      <c r="D133" s="44" t="s">
        <v>483</v>
      </c>
      <c r="E133" s="44" t="s">
        <v>420</v>
      </c>
      <c r="F133" s="44" t="s">
        <v>24</v>
      </c>
      <c r="G133" s="46">
        <v>0</v>
      </c>
      <c r="H133" s="44">
        <v>1</v>
      </c>
      <c r="I133" s="44">
        <v>0</v>
      </c>
      <c r="J133" s="44">
        <v>0</v>
      </c>
      <c r="K133" s="44">
        <v>0</v>
      </c>
      <c r="L133" s="44">
        <v>0</v>
      </c>
      <c r="M133" s="44">
        <v>0</v>
      </c>
      <c r="N133" s="44">
        <v>0</v>
      </c>
      <c r="O133" s="46" t="str">
        <f t="shared" si="2"/>
        <v>2025-05</v>
      </c>
      <c r="T133">
        <f>COUNTIF('UN｜CVレポート'!H:H,流入チャネル別顧客一覧_7月以降完全ユニークではない!#REF!)</f>
        <v>0</v>
      </c>
    </row>
    <row r="134" spans="2:20" ht="18.75">
      <c r="B134" s="44" t="s">
        <v>84</v>
      </c>
      <c r="C134" s="45">
        <v>45810.443749999999</v>
      </c>
      <c r="D134" s="44" t="s">
        <v>485</v>
      </c>
      <c r="E134" s="44" t="s">
        <v>420</v>
      </c>
      <c r="F134" s="44" t="s">
        <v>27</v>
      </c>
      <c r="G134" s="44">
        <v>0</v>
      </c>
      <c r="H134" s="46">
        <v>0</v>
      </c>
      <c r="I134" s="44">
        <v>0</v>
      </c>
      <c r="J134" s="44">
        <v>0</v>
      </c>
      <c r="K134" s="44">
        <v>1</v>
      </c>
      <c r="L134" s="46">
        <v>0</v>
      </c>
      <c r="M134" s="44">
        <v>0</v>
      </c>
      <c r="N134" s="44">
        <v>0</v>
      </c>
      <c r="O134" s="46" t="str">
        <f t="shared" si="2"/>
        <v>2025-06</v>
      </c>
      <c r="T134">
        <f>COUNTIF('UN｜CVレポート'!H:H,流入チャネル別顧客一覧_7月以降完全ユニークではない!#REF!)</f>
        <v>0</v>
      </c>
    </row>
    <row r="135" spans="2:20" ht="18.75">
      <c r="B135" s="44" t="s">
        <v>51</v>
      </c>
      <c r="C135" s="45">
        <v>45811.657638888886</v>
      </c>
      <c r="D135" s="44" t="s">
        <v>488</v>
      </c>
      <c r="E135" s="44" t="s">
        <v>365</v>
      </c>
      <c r="F135" s="44" t="s">
        <v>27</v>
      </c>
      <c r="G135" s="44">
        <v>0</v>
      </c>
      <c r="H135" s="46">
        <v>0</v>
      </c>
      <c r="I135" s="44">
        <v>0</v>
      </c>
      <c r="J135" s="44">
        <v>0</v>
      </c>
      <c r="K135" s="44">
        <v>1</v>
      </c>
      <c r="L135" s="46">
        <v>0</v>
      </c>
      <c r="M135" s="44">
        <v>0</v>
      </c>
      <c r="N135" s="44">
        <v>0</v>
      </c>
      <c r="O135" s="46" t="str">
        <f t="shared" si="2"/>
        <v>2025-06</v>
      </c>
      <c r="T135">
        <f>COUNTIF('UN｜CVレポート'!H:H,流入チャネル別顧客一覧_7月以降完全ユニークではない!#REF!)</f>
        <v>0</v>
      </c>
    </row>
    <row r="136" spans="2:20" ht="18.75">
      <c r="B136" s="44" t="s">
        <v>51</v>
      </c>
      <c r="C136" s="45">
        <v>45812.500694444447</v>
      </c>
      <c r="D136" s="44" t="s">
        <v>491</v>
      </c>
      <c r="E136" s="44" t="s">
        <v>365</v>
      </c>
      <c r="F136" s="44" t="s">
        <v>27</v>
      </c>
      <c r="G136" s="44">
        <v>0</v>
      </c>
      <c r="H136" s="46">
        <v>0</v>
      </c>
      <c r="I136" s="44">
        <v>0</v>
      </c>
      <c r="J136" s="44">
        <v>0</v>
      </c>
      <c r="K136" s="44">
        <v>1</v>
      </c>
      <c r="L136" s="46">
        <v>0</v>
      </c>
      <c r="M136" s="44">
        <v>0</v>
      </c>
      <c r="N136" s="44">
        <v>0</v>
      </c>
      <c r="O136" s="46" t="str">
        <f t="shared" si="2"/>
        <v>2025-06</v>
      </c>
      <c r="T136">
        <f>COUNTIF('UN｜CVレポート'!H:H,流入チャネル別顧客一覧_7月以降完全ユニークではない!#REF!)</f>
        <v>0</v>
      </c>
    </row>
    <row r="137" spans="2:20" ht="18.75">
      <c r="B137" s="44" t="s">
        <v>56</v>
      </c>
      <c r="C137" s="45">
        <v>45813.289583333331</v>
      </c>
      <c r="D137" s="53" t="s">
        <v>494</v>
      </c>
      <c r="E137" s="44" t="s">
        <v>473</v>
      </c>
      <c r="F137" s="44" t="s">
        <v>27</v>
      </c>
      <c r="G137" s="44">
        <v>0</v>
      </c>
      <c r="H137" s="46">
        <v>0</v>
      </c>
      <c r="I137" s="44">
        <v>0</v>
      </c>
      <c r="J137" s="44">
        <v>0</v>
      </c>
      <c r="K137" s="44">
        <v>1</v>
      </c>
      <c r="L137" s="46">
        <v>0</v>
      </c>
      <c r="M137" s="44">
        <v>0</v>
      </c>
      <c r="N137" s="44">
        <v>0</v>
      </c>
      <c r="O137" s="46" t="str">
        <f t="shared" si="2"/>
        <v>2025-06</v>
      </c>
      <c r="P137" s="49">
        <v>45833</v>
      </c>
      <c r="Q137" s="49">
        <v>45833</v>
      </c>
      <c r="R137" s="54">
        <v>45901</v>
      </c>
      <c r="S137" s="55" t="s">
        <v>496</v>
      </c>
      <c r="T137">
        <f>COUNTIF('UN｜CVレポート'!H:H,流入チャネル別顧客一覧_7月以降完全ユニークではない!#REF!)</f>
        <v>0</v>
      </c>
    </row>
    <row r="138" spans="2:20" ht="18.75">
      <c r="B138" s="44" t="s">
        <v>84</v>
      </c>
      <c r="C138" s="45">
        <v>45814.459027777775</v>
      </c>
      <c r="D138" s="44" t="s">
        <v>498</v>
      </c>
      <c r="E138" s="44" t="s">
        <v>420</v>
      </c>
      <c r="F138" s="44" t="s">
        <v>26</v>
      </c>
      <c r="G138" s="44">
        <v>0</v>
      </c>
      <c r="H138" s="46">
        <v>0</v>
      </c>
      <c r="I138" s="44">
        <v>0</v>
      </c>
      <c r="J138" s="44">
        <v>1</v>
      </c>
      <c r="K138" s="44">
        <v>0</v>
      </c>
      <c r="L138" s="46">
        <v>0</v>
      </c>
      <c r="M138" s="44">
        <v>0</v>
      </c>
      <c r="N138" s="44">
        <v>0</v>
      </c>
      <c r="O138" s="46" t="str">
        <f t="shared" si="2"/>
        <v>2025-06</v>
      </c>
      <c r="T138">
        <f>COUNTIF('UN｜CVレポート'!H:H,流入チャネル別顧客一覧_7月以降完全ユニークではない!#REF!)</f>
        <v>0</v>
      </c>
    </row>
    <row r="139" spans="2:20" ht="18.75">
      <c r="B139" s="44" t="s">
        <v>51</v>
      </c>
      <c r="C139" s="45">
        <v>45814.461111111108</v>
      </c>
      <c r="D139" s="44" t="s">
        <v>498</v>
      </c>
      <c r="E139" s="44" t="s">
        <v>365</v>
      </c>
      <c r="F139" s="44" t="s">
        <v>26</v>
      </c>
      <c r="G139" s="44">
        <v>0</v>
      </c>
      <c r="H139" s="46">
        <v>0</v>
      </c>
      <c r="I139" s="44">
        <v>0</v>
      </c>
      <c r="J139" s="44">
        <v>1</v>
      </c>
      <c r="K139" s="44">
        <v>0</v>
      </c>
      <c r="L139" s="46">
        <v>0</v>
      </c>
      <c r="M139" s="44">
        <v>0</v>
      </c>
      <c r="N139" s="44">
        <v>0</v>
      </c>
      <c r="O139" s="46" t="str">
        <f t="shared" si="2"/>
        <v>2025-06</v>
      </c>
      <c r="T139">
        <f>COUNTIF('UN｜CVレポート'!H:H,流入チャネル別顧客一覧_7月以降完全ユニークではない!#REF!)</f>
        <v>0</v>
      </c>
    </row>
    <row r="140" spans="2:20" ht="18.75">
      <c r="B140" s="44" t="s">
        <v>56</v>
      </c>
      <c r="C140" s="45">
        <v>45814.675000000003</v>
      </c>
      <c r="D140" s="44" t="s">
        <v>501</v>
      </c>
      <c r="E140" s="44" t="s">
        <v>365</v>
      </c>
      <c r="F140" s="44" t="s">
        <v>23</v>
      </c>
      <c r="G140" s="44">
        <v>1</v>
      </c>
      <c r="H140" s="46">
        <v>0</v>
      </c>
      <c r="I140" s="44">
        <v>0</v>
      </c>
      <c r="J140" s="44">
        <v>0</v>
      </c>
      <c r="K140" s="44">
        <v>0</v>
      </c>
      <c r="L140" s="46">
        <v>0</v>
      </c>
      <c r="M140" s="44">
        <v>0</v>
      </c>
      <c r="N140" s="44">
        <v>0</v>
      </c>
      <c r="O140" s="46" t="str">
        <f t="shared" si="2"/>
        <v>2025-06</v>
      </c>
      <c r="T140">
        <f>COUNTIF('UN｜CVレポート'!H:H,流入チャネル別顧客一覧_7月以降完全ユニークではない!#REF!)</f>
        <v>0</v>
      </c>
    </row>
    <row r="141" spans="2:20" ht="18.75">
      <c r="B141" s="44" t="s">
        <v>51</v>
      </c>
      <c r="C141" s="45">
        <v>45816.375</v>
      </c>
      <c r="D141" s="50" t="s">
        <v>504</v>
      </c>
      <c r="E141" s="44" t="s">
        <v>365</v>
      </c>
      <c r="F141" s="44" t="s">
        <v>26</v>
      </c>
      <c r="G141" s="44">
        <v>0</v>
      </c>
      <c r="H141" s="46">
        <v>0</v>
      </c>
      <c r="I141" s="44">
        <v>0</v>
      </c>
      <c r="J141" s="44">
        <v>1</v>
      </c>
      <c r="K141" s="44">
        <v>0</v>
      </c>
      <c r="L141" s="46">
        <v>0</v>
      </c>
      <c r="M141" s="44">
        <v>0</v>
      </c>
      <c r="N141" s="44">
        <v>0</v>
      </c>
      <c r="O141" s="46" t="str">
        <f t="shared" si="2"/>
        <v>2025-06</v>
      </c>
      <c r="P141" s="49">
        <v>45833</v>
      </c>
      <c r="Q141" s="49">
        <v>45809</v>
      </c>
      <c r="S141" s="46" t="s">
        <v>506</v>
      </c>
      <c r="T141">
        <f>COUNTIF('UN｜CVレポート'!H:H,流入チャネル別顧客一覧_7月以降完全ユニークではない!#REF!)</f>
        <v>0</v>
      </c>
    </row>
    <row r="142" spans="2:20" ht="18.75">
      <c r="B142" s="44" t="s">
        <v>51</v>
      </c>
      <c r="C142" s="45">
        <v>45816.929861111108</v>
      </c>
      <c r="D142" s="44" t="s">
        <v>508</v>
      </c>
      <c r="E142" s="44" t="s">
        <v>365</v>
      </c>
      <c r="F142" s="44" t="s">
        <v>26</v>
      </c>
      <c r="G142" s="44">
        <v>0</v>
      </c>
      <c r="H142" s="46">
        <v>0</v>
      </c>
      <c r="I142" s="44">
        <v>0</v>
      </c>
      <c r="J142" s="44">
        <v>1</v>
      </c>
      <c r="K142" s="44">
        <v>0</v>
      </c>
      <c r="L142" s="46">
        <v>0</v>
      </c>
      <c r="M142" s="44">
        <v>0</v>
      </c>
      <c r="N142" s="44">
        <v>0</v>
      </c>
      <c r="O142" s="46" t="str">
        <f t="shared" si="2"/>
        <v>2025-06</v>
      </c>
      <c r="T142">
        <f>COUNTIF('UN｜CVレポート'!H:H,流入チャネル別顧客一覧_7月以降完全ユニークではない!#REF!)</f>
        <v>0</v>
      </c>
    </row>
    <row r="143" spans="2:20" ht="18.75">
      <c r="B143" s="44" t="s">
        <v>84</v>
      </c>
      <c r="C143" s="45">
        <v>45819.536805555559</v>
      </c>
      <c r="D143" s="44" t="s">
        <v>511</v>
      </c>
      <c r="E143" s="44" t="s">
        <v>420</v>
      </c>
      <c r="F143" s="44" t="s">
        <v>27</v>
      </c>
      <c r="G143" s="44">
        <v>0</v>
      </c>
      <c r="H143" s="46">
        <v>0</v>
      </c>
      <c r="I143" s="44">
        <v>0</v>
      </c>
      <c r="J143" s="44">
        <v>0</v>
      </c>
      <c r="K143" s="44">
        <v>1</v>
      </c>
      <c r="L143" s="46">
        <v>0</v>
      </c>
      <c r="M143" s="44">
        <v>0</v>
      </c>
      <c r="N143" s="44">
        <v>0</v>
      </c>
      <c r="O143" s="46" t="str">
        <f t="shared" si="2"/>
        <v>2025-06</v>
      </c>
      <c r="T143">
        <f>COUNTIF('UN｜CVレポート'!H:H,流入チャネル別顧客一覧_7月以降完全ユニークではない!#REF!)</f>
        <v>0</v>
      </c>
    </row>
    <row r="144" spans="2:20" ht="18.75">
      <c r="B144" s="44" t="s">
        <v>84</v>
      </c>
      <c r="C144" s="45">
        <v>45821.441666666666</v>
      </c>
      <c r="D144" s="44" t="s">
        <v>514</v>
      </c>
      <c r="E144" s="44" t="s">
        <v>420</v>
      </c>
      <c r="F144" s="44" t="s">
        <v>27</v>
      </c>
      <c r="G144" s="44">
        <v>0</v>
      </c>
      <c r="H144" s="46">
        <v>0</v>
      </c>
      <c r="I144" s="44">
        <v>0</v>
      </c>
      <c r="J144" s="44">
        <v>0</v>
      </c>
      <c r="K144" s="44">
        <v>1</v>
      </c>
      <c r="L144" s="46">
        <v>0</v>
      </c>
      <c r="M144" s="44">
        <v>0</v>
      </c>
      <c r="N144" s="44">
        <v>0</v>
      </c>
      <c r="O144" s="46" t="str">
        <f t="shared" si="2"/>
        <v>2025-06</v>
      </c>
      <c r="T144">
        <f>COUNTIF('UN｜CVレポート'!H:H,流入チャネル別顧客一覧_7月以降完全ユニークではない!#REF!)</f>
        <v>0</v>
      </c>
    </row>
    <row r="145" spans="2:20" ht="18.75">
      <c r="B145" s="44" t="s">
        <v>84</v>
      </c>
      <c r="C145" s="45">
        <v>45824.613194444442</v>
      </c>
      <c r="D145" s="50" t="s">
        <v>517</v>
      </c>
      <c r="E145" s="44" t="s">
        <v>135</v>
      </c>
      <c r="F145" s="44" t="s">
        <v>25</v>
      </c>
      <c r="G145" s="46">
        <v>0</v>
      </c>
      <c r="H145" s="46">
        <v>0</v>
      </c>
      <c r="I145" s="44">
        <v>1</v>
      </c>
      <c r="J145" s="44">
        <v>0</v>
      </c>
      <c r="K145" s="44">
        <v>0</v>
      </c>
      <c r="L145" s="46">
        <v>0</v>
      </c>
      <c r="M145" s="44">
        <v>0</v>
      </c>
      <c r="N145" s="46">
        <v>0</v>
      </c>
      <c r="O145" s="46" t="str">
        <f t="shared" si="2"/>
        <v>2025-06</v>
      </c>
      <c r="P145" s="49">
        <v>45833</v>
      </c>
      <c r="Q145" s="49">
        <v>45842</v>
      </c>
      <c r="S145" s="56" t="s">
        <v>519</v>
      </c>
      <c r="T145">
        <f>COUNTIF('UN｜CVレポート'!H:H,流入チャネル別顧客一覧_7月以降完全ユニークではない!#REF!)</f>
        <v>0</v>
      </c>
    </row>
    <row r="146" spans="2:20" ht="18.75">
      <c r="B146" s="44" t="s">
        <v>84</v>
      </c>
      <c r="C146" s="45">
        <v>45825.546527777777</v>
      </c>
      <c r="D146" s="44" t="s">
        <v>521</v>
      </c>
      <c r="E146" s="44" t="s">
        <v>420</v>
      </c>
      <c r="F146" s="44" t="s">
        <v>27</v>
      </c>
      <c r="G146" s="46">
        <v>0</v>
      </c>
      <c r="H146" s="46">
        <v>0</v>
      </c>
      <c r="I146" s="44">
        <v>0</v>
      </c>
      <c r="J146" s="44">
        <v>0</v>
      </c>
      <c r="K146" s="44">
        <v>1</v>
      </c>
      <c r="L146" s="46">
        <v>0</v>
      </c>
      <c r="M146" s="44">
        <v>0</v>
      </c>
      <c r="N146" s="46">
        <v>0</v>
      </c>
      <c r="O146" s="46" t="str">
        <f t="shared" si="2"/>
        <v>2025-06</v>
      </c>
      <c r="T146">
        <f>COUNTIF('UN｜CVレポート'!H:H,流入チャネル別顧客一覧_7月以降完全ユニークではない!#REF!)</f>
        <v>0</v>
      </c>
    </row>
    <row r="147" spans="2:20" ht="18.75">
      <c r="B147" s="44" t="s">
        <v>51</v>
      </c>
      <c r="C147" s="45">
        <v>45826.597916666666</v>
      </c>
      <c r="D147" s="44" t="s">
        <v>524</v>
      </c>
      <c r="E147" s="44" t="s">
        <v>365</v>
      </c>
      <c r="F147" s="44" t="s">
        <v>25</v>
      </c>
      <c r="G147" s="46">
        <v>0</v>
      </c>
      <c r="H147" s="46">
        <v>0</v>
      </c>
      <c r="I147" s="44">
        <v>1</v>
      </c>
      <c r="J147" s="44">
        <v>0</v>
      </c>
      <c r="K147" s="44">
        <v>0</v>
      </c>
      <c r="L147" s="46">
        <v>0</v>
      </c>
      <c r="M147" s="44">
        <v>0</v>
      </c>
      <c r="N147" s="46">
        <v>0</v>
      </c>
      <c r="O147" s="46" t="str">
        <f t="shared" si="2"/>
        <v>2025-06</v>
      </c>
      <c r="T147">
        <f>COUNTIF('UN｜CVレポート'!H:H,流入チャネル別顧客一覧_7月以降完全ユニークではない!#REF!)</f>
        <v>0</v>
      </c>
    </row>
    <row r="148" spans="2:20" ht="18.75">
      <c r="B148" s="44" t="s">
        <v>84</v>
      </c>
      <c r="C148" s="45">
        <v>45828.61041666667</v>
      </c>
      <c r="D148" s="44" t="s">
        <v>527</v>
      </c>
      <c r="E148" s="44" t="s">
        <v>420</v>
      </c>
      <c r="F148" s="44" t="s">
        <v>29</v>
      </c>
      <c r="G148" s="46">
        <v>0</v>
      </c>
      <c r="H148" s="46">
        <v>0</v>
      </c>
      <c r="I148" s="44">
        <v>0</v>
      </c>
      <c r="J148" s="44">
        <v>0</v>
      </c>
      <c r="K148" s="44">
        <v>0</v>
      </c>
      <c r="L148" s="46">
        <v>0</v>
      </c>
      <c r="M148" s="44">
        <v>1</v>
      </c>
      <c r="N148" s="46">
        <v>0</v>
      </c>
      <c r="O148" s="46" t="str">
        <f t="shared" si="2"/>
        <v>2025-06</v>
      </c>
      <c r="T148">
        <f>COUNTIF('UN｜CVレポート'!H:H,流入チャネル別顧客一覧_7月以降完全ユニークではない!#REF!)</f>
        <v>0</v>
      </c>
    </row>
    <row r="149" spans="2:20" ht="18.75">
      <c r="B149" s="44" t="s">
        <v>84</v>
      </c>
      <c r="C149" s="45">
        <v>45832.549305555556</v>
      </c>
      <c r="D149" s="44" t="s">
        <v>530</v>
      </c>
      <c r="E149" s="44" t="s">
        <v>420</v>
      </c>
      <c r="F149" s="44" t="s">
        <v>25</v>
      </c>
      <c r="G149" s="46">
        <v>0</v>
      </c>
      <c r="H149" s="46">
        <v>0</v>
      </c>
      <c r="I149" s="44">
        <v>1</v>
      </c>
      <c r="J149" s="44">
        <v>0</v>
      </c>
      <c r="K149" s="44">
        <v>0</v>
      </c>
      <c r="L149" s="46">
        <v>0</v>
      </c>
      <c r="M149" s="44">
        <v>0</v>
      </c>
      <c r="N149" s="46">
        <v>0</v>
      </c>
      <c r="O149" s="46" t="str">
        <f t="shared" si="2"/>
        <v>2025-06</v>
      </c>
      <c r="T149">
        <f>COUNTIF('UN｜CVレポート'!H:H,流入チャネル別顧客一覧_7月以降完全ユニークではない!#REF!)</f>
        <v>0</v>
      </c>
    </row>
    <row r="150" spans="2:20" ht="18.75">
      <c r="B150" s="44" t="s">
        <v>56</v>
      </c>
      <c r="C150" s="45">
        <v>45832.563194444447</v>
      </c>
      <c r="D150" s="44" t="s">
        <v>530</v>
      </c>
      <c r="E150" s="44" t="s">
        <v>365</v>
      </c>
      <c r="F150" s="44" t="s">
        <v>25</v>
      </c>
      <c r="G150" s="46">
        <v>0</v>
      </c>
      <c r="H150" s="46">
        <v>0</v>
      </c>
      <c r="I150" s="44">
        <v>1</v>
      </c>
      <c r="J150" s="44">
        <v>0</v>
      </c>
      <c r="K150" s="44">
        <v>0</v>
      </c>
      <c r="L150" s="46">
        <v>0</v>
      </c>
      <c r="M150" s="44">
        <v>0</v>
      </c>
      <c r="N150" s="46">
        <v>0</v>
      </c>
      <c r="O150" s="46" t="str">
        <f t="shared" si="2"/>
        <v>2025-06</v>
      </c>
      <c r="T150">
        <f>COUNTIF('UN｜CVレポート'!H:H,流入チャネル別顧客一覧_7月以降完全ユニークではない!#REF!)</f>
        <v>0</v>
      </c>
    </row>
    <row r="151" spans="2:20" ht="18.75">
      <c r="B151" s="46" t="s">
        <v>84</v>
      </c>
      <c r="C151" s="60">
        <v>45840.708333333336</v>
      </c>
      <c r="D151" s="46" t="s">
        <v>534</v>
      </c>
      <c r="E151" s="46" t="s">
        <v>365</v>
      </c>
      <c r="F151" s="44" t="e">
        <f>VLOOKUP(#REF!,'UN｜CVレポート'!H:J,3,0)</f>
        <v>#REF!</v>
      </c>
      <c r="G151" s="44"/>
      <c r="H151" s="44"/>
      <c r="I151" s="44"/>
      <c r="J151" s="44"/>
      <c r="K151" s="44"/>
      <c r="L151" s="44"/>
      <c r="M151" s="44"/>
      <c r="N151" s="44"/>
      <c r="O151" s="46" t="str">
        <f t="shared" si="2"/>
        <v>2025-07</v>
      </c>
      <c r="T151">
        <f>COUNTIF('UN｜CVレポート'!H:H,流入チャネル別顧客一覧_7月以降完全ユニークではない!#REF!)</f>
        <v>0</v>
      </c>
    </row>
    <row r="152" spans="2:20" ht="18.75">
      <c r="B152" s="46" t="s">
        <v>56</v>
      </c>
      <c r="C152" s="60">
        <v>45841.875</v>
      </c>
      <c r="D152" s="46" t="s">
        <v>537</v>
      </c>
      <c r="E152" s="46" t="s">
        <v>365</v>
      </c>
      <c r="F152" s="44" t="e">
        <f>VLOOKUP(#REF!,'UN｜CVレポート'!H:J,3,0)</f>
        <v>#REF!</v>
      </c>
      <c r="G152" s="44"/>
      <c r="H152" s="44"/>
      <c r="I152" s="44"/>
      <c r="J152" s="44"/>
      <c r="K152" s="44"/>
      <c r="L152" s="44"/>
      <c r="M152" s="44"/>
      <c r="N152" s="44"/>
      <c r="O152" s="46" t="str">
        <f t="shared" si="2"/>
        <v>2025-07</v>
      </c>
      <c r="T152">
        <f>COUNTIF('UN｜CVレポート'!H:H,流入チャネル別顧客一覧_7月以降完全ユニークではない!#REF!)</f>
        <v>0</v>
      </c>
    </row>
    <row r="153" spans="2:20" ht="18.75">
      <c r="B153" s="46" t="s">
        <v>51</v>
      </c>
      <c r="C153" s="60">
        <v>45843.333333333336</v>
      </c>
      <c r="D153" s="46" t="s">
        <v>540</v>
      </c>
      <c r="E153" s="46" t="s">
        <v>365</v>
      </c>
      <c r="F153" s="44" t="e">
        <f>VLOOKUP(#REF!,'UN｜CVレポート'!H:J,3,0)</f>
        <v>#REF!</v>
      </c>
      <c r="G153" s="44"/>
      <c r="H153" s="44"/>
      <c r="I153" s="44"/>
      <c r="J153" s="44"/>
      <c r="K153" s="44"/>
      <c r="L153" s="44"/>
      <c r="M153" s="44"/>
      <c r="N153" s="44"/>
      <c r="O153" s="46" t="str">
        <f t="shared" si="2"/>
        <v>2025-07</v>
      </c>
      <c r="T153">
        <f>COUNTIF('UN｜CVレポート'!H:H,流入チャネル別顧客一覧_7月以降完全ユニークではない!#REF!)</f>
        <v>0</v>
      </c>
    </row>
    <row r="154" spans="2:20" ht="18.75">
      <c r="B154" s="46" t="s">
        <v>51</v>
      </c>
      <c r="C154" s="60">
        <v>45845.458333333336</v>
      </c>
      <c r="D154" s="46" t="s">
        <v>543</v>
      </c>
      <c r="E154" s="46" t="s">
        <v>365</v>
      </c>
      <c r="F154" s="44" t="e">
        <f>VLOOKUP(#REF!,'UN｜CVレポート'!H:J,3,0)</f>
        <v>#REF!</v>
      </c>
      <c r="G154" s="44"/>
      <c r="H154" s="44"/>
      <c r="I154" s="44"/>
      <c r="J154" s="44"/>
      <c r="K154" s="44"/>
      <c r="L154" s="44"/>
      <c r="M154" s="44"/>
      <c r="N154" s="44"/>
      <c r="O154" s="46" t="str">
        <f t="shared" si="2"/>
        <v>2025-07</v>
      </c>
      <c r="T154">
        <f>COUNTIF('UN｜CVレポート'!H:H,流入チャネル別顧客一覧_7月以降完全ユニークではない!#REF!)</f>
        <v>0</v>
      </c>
    </row>
    <row r="155" spans="2:20" ht="18.75">
      <c r="B155" s="46" t="s">
        <v>84</v>
      </c>
      <c r="C155" s="60">
        <v>45849.5</v>
      </c>
      <c r="D155" s="46" t="s">
        <v>546</v>
      </c>
      <c r="E155" s="46" t="s">
        <v>365</v>
      </c>
      <c r="F155" s="44" t="e">
        <f>VLOOKUP(#REF!,'UN｜CVレポート'!H:J,3,0)</f>
        <v>#REF!</v>
      </c>
      <c r="G155" s="44"/>
      <c r="H155" s="44"/>
      <c r="I155" s="44"/>
      <c r="J155" s="44"/>
      <c r="K155" s="44"/>
      <c r="L155" s="44"/>
      <c r="M155" s="44"/>
      <c r="N155" s="44"/>
      <c r="O155" s="46" t="str">
        <f t="shared" si="2"/>
        <v>2025-07</v>
      </c>
      <c r="T155">
        <f>COUNTIF('UN｜CVレポート'!H:H,流入チャネル別顧客一覧_7月以降完全ユニークではない!#REF!)</f>
        <v>0</v>
      </c>
    </row>
    <row r="156" spans="2:20" ht="18.75">
      <c r="B156" s="46" t="s">
        <v>51</v>
      </c>
      <c r="C156" s="60">
        <v>45849.541666666664</v>
      </c>
      <c r="D156" s="59" t="s">
        <v>549</v>
      </c>
      <c r="E156" s="46" t="s">
        <v>135</v>
      </c>
      <c r="F156" s="44" t="e">
        <f>VLOOKUP(#REF!,'UN｜CVレポート'!H:J,3,0)</f>
        <v>#REF!</v>
      </c>
      <c r="G156" s="44"/>
      <c r="H156" s="44"/>
      <c r="I156" s="44"/>
      <c r="J156" s="44"/>
      <c r="K156" s="44"/>
      <c r="L156" s="44"/>
      <c r="M156" s="44"/>
      <c r="N156" s="44"/>
      <c r="O156" s="46" t="str">
        <f t="shared" si="2"/>
        <v>2025-07</v>
      </c>
      <c r="P156" s="49">
        <v>45870</v>
      </c>
      <c r="Q156" s="49">
        <v>45901</v>
      </c>
      <c r="R156" s="54">
        <v>46023</v>
      </c>
      <c r="S156" s="54" t="s">
        <v>550</v>
      </c>
      <c r="T156">
        <f>COUNTIF('UN｜CVレポート'!H:H,流入チャネル別顧客一覧_7月以降完全ユニークではない!#REF!)</f>
        <v>0</v>
      </c>
    </row>
    <row r="157" spans="2:20" ht="18.75">
      <c r="B157" s="46" t="s">
        <v>84</v>
      </c>
      <c r="C157" s="60">
        <v>45852.375</v>
      </c>
      <c r="D157" s="59" t="s">
        <v>552</v>
      </c>
      <c r="E157" s="46" t="s">
        <v>365</v>
      </c>
      <c r="F157" s="44" t="e">
        <f>VLOOKUP(#REF!,'UN｜CVレポート'!H:J,3,0)</f>
        <v>#REF!</v>
      </c>
      <c r="G157" s="44"/>
      <c r="H157" s="44"/>
      <c r="I157" s="44"/>
      <c r="J157" s="44"/>
      <c r="K157" s="44"/>
      <c r="L157" s="44"/>
      <c r="M157" s="44"/>
      <c r="N157" s="44"/>
      <c r="O157" s="46" t="str">
        <f t="shared" si="2"/>
        <v>2025-07</v>
      </c>
      <c r="P157" s="49">
        <f>C157</f>
        <v>45852.375</v>
      </c>
      <c r="Q157" s="57"/>
      <c r="S157" s="46" t="s">
        <v>554</v>
      </c>
      <c r="T157">
        <f>COUNTIF('UN｜CVレポート'!H:H,流入チャネル別顧客一覧_7月以降完全ユニークではない!#REF!)</f>
        <v>0</v>
      </c>
    </row>
    <row r="158" spans="2:20" ht="18.75">
      <c r="B158" s="46" t="s">
        <v>84</v>
      </c>
      <c r="C158" s="60">
        <v>45853.416666666664</v>
      </c>
      <c r="D158" s="59" t="s">
        <v>556</v>
      </c>
      <c r="E158" s="46" t="s">
        <v>380</v>
      </c>
      <c r="F158" s="44" t="e">
        <f>VLOOKUP(#REF!,'UN｜CVレポート'!H:J,3,0)</f>
        <v>#REF!</v>
      </c>
      <c r="G158" s="44"/>
      <c r="H158" s="44"/>
      <c r="I158" s="44"/>
      <c r="J158" s="44"/>
      <c r="K158" s="44"/>
      <c r="L158" s="44"/>
      <c r="M158" s="44"/>
      <c r="N158" s="44"/>
      <c r="O158" s="46" t="str">
        <f t="shared" si="2"/>
        <v>2025-07</v>
      </c>
      <c r="P158" s="49">
        <v>45839</v>
      </c>
      <c r="Q158" s="49">
        <v>45901</v>
      </c>
      <c r="S158" s="56" t="s">
        <v>558</v>
      </c>
      <c r="T158">
        <f>COUNTIF('UN｜CVレポート'!H:H,流入チャネル別顧客一覧_7月以降完全ユニークではない!#REF!)</f>
        <v>0</v>
      </c>
    </row>
    <row r="159" spans="2:20" ht="18.75">
      <c r="B159" s="46" t="s">
        <v>56</v>
      </c>
      <c r="C159" s="60">
        <v>45853.541666666664</v>
      </c>
      <c r="D159" s="46" t="s">
        <v>560</v>
      </c>
      <c r="E159" s="46" t="s">
        <v>365</v>
      </c>
      <c r="F159" s="44" t="s">
        <v>27</v>
      </c>
      <c r="G159" s="44"/>
      <c r="H159" s="44"/>
      <c r="I159" s="44"/>
      <c r="J159" s="44"/>
      <c r="K159" s="44"/>
      <c r="L159" s="44"/>
      <c r="M159" s="44"/>
      <c r="N159" s="44"/>
      <c r="O159" s="46" t="str">
        <f t="shared" si="2"/>
        <v>2025-07</v>
      </c>
      <c r="T159">
        <f>COUNTIF('UN｜CVレポート'!H:H,流入チャネル別顧客一覧_7月以降完全ユニークではない!#REF!)</f>
        <v>0</v>
      </c>
    </row>
    <row r="160" spans="2:20" ht="18.75">
      <c r="B160" s="46" t="s">
        <v>56</v>
      </c>
      <c r="C160" s="60">
        <v>45853.625</v>
      </c>
      <c r="D160" s="46" t="s">
        <v>563</v>
      </c>
      <c r="E160" s="46" t="s">
        <v>365</v>
      </c>
      <c r="F160" s="44" t="e">
        <f>VLOOKUP(#REF!,'UN｜CVレポート'!H:J,3,0)</f>
        <v>#REF!</v>
      </c>
      <c r="G160" s="44"/>
      <c r="H160" s="44"/>
      <c r="I160" s="44"/>
      <c r="J160" s="44"/>
      <c r="K160" s="44"/>
      <c r="L160" s="44"/>
      <c r="M160" s="44"/>
      <c r="N160" s="44"/>
      <c r="O160" s="46" t="str">
        <f t="shared" si="2"/>
        <v>2025-07</v>
      </c>
      <c r="S160" s="46" t="s">
        <v>284</v>
      </c>
      <c r="T160">
        <f>COUNTIF('UN｜CVレポート'!H:H,流入チャネル別顧客一覧_7月以降完全ユニークではない!#REF!)</f>
        <v>0</v>
      </c>
    </row>
    <row r="161" spans="2:20" ht="18.75">
      <c r="B161" s="46" t="s">
        <v>56</v>
      </c>
      <c r="C161" s="60">
        <v>45854.416666666664</v>
      </c>
      <c r="D161" s="59" t="s">
        <v>566</v>
      </c>
      <c r="E161" s="46" t="s">
        <v>365</v>
      </c>
      <c r="F161" s="44" t="e">
        <f>VLOOKUP(#REF!,'UN｜CVレポート'!H:J,3,0)</f>
        <v>#REF!</v>
      </c>
      <c r="G161" s="44"/>
      <c r="H161" s="44"/>
      <c r="I161" s="44"/>
      <c r="J161" s="44"/>
      <c r="K161" s="44"/>
      <c r="L161" s="44"/>
      <c r="M161" s="44"/>
      <c r="N161" s="44"/>
      <c r="O161" s="46" t="str">
        <f t="shared" si="2"/>
        <v>2025-07</v>
      </c>
      <c r="P161" s="49">
        <f>C161</f>
        <v>45854.416666666664</v>
      </c>
      <c r="Q161" s="49">
        <v>45870</v>
      </c>
      <c r="S161" s="56" t="s">
        <v>567</v>
      </c>
      <c r="T161">
        <f>COUNTIF('UN｜CVレポート'!H:H,流入チャネル別顧客一覧_7月以降完全ユニークではない!#REF!)</f>
        <v>0</v>
      </c>
    </row>
    <row r="162" spans="2:20" ht="18.75">
      <c r="B162" s="46" t="s">
        <v>84</v>
      </c>
      <c r="C162" s="60">
        <v>45854.875</v>
      </c>
      <c r="D162" s="59" t="s">
        <v>569</v>
      </c>
      <c r="E162" s="46" t="s">
        <v>380</v>
      </c>
      <c r="F162" s="44" t="e">
        <f>VLOOKUP(#REF!,'UN｜CVレポート'!H:J,3,0)</f>
        <v>#REF!</v>
      </c>
      <c r="G162" s="44"/>
      <c r="H162" s="44"/>
      <c r="I162" s="44"/>
      <c r="J162" s="44"/>
      <c r="K162" s="44"/>
      <c r="L162" s="44"/>
      <c r="M162" s="44"/>
      <c r="N162" s="44"/>
      <c r="O162" s="46" t="str">
        <f t="shared" si="2"/>
        <v>2025-07</v>
      </c>
      <c r="P162" s="49">
        <f>C162</f>
        <v>45854.875</v>
      </c>
      <c r="Q162" s="49">
        <v>45870</v>
      </c>
      <c r="S162" s="46" t="s">
        <v>570</v>
      </c>
      <c r="T162">
        <f>COUNTIF('UN｜CVレポート'!H:H,流入チャネル別顧客一覧_7月以降完全ユニークではない!#REF!)</f>
        <v>0</v>
      </c>
    </row>
    <row r="163" spans="2:20" ht="18.75">
      <c r="B163" s="46" t="s">
        <v>56</v>
      </c>
      <c r="C163" s="60">
        <v>45855.375</v>
      </c>
      <c r="D163" s="46" t="s">
        <v>572</v>
      </c>
      <c r="E163" s="46" t="s">
        <v>365</v>
      </c>
      <c r="F163" s="44" t="e">
        <f>VLOOKUP(#REF!,'UN｜CVレポート'!H:J,3,0)</f>
        <v>#REF!</v>
      </c>
      <c r="G163" s="44"/>
      <c r="H163" s="44"/>
      <c r="I163" s="44"/>
      <c r="J163" s="44"/>
      <c r="K163" s="44"/>
      <c r="L163" s="44"/>
      <c r="M163" s="44"/>
      <c r="N163" s="44"/>
      <c r="O163" s="46" t="str">
        <f t="shared" si="2"/>
        <v>2025-07</v>
      </c>
      <c r="T163">
        <f>COUNTIF('UN｜CVレポート'!H:H,流入チャネル別顧客一覧_7月以降完全ユニークではない!#REF!)</f>
        <v>0</v>
      </c>
    </row>
    <row r="164" spans="2:20" ht="18.75">
      <c r="B164" s="46" t="s">
        <v>56</v>
      </c>
      <c r="C164" s="60">
        <v>45855.958333333336</v>
      </c>
      <c r="D164" s="59" t="s">
        <v>575</v>
      </c>
      <c r="E164" s="46" t="s">
        <v>473</v>
      </c>
      <c r="F164" s="44" t="e">
        <f>VLOOKUP(#REF!,'UN｜CVレポート'!H:J,3,0)</f>
        <v>#REF!</v>
      </c>
      <c r="G164" s="44"/>
      <c r="H164" s="44"/>
      <c r="I164" s="44"/>
      <c r="J164" s="44"/>
      <c r="K164" s="44"/>
      <c r="L164" s="44"/>
      <c r="M164" s="44"/>
      <c r="N164" s="44"/>
      <c r="O164" s="46" t="str">
        <f t="shared" si="2"/>
        <v>2025-07</v>
      </c>
      <c r="P164" s="49">
        <v>45809</v>
      </c>
      <c r="Q164" s="49">
        <v>45809</v>
      </c>
      <c r="S164" s="46" t="s">
        <v>284</v>
      </c>
      <c r="T164">
        <f>COUNTIF('UN｜CVレポート'!H:H,流入チャネル別顧客一覧_7月以降完全ユニークではない!#REF!)</f>
        <v>0</v>
      </c>
    </row>
    <row r="165" spans="2:20" ht="18.75">
      <c r="B165" s="46" t="s">
        <v>84</v>
      </c>
      <c r="C165" s="60">
        <v>45855.958333333336</v>
      </c>
      <c r="D165" s="46" t="s">
        <v>578</v>
      </c>
      <c r="E165" s="46" t="s">
        <v>365</v>
      </c>
      <c r="F165" s="44" t="e">
        <f>VLOOKUP(#REF!,'UN｜CVレポート'!H:J,3,0)</f>
        <v>#REF!</v>
      </c>
      <c r="G165" s="44"/>
      <c r="H165" s="44"/>
      <c r="I165" s="44"/>
      <c r="J165" s="44"/>
      <c r="K165" s="44"/>
      <c r="L165" s="44"/>
      <c r="M165" s="44"/>
      <c r="N165" s="44"/>
      <c r="O165" s="46" t="str">
        <f t="shared" si="2"/>
        <v>2025-07</v>
      </c>
      <c r="T165">
        <f>COUNTIF('UN｜CVレポート'!H:H,流入チャネル別顧客一覧_7月以降完全ユニークではない!#REF!)</f>
        <v>0</v>
      </c>
    </row>
    <row r="166" spans="2:20" ht="18.75">
      <c r="B166" s="46" t="s">
        <v>84</v>
      </c>
      <c r="C166" s="60">
        <v>45855.958333333336</v>
      </c>
      <c r="D166" s="59" t="s">
        <v>580</v>
      </c>
      <c r="E166" s="46" t="s">
        <v>380</v>
      </c>
      <c r="F166" s="44" t="e">
        <f>VLOOKUP(#REF!,'UN｜CVレポート'!H:J,3,0)</f>
        <v>#REF!</v>
      </c>
      <c r="G166" s="44"/>
      <c r="H166" s="44"/>
      <c r="I166" s="44"/>
      <c r="J166" s="44"/>
      <c r="K166" s="44"/>
      <c r="L166" s="44"/>
      <c r="M166" s="44"/>
      <c r="N166" s="44"/>
      <c r="O166" s="46" t="str">
        <f t="shared" si="2"/>
        <v>2025-07</v>
      </c>
      <c r="T166">
        <f>COUNTIF('UN｜CVレポート'!H:H,流入チャネル別顧客一覧_7月以降完全ユニークではない!#REF!)</f>
        <v>0</v>
      </c>
    </row>
    <row r="167" spans="2:20" ht="18.75">
      <c r="B167" s="46" t="s">
        <v>84</v>
      </c>
      <c r="C167" s="60">
        <v>45856.375</v>
      </c>
      <c r="D167" s="46" t="s">
        <v>583</v>
      </c>
      <c r="E167" s="46" t="s">
        <v>365</v>
      </c>
      <c r="F167" s="44" t="e">
        <f>VLOOKUP(#REF!,'UN｜CVレポート'!H:J,3,0)</f>
        <v>#REF!</v>
      </c>
      <c r="G167" s="44"/>
      <c r="H167" s="44"/>
      <c r="I167" s="44"/>
      <c r="J167" s="44"/>
      <c r="K167" s="44"/>
      <c r="L167" s="44"/>
      <c r="M167" s="44"/>
      <c r="N167" s="44"/>
      <c r="O167" s="46" t="str">
        <f t="shared" si="2"/>
        <v>2025-07</v>
      </c>
      <c r="P167" s="49">
        <v>45962</v>
      </c>
      <c r="S167" s="49" t="s">
        <v>585</v>
      </c>
      <c r="T167">
        <f>COUNTIF('UN｜CVレポート'!H:H,流入チャネル別顧客一覧_7月以降完全ユニークではない!#REF!)</f>
        <v>0</v>
      </c>
    </row>
    <row r="168" spans="2:20" ht="18.75">
      <c r="B168" s="46" t="s">
        <v>56</v>
      </c>
      <c r="C168" s="60">
        <v>45856.416666666664</v>
      </c>
      <c r="D168" s="46" t="s">
        <v>587</v>
      </c>
      <c r="E168" s="46" t="s">
        <v>365</v>
      </c>
      <c r="F168" s="44" t="e">
        <f>VLOOKUP(#REF!,'UN｜CVレポート'!H:J,3,0)</f>
        <v>#REF!</v>
      </c>
      <c r="G168" s="44"/>
      <c r="H168" s="44"/>
      <c r="I168" s="44"/>
      <c r="J168" s="44"/>
      <c r="K168" s="44"/>
      <c r="L168" s="44"/>
      <c r="M168" s="44"/>
      <c r="N168" s="44"/>
      <c r="O168" s="46" t="str">
        <f t="shared" si="2"/>
        <v>2025-07</v>
      </c>
      <c r="T168">
        <f>COUNTIF('UN｜CVレポート'!H:H,流入チャネル別顧客一覧_7月以降完全ユニークではない!#REF!)</f>
        <v>0</v>
      </c>
    </row>
    <row r="169" spans="2:20" ht="18.75">
      <c r="B169" s="46" t="s">
        <v>84</v>
      </c>
      <c r="C169" s="60">
        <v>45856.416666666664</v>
      </c>
      <c r="D169" s="46" t="s">
        <v>590</v>
      </c>
      <c r="E169" s="46" t="s">
        <v>365</v>
      </c>
      <c r="F169" s="44" t="e">
        <f>VLOOKUP(#REF!,'UN｜CVレポート'!H:J,3,0)</f>
        <v>#REF!</v>
      </c>
      <c r="G169" s="44"/>
      <c r="H169" s="44"/>
      <c r="I169" s="44"/>
      <c r="J169" s="44"/>
      <c r="K169" s="44"/>
      <c r="L169" s="44"/>
      <c r="M169" s="44"/>
      <c r="N169" s="44"/>
      <c r="O169" s="46" t="str">
        <f t="shared" si="2"/>
        <v>2025-07</v>
      </c>
      <c r="T169">
        <f>COUNTIF('UN｜CVレポート'!H:H,流入チャネル別顧客一覧_7月以降完全ユニークではない!#REF!)</f>
        <v>0</v>
      </c>
    </row>
    <row r="170" spans="2:20" ht="18.75">
      <c r="B170" s="46" t="s">
        <v>56</v>
      </c>
      <c r="C170" s="60">
        <v>45856.541666666664</v>
      </c>
      <c r="D170" s="46" t="s">
        <v>593</v>
      </c>
      <c r="E170" s="46" t="s">
        <v>365</v>
      </c>
      <c r="F170" s="44" t="e">
        <f>VLOOKUP(#REF!,'UN｜CVレポート'!H:J,3,0)</f>
        <v>#REF!</v>
      </c>
      <c r="G170" s="44"/>
      <c r="H170" s="44"/>
      <c r="I170" s="44"/>
      <c r="J170" s="44"/>
      <c r="K170" s="44"/>
      <c r="L170" s="44"/>
      <c r="M170" s="44"/>
      <c r="N170" s="44"/>
      <c r="O170" s="46" t="str">
        <f t="shared" si="2"/>
        <v>2025-07</v>
      </c>
      <c r="T170">
        <f>COUNTIF('UN｜CVレポート'!H:H,流入チャネル別顧客一覧_7月以降完全ユニークではない!#REF!)</f>
        <v>0</v>
      </c>
    </row>
    <row r="171" spans="2:20" ht="18.75">
      <c r="B171" s="46" t="s">
        <v>84</v>
      </c>
      <c r="C171" s="60">
        <v>45856.708333333336</v>
      </c>
      <c r="D171" s="59" t="s">
        <v>596</v>
      </c>
      <c r="E171" s="46" t="s">
        <v>380</v>
      </c>
      <c r="F171" s="44" t="e">
        <f>VLOOKUP(#REF!,'UN｜CVレポート'!H:J,3,0)</f>
        <v>#REF!</v>
      </c>
      <c r="G171" s="44"/>
      <c r="H171" s="44"/>
      <c r="I171" s="44"/>
      <c r="J171" s="44"/>
      <c r="K171" s="44"/>
      <c r="L171" s="44"/>
      <c r="M171" s="44"/>
      <c r="N171" s="44"/>
      <c r="O171" s="46" t="str">
        <f t="shared" si="2"/>
        <v>2025-07</v>
      </c>
      <c r="P171" s="49">
        <v>45870</v>
      </c>
      <c r="Q171" s="49">
        <v>45870</v>
      </c>
      <c r="S171" s="56" t="s">
        <v>597</v>
      </c>
      <c r="T171">
        <f>COUNTIF('UN｜CVレポート'!H:H,流入チャネル別顧客一覧_7月以降完全ユニークではない!#REF!)</f>
        <v>0</v>
      </c>
    </row>
    <row r="172" spans="2:20" ht="18.75">
      <c r="B172" s="46" t="s">
        <v>51</v>
      </c>
      <c r="C172" s="60">
        <v>45857.541666666664</v>
      </c>
      <c r="D172" s="46" t="s">
        <v>599</v>
      </c>
      <c r="E172" s="46" t="s">
        <v>365</v>
      </c>
      <c r="F172" s="44" t="e">
        <f>VLOOKUP(#REF!,'UN｜CVレポート'!H:J,3,0)</f>
        <v>#REF!</v>
      </c>
      <c r="G172" s="44"/>
      <c r="H172" s="44"/>
      <c r="I172" s="44"/>
      <c r="J172" s="44"/>
      <c r="K172" s="44"/>
      <c r="L172" s="44"/>
      <c r="M172" s="44"/>
      <c r="N172" s="44"/>
      <c r="O172" s="46" t="str">
        <f t="shared" si="2"/>
        <v>2025-07</v>
      </c>
      <c r="T172">
        <f>COUNTIF('UN｜CVレポート'!H:H,流入チャネル別顧客一覧_7月以降完全ユニークではない!#REF!)</f>
        <v>0</v>
      </c>
    </row>
    <row r="173" spans="2:20" ht="18.75">
      <c r="B173" s="46" t="s">
        <v>84</v>
      </c>
      <c r="C173" s="60">
        <v>45857.916666666664</v>
      </c>
      <c r="D173" s="46" t="s">
        <v>602</v>
      </c>
      <c r="E173" s="46" t="s">
        <v>365</v>
      </c>
      <c r="F173" s="44" t="e">
        <f>VLOOKUP(#REF!,'UN｜CVレポート'!H:J,3,0)</f>
        <v>#REF!</v>
      </c>
      <c r="G173" s="44"/>
      <c r="H173" s="44"/>
      <c r="I173" s="44"/>
      <c r="J173" s="44"/>
      <c r="K173" s="44"/>
      <c r="L173" s="44"/>
      <c r="M173" s="44"/>
      <c r="N173" s="44"/>
      <c r="O173" s="46" t="str">
        <f t="shared" si="2"/>
        <v>2025-07</v>
      </c>
      <c r="T173">
        <f>COUNTIF('UN｜CVレポート'!H:H,流入チャネル別顧客一覧_7月以降完全ユニークではない!#REF!)</f>
        <v>0</v>
      </c>
    </row>
    <row r="174" spans="2:20" ht="18.75">
      <c r="B174" s="46" t="s">
        <v>84</v>
      </c>
      <c r="C174" s="60">
        <v>45858.75</v>
      </c>
      <c r="D174" s="46" t="s">
        <v>605</v>
      </c>
      <c r="E174" s="46" t="s">
        <v>365</v>
      </c>
      <c r="F174" s="44" t="e">
        <f>VLOOKUP(#REF!,'UN｜CVレポート'!H:J,3,0)</f>
        <v>#REF!</v>
      </c>
      <c r="G174" s="44"/>
      <c r="H174" s="44"/>
      <c r="I174" s="44"/>
      <c r="J174" s="44"/>
      <c r="K174" s="44"/>
      <c r="L174" s="44"/>
      <c r="M174" s="44"/>
      <c r="N174" s="44"/>
      <c r="O174" s="46" t="str">
        <f t="shared" si="2"/>
        <v>2025-07</v>
      </c>
      <c r="T174">
        <f>COUNTIF('UN｜CVレポート'!H:H,流入チャネル別顧客一覧_7月以降完全ユニークではない!#REF!)</f>
        <v>0</v>
      </c>
    </row>
    <row r="175" spans="2:20" ht="18.75">
      <c r="B175" s="46" t="s">
        <v>56</v>
      </c>
      <c r="C175" s="60">
        <v>45860.25</v>
      </c>
      <c r="D175" s="46" t="s">
        <v>608</v>
      </c>
      <c r="E175" s="46" t="s">
        <v>365</v>
      </c>
      <c r="F175" s="44" t="e">
        <f>VLOOKUP(#REF!,'UN｜CVレポート'!H:J,3,0)</f>
        <v>#REF!</v>
      </c>
      <c r="G175" s="44"/>
      <c r="H175" s="44"/>
      <c r="I175" s="44"/>
      <c r="J175" s="44"/>
      <c r="K175" s="44"/>
      <c r="L175" s="44"/>
      <c r="M175" s="44"/>
      <c r="N175" s="44"/>
      <c r="O175" s="46" t="str">
        <f t="shared" si="2"/>
        <v>2025-07</v>
      </c>
      <c r="T175">
        <f>COUNTIF('UN｜CVレポート'!H:H,流入チャネル別顧客一覧_7月以降完全ユニークではない!#REF!)</f>
        <v>0</v>
      </c>
    </row>
    <row r="176" spans="2:20" ht="18.75">
      <c r="B176" s="46" t="s">
        <v>84</v>
      </c>
      <c r="C176" s="60">
        <v>45860.375</v>
      </c>
      <c r="D176" s="46" t="s">
        <v>611</v>
      </c>
      <c r="E176" s="46" t="s">
        <v>365</v>
      </c>
      <c r="F176" s="44" t="e">
        <f>VLOOKUP(#REF!,'UN｜CVレポート'!H:J,3,0)</f>
        <v>#REF!</v>
      </c>
      <c r="G176" s="44"/>
      <c r="H176" s="44"/>
      <c r="I176" s="44"/>
      <c r="J176" s="44"/>
      <c r="K176" s="44"/>
      <c r="L176" s="44"/>
      <c r="M176" s="44"/>
      <c r="N176" s="44"/>
      <c r="O176" s="46" t="str">
        <f t="shared" si="2"/>
        <v>2025-07</v>
      </c>
      <c r="T176">
        <f>COUNTIF('UN｜CVレポート'!H:H,流入チャネル別顧客一覧_7月以降完全ユニークではない!#REF!)</f>
        <v>0</v>
      </c>
    </row>
    <row r="177" spans="2:20" ht="18.75">
      <c r="B177" s="46" t="s">
        <v>84</v>
      </c>
      <c r="C177" s="60">
        <v>45860.416666666664</v>
      </c>
      <c r="D177" s="46" t="s">
        <v>614</v>
      </c>
      <c r="E177" s="46" t="s">
        <v>365</v>
      </c>
      <c r="F177" s="44" t="e">
        <f>VLOOKUP(#REF!,'UN｜CVレポート'!H:J,3,0)</f>
        <v>#REF!</v>
      </c>
      <c r="G177" s="44"/>
      <c r="H177" s="44"/>
      <c r="I177" s="44"/>
      <c r="J177" s="44"/>
      <c r="K177" s="44"/>
      <c r="L177" s="44"/>
      <c r="M177" s="44"/>
      <c r="N177" s="44"/>
      <c r="O177" s="46" t="str">
        <f t="shared" si="2"/>
        <v>2025-07</v>
      </c>
      <c r="T177">
        <f>COUNTIF('UN｜CVレポート'!H:H,流入チャネル別顧客一覧_7月以降完全ユニークではない!#REF!)</f>
        <v>0</v>
      </c>
    </row>
    <row r="178" spans="2:20" ht="18.75">
      <c r="B178" s="46" t="s">
        <v>51</v>
      </c>
      <c r="C178" s="60">
        <v>45860.541666666664</v>
      </c>
      <c r="D178" s="46" t="s">
        <v>616</v>
      </c>
      <c r="E178" s="46" t="s">
        <v>365</v>
      </c>
      <c r="F178" s="44" t="e">
        <f>VLOOKUP(#REF!,'UN｜CVレポート'!H:J,3,0)</f>
        <v>#REF!</v>
      </c>
      <c r="G178" s="44"/>
      <c r="H178" s="44"/>
      <c r="I178" s="44"/>
      <c r="J178" s="44"/>
      <c r="K178" s="44"/>
      <c r="L178" s="44"/>
      <c r="M178" s="44"/>
      <c r="N178" s="44"/>
      <c r="O178" s="46" t="str">
        <f t="shared" si="2"/>
        <v>2025-07</v>
      </c>
      <c r="T178">
        <f>COUNTIF('UN｜CVレポート'!H:H,流入チャネル別顧客一覧_7月以降完全ユニークではない!#REF!)</f>
        <v>0</v>
      </c>
    </row>
    <row r="179" spans="2:20" ht="18.75">
      <c r="B179" s="46" t="s">
        <v>84</v>
      </c>
      <c r="C179" s="60">
        <v>45861.666666666664</v>
      </c>
      <c r="D179" s="46" t="s">
        <v>619</v>
      </c>
      <c r="E179" s="46" t="s">
        <v>365</v>
      </c>
      <c r="F179" s="44" t="e">
        <f>VLOOKUP(#REF!,'UN｜CVレポート'!H:J,3,0)</f>
        <v>#REF!</v>
      </c>
      <c r="G179" s="44"/>
      <c r="H179" s="44"/>
      <c r="I179" s="44"/>
      <c r="J179" s="44"/>
      <c r="K179" s="44"/>
      <c r="L179" s="44"/>
      <c r="M179" s="44"/>
      <c r="N179" s="44"/>
      <c r="O179" s="46" t="str">
        <f t="shared" si="2"/>
        <v>2025-07</v>
      </c>
      <c r="T179">
        <f>COUNTIF('UN｜CVレポート'!H:H,流入チャネル別顧客一覧_7月以降完全ユニークではない!#REF!)</f>
        <v>0</v>
      </c>
    </row>
    <row r="180" spans="2:20" ht="18.75">
      <c r="B180" s="46" t="s">
        <v>56</v>
      </c>
      <c r="C180" s="60">
        <v>45861.708333333336</v>
      </c>
      <c r="D180" s="59" t="s">
        <v>622</v>
      </c>
      <c r="E180" s="46" t="s">
        <v>135</v>
      </c>
      <c r="F180" s="44" t="s">
        <v>27</v>
      </c>
      <c r="G180" s="44"/>
      <c r="H180" s="44"/>
      <c r="I180" s="44"/>
      <c r="J180" s="44"/>
      <c r="K180" s="44"/>
      <c r="L180" s="44"/>
      <c r="M180" s="44"/>
      <c r="N180" s="44"/>
      <c r="O180" s="46" t="str">
        <f t="shared" si="2"/>
        <v>2025-07</v>
      </c>
      <c r="P180" s="49">
        <f>C180</f>
        <v>45861.708333333336</v>
      </c>
      <c r="Q180" s="49">
        <v>45839</v>
      </c>
      <c r="S180" s="46" t="s">
        <v>624</v>
      </c>
      <c r="T180">
        <f>COUNTIF('UN｜CVレポート'!H:H,流入チャネル別顧客一覧_7月以降完全ユニークではない!#REF!)</f>
        <v>0</v>
      </c>
    </row>
    <row r="181" spans="2:20" ht="18.75">
      <c r="B181" s="46" t="s">
        <v>56</v>
      </c>
      <c r="C181" s="60">
        <v>45862.75</v>
      </c>
      <c r="D181" s="46" t="s">
        <v>626</v>
      </c>
      <c r="E181" s="46" t="s">
        <v>365</v>
      </c>
      <c r="F181" s="44" t="e">
        <f>VLOOKUP(#REF!,'UN｜CVレポート'!H:J,3,0)</f>
        <v>#REF!</v>
      </c>
      <c r="G181" s="44"/>
      <c r="H181" s="44"/>
      <c r="I181" s="44"/>
      <c r="J181" s="44"/>
      <c r="K181" s="44"/>
      <c r="L181" s="44"/>
      <c r="M181" s="44"/>
      <c r="N181" s="44"/>
      <c r="O181" s="46" t="str">
        <f t="shared" si="2"/>
        <v>2025-07</v>
      </c>
      <c r="T181">
        <f>COUNTIF('UN｜CVレポート'!H:H,流入チャネル別顧客一覧_7月以降完全ユニークではない!#REF!)</f>
        <v>0</v>
      </c>
    </row>
    <row r="182" spans="2:20" ht="18.75">
      <c r="B182" s="46" t="s">
        <v>51</v>
      </c>
      <c r="C182" s="60">
        <v>45863.375</v>
      </c>
      <c r="D182" s="46" t="s">
        <v>629</v>
      </c>
      <c r="E182" s="46" t="s">
        <v>365</v>
      </c>
      <c r="F182" s="44" t="e">
        <f>VLOOKUP(#REF!,'UN｜CVレポート'!H:J,3,0)</f>
        <v>#REF!</v>
      </c>
      <c r="G182" s="44"/>
      <c r="H182" s="44"/>
      <c r="I182" s="44"/>
      <c r="J182" s="44"/>
      <c r="K182" s="44"/>
      <c r="L182" s="44"/>
      <c r="M182" s="44"/>
      <c r="N182" s="44"/>
      <c r="O182" s="46" t="str">
        <f t="shared" si="2"/>
        <v>2025-07</v>
      </c>
      <c r="T182">
        <f>COUNTIF('UN｜CVレポート'!H:H,流入チャネル別顧客一覧_7月以降完全ユニークではない!#REF!)</f>
        <v>0</v>
      </c>
    </row>
    <row r="183" spans="2:20" ht="18.75">
      <c r="B183" s="46" t="s">
        <v>631</v>
      </c>
      <c r="C183" s="60">
        <v>45863.5</v>
      </c>
      <c r="D183" s="46" t="s">
        <v>633</v>
      </c>
      <c r="E183" s="46" t="s">
        <v>365</v>
      </c>
      <c r="F183" s="44" t="e">
        <f>VLOOKUP(#REF!,'UN｜CVレポート'!H:J,3,0)</f>
        <v>#REF!</v>
      </c>
      <c r="G183" s="44"/>
      <c r="H183" s="44"/>
      <c r="I183" s="44"/>
      <c r="J183" s="44"/>
      <c r="K183" s="44"/>
      <c r="L183" s="44"/>
      <c r="M183" s="44"/>
      <c r="N183" s="44"/>
      <c r="O183" s="46" t="str">
        <f t="shared" si="2"/>
        <v>2025-07</v>
      </c>
      <c r="T183">
        <f>COUNTIF('UN｜CVレポート'!H:H,流入チャネル別顧客一覧_7月以降完全ユニークではない!#REF!)</f>
        <v>0</v>
      </c>
    </row>
    <row r="184" spans="2:20" ht="18.75">
      <c r="B184" s="46" t="s">
        <v>51</v>
      </c>
      <c r="C184" s="58">
        <v>45864.541666666664</v>
      </c>
      <c r="D184" s="46" t="s">
        <v>636</v>
      </c>
      <c r="E184" s="46" t="s">
        <v>380</v>
      </c>
      <c r="F184" s="44" t="e">
        <f>VLOOKUP(#REF!,'UN｜CVレポート'!H:J,3,0)</f>
        <v>#REF!</v>
      </c>
      <c r="O184" s="46" t="str">
        <f t="shared" si="2"/>
        <v>2025-07</v>
      </c>
      <c r="T184">
        <f>COUNTIF('UN｜CVレポート'!H:H,流入チャネル別顧客一覧_7月以降完全ユニークではない!#REF!)</f>
        <v>0</v>
      </c>
    </row>
    <row r="185" spans="2:20" ht="18.75">
      <c r="B185" s="44" t="s">
        <v>56</v>
      </c>
      <c r="C185" s="45">
        <v>45866.333333333336</v>
      </c>
      <c r="D185" s="44" t="s">
        <v>639</v>
      </c>
      <c r="E185" s="44" t="s">
        <v>365</v>
      </c>
      <c r="F185" s="44" t="e">
        <f>VLOOKUP(#REF!,'UN｜CVレポート'!H:J,3,0)</f>
        <v>#REF!</v>
      </c>
      <c r="G185" s="44"/>
      <c r="H185" s="44"/>
      <c r="I185" s="44"/>
      <c r="J185" s="44"/>
      <c r="K185" s="44"/>
      <c r="L185" s="44"/>
      <c r="M185" s="44"/>
      <c r="N185" s="44"/>
      <c r="O185" s="46" t="str">
        <f t="shared" si="2"/>
        <v>2025-07</v>
      </c>
      <c r="T185">
        <f>COUNTIF('UN｜CVレポート'!H:H,流入チャネル別顧客一覧_7月以降完全ユニークではない!#REF!)</f>
        <v>0</v>
      </c>
    </row>
    <row r="186" spans="2:20" ht="18.75">
      <c r="B186" s="44" t="s">
        <v>56</v>
      </c>
      <c r="C186" s="45">
        <v>45866.375</v>
      </c>
      <c r="D186" s="44" t="s">
        <v>641</v>
      </c>
      <c r="E186" s="44" t="s">
        <v>365</v>
      </c>
      <c r="F186" s="44" t="e">
        <f>VLOOKUP(#REF!,'UN｜CVレポート'!H:J,3,0)</f>
        <v>#REF!</v>
      </c>
      <c r="G186" s="44"/>
      <c r="H186" s="44"/>
      <c r="I186" s="44"/>
      <c r="J186" s="44"/>
      <c r="K186" s="44"/>
      <c r="L186" s="44"/>
      <c r="M186" s="44"/>
      <c r="N186" s="44"/>
      <c r="O186" s="46" t="str">
        <f t="shared" si="2"/>
        <v>2025-07</v>
      </c>
      <c r="T186">
        <f>COUNTIF('UN｜CVレポート'!H:H,流入チャネル別顧客一覧_7月以降完全ユニークではない!#REF!)</f>
        <v>0</v>
      </c>
    </row>
    <row r="187" spans="2:20" ht="18.75">
      <c r="B187" s="44" t="s">
        <v>56</v>
      </c>
      <c r="C187" s="45">
        <v>45866.458333333336</v>
      </c>
      <c r="D187" s="50" t="s">
        <v>644</v>
      </c>
      <c r="E187" s="44" t="s">
        <v>473</v>
      </c>
      <c r="F187" s="44" t="e">
        <f>VLOOKUP(#REF!,'UN｜CVレポート'!H:J,3,0)</f>
        <v>#REF!</v>
      </c>
      <c r="G187" s="44"/>
      <c r="H187" s="44"/>
      <c r="I187" s="44"/>
      <c r="J187" s="44"/>
      <c r="K187" s="44"/>
      <c r="L187" s="44"/>
      <c r="M187" s="44"/>
      <c r="N187" s="44"/>
      <c r="O187" s="46" t="str">
        <f t="shared" si="2"/>
        <v>2025-07</v>
      </c>
      <c r="P187" s="49">
        <f>C187</f>
        <v>45866.458333333336</v>
      </c>
      <c r="Q187" s="49">
        <v>45870</v>
      </c>
      <c r="S187" s="56" t="s">
        <v>567</v>
      </c>
      <c r="T187">
        <f>COUNTIF('UN｜CVレポート'!H:H,流入チャネル別顧客一覧_7月以降完全ユニークではない!#REF!)</f>
        <v>0</v>
      </c>
    </row>
    <row r="188" spans="2:20" ht="15.75" customHeight="1">
      <c r="B188" s="46" t="s">
        <v>56</v>
      </c>
      <c r="C188" s="58">
        <v>45866.666666666664</v>
      </c>
      <c r="D188" s="46" t="s">
        <v>646</v>
      </c>
      <c r="E188" s="46" t="s">
        <v>365</v>
      </c>
      <c r="F188" s="44" t="e">
        <f>VLOOKUP(#REF!,'UN｜CVレポート'!H:J,3,0)</f>
        <v>#REF!</v>
      </c>
      <c r="O188" s="46" t="str">
        <f t="shared" si="2"/>
        <v>2025-07</v>
      </c>
      <c r="T188">
        <f>COUNTIF('UN｜CVレポート'!H:H,流入チャネル別顧客一覧_7月以降完全ユニークではない!#REF!)</f>
        <v>0</v>
      </c>
    </row>
    <row r="189" spans="2:20" ht="15.75" customHeight="1">
      <c r="B189" s="46" t="s">
        <v>56</v>
      </c>
      <c r="C189" s="58">
        <v>45866.708333333336</v>
      </c>
      <c r="D189" s="46" t="s">
        <v>649</v>
      </c>
      <c r="E189" s="46" t="s">
        <v>365</v>
      </c>
      <c r="F189" s="44" t="e">
        <f>VLOOKUP(#REF!,'UN｜CVレポート'!H:J,3,0)</f>
        <v>#REF!</v>
      </c>
      <c r="O189" s="46" t="str">
        <f t="shared" si="2"/>
        <v>2025-07</v>
      </c>
      <c r="T189">
        <f>COUNTIF('UN｜CVレポート'!H:H,流入チャネル別顧客一覧_7月以降完全ユニークではない!#REF!)</f>
        <v>0</v>
      </c>
    </row>
    <row r="190" spans="2:20" ht="15.75" customHeight="1">
      <c r="B190" s="46" t="s">
        <v>56</v>
      </c>
      <c r="C190" s="58">
        <v>45867.416666666664</v>
      </c>
      <c r="D190" s="46" t="s">
        <v>652</v>
      </c>
      <c r="E190" s="46" t="s">
        <v>365</v>
      </c>
      <c r="F190" s="44" t="e">
        <f>VLOOKUP(#REF!,'UN｜CVレポート'!H:J,3,0)</f>
        <v>#REF!</v>
      </c>
      <c r="O190" s="46" t="str">
        <f t="shared" si="2"/>
        <v>2025-07</v>
      </c>
      <c r="T190">
        <f>COUNTIF('UN｜CVレポート'!H:H,流入チャネル別顧客一覧_7月以降完全ユニークではない!#REF!)</f>
        <v>0</v>
      </c>
    </row>
    <row r="191" spans="2:20" ht="15.75" customHeight="1">
      <c r="B191" s="46" t="s">
        <v>56</v>
      </c>
      <c r="C191" s="58">
        <v>45867.585416666669</v>
      </c>
      <c r="D191" s="46" t="s">
        <v>655</v>
      </c>
      <c r="E191" s="46" t="s">
        <v>365</v>
      </c>
      <c r="F191" s="44" t="s">
        <v>27</v>
      </c>
      <c r="O191" s="46" t="str">
        <f t="shared" si="2"/>
        <v>2025-07</v>
      </c>
      <c r="T191">
        <f>COUNTIF('UN｜CVレポート'!H:H,流入チャネル別顧客一覧_7月以降完全ユニークではない!#REF!)</f>
        <v>0</v>
      </c>
    </row>
    <row r="192" spans="2:20" ht="15.75" customHeight="1">
      <c r="B192" s="46" t="s">
        <v>56</v>
      </c>
      <c r="C192" s="58">
        <v>45867.609722222223</v>
      </c>
      <c r="D192" s="59" t="s">
        <v>658</v>
      </c>
      <c r="E192" s="46" t="s">
        <v>380</v>
      </c>
      <c r="F192" s="44" t="s">
        <v>27</v>
      </c>
      <c r="O192" s="46" t="str">
        <f t="shared" si="2"/>
        <v>2025-07</v>
      </c>
      <c r="P192" s="49">
        <v>45839</v>
      </c>
      <c r="Q192" s="49">
        <v>45901</v>
      </c>
      <c r="S192" s="56" t="s">
        <v>567</v>
      </c>
      <c r="T192">
        <f>COUNTIF('UN｜CVレポート'!H:H,流入チャネル別顧客一覧_7月以降完全ユニークではない!#REF!)</f>
        <v>0</v>
      </c>
    </row>
    <row r="193" spans="2:20" ht="15.75" customHeight="1">
      <c r="B193" s="46" t="s">
        <v>659</v>
      </c>
      <c r="C193" s="58">
        <v>45869.365972222222</v>
      </c>
      <c r="D193" s="59" t="s">
        <v>661</v>
      </c>
      <c r="E193" s="46" t="s">
        <v>473</v>
      </c>
      <c r="F193" s="44" t="e">
        <f>VLOOKUP(#REF!,'UN｜CVレポート'!H:J,3,0)</f>
        <v>#REF!</v>
      </c>
      <c r="O193" s="46" t="str">
        <f t="shared" si="2"/>
        <v>2025-07</v>
      </c>
      <c r="S193" s="46" t="s">
        <v>662</v>
      </c>
      <c r="T193">
        <f>COUNTIF('UN｜CVレポート'!H:H,流入チャネル別顧客一覧_7月以降完全ユニークではない!#REF!)</f>
        <v>0</v>
      </c>
    </row>
    <row r="194" spans="2:20" ht="15.75" customHeight="1">
      <c r="B194" s="46" t="s">
        <v>84</v>
      </c>
      <c r="C194" s="58">
        <v>45869.376388888886</v>
      </c>
      <c r="D194" s="59" t="s">
        <v>664</v>
      </c>
      <c r="E194" s="46" t="s">
        <v>135</v>
      </c>
      <c r="F194" s="44" t="e">
        <f>VLOOKUP(#REF!,'UN｜CVレポート'!H:J,3,0)</f>
        <v>#REF!</v>
      </c>
      <c r="O194" s="46" t="str">
        <f t="shared" ref="O194:O258" si="3">TEXT(C194, "yyyy-mm")</f>
        <v>2025-07</v>
      </c>
      <c r="P194" s="49">
        <v>45839</v>
      </c>
      <c r="Q194" s="49">
        <v>45870</v>
      </c>
      <c r="S194" s="56" t="s">
        <v>558</v>
      </c>
      <c r="T194">
        <f>COUNTIF('UN｜CVレポート'!H:H,流入チャネル別顧客一覧_7月以降完全ユニークではない!#REF!)</f>
        <v>0</v>
      </c>
    </row>
    <row r="195" spans="2:20" ht="15.75" customHeight="1">
      <c r="B195" s="46" t="s">
        <v>84</v>
      </c>
      <c r="C195" s="58">
        <v>45869.650694444441</v>
      </c>
      <c r="D195" s="46" t="s">
        <v>666</v>
      </c>
      <c r="E195" s="46" t="s">
        <v>365</v>
      </c>
      <c r="F195" s="44" t="e">
        <f>VLOOKUP(#REF!,'UN｜CVレポート'!H:J,3,0)</f>
        <v>#REF!</v>
      </c>
      <c r="O195" s="46" t="str">
        <f t="shared" si="3"/>
        <v>2025-07</v>
      </c>
      <c r="T195">
        <f>COUNTIF('UN｜CVレポート'!H:H,流入チャネル別顧客一覧_7月以降完全ユニークではない!#REF!)</f>
        <v>0</v>
      </c>
    </row>
    <row r="196" spans="2:20" ht="15.75" customHeight="1">
      <c r="B196" s="46" t="s">
        <v>84</v>
      </c>
      <c r="C196" s="58">
        <v>45874.465277777781</v>
      </c>
      <c r="D196" s="46" t="s">
        <v>669</v>
      </c>
      <c r="E196" s="46" t="s">
        <v>365</v>
      </c>
      <c r="F196" s="46" t="s">
        <v>27</v>
      </c>
      <c r="O196" s="46" t="str">
        <f t="shared" si="3"/>
        <v>2025-08</v>
      </c>
      <c r="T196">
        <f>COUNTIF('UN｜CVレポート'!H:H,流入チャネル別顧客一覧_7月以降完全ユニークではない!#REF!)</f>
        <v>0</v>
      </c>
    </row>
    <row r="197" spans="2:20" ht="15.75" customHeight="1">
      <c r="B197" s="46" t="s">
        <v>659</v>
      </c>
      <c r="C197" s="58">
        <v>45875.70416666667</v>
      </c>
      <c r="D197" s="46" t="s">
        <v>672</v>
      </c>
      <c r="E197" s="46" t="s">
        <v>365</v>
      </c>
      <c r="F197" s="44" t="e">
        <f>VLOOKUP(#REF!,'UN｜CVレポート'!H:J,3,0)</f>
        <v>#REF!</v>
      </c>
      <c r="O197" s="46" t="str">
        <f t="shared" si="3"/>
        <v>2025-08</v>
      </c>
      <c r="T197">
        <f>COUNTIF('UN｜CVレポート'!H:H,流入チャネル別顧客一覧_7月以降完全ユニークではない!#REF!)</f>
        <v>0</v>
      </c>
    </row>
    <row r="198" spans="2:20" ht="15.75" customHeight="1">
      <c r="B198" s="46" t="s">
        <v>84</v>
      </c>
      <c r="C198" s="58">
        <v>45876.809027777781</v>
      </c>
      <c r="D198" s="46" t="s">
        <v>675</v>
      </c>
      <c r="E198" s="46" t="s">
        <v>365</v>
      </c>
      <c r="F198" s="44" t="e">
        <f>VLOOKUP(#REF!,'UN｜CVレポート'!H:J,3,0)</f>
        <v>#REF!</v>
      </c>
      <c r="O198" s="46" t="str">
        <f t="shared" si="3"/>
        <v>2025-08</v>
      </c>
      <c r="T198">
        <f>COUNTIF('UN｜CVレポート'!H:H,流入チャネル別顧客一覧_7月以降完全ユニークではない!#REF!)</f>
        <v>0</v>
      </c>
    </row>
    <row r="199" spans="2:20" ht="15.75" customHeight="1">
      <c r="B199" s="46" t="s">
        <v>659</v>
      </c>
      <c r="C199" s="58">
        <v>45877.335416666669</v>
      </c>
      <c r="D199" s="46" t="s">
        <v>678</v>
      </c>
      <c r="E199" s="46" t="s">
        <v>365</v>
      </c>
      <c r="F199" s="46" t="s">
        <v>27</v>
      </c>
      <c r="O199" s="46" t="str">
        <f t="shared" si="3"/>
        <v>2025-08</v>
      </c>
      <c r="T199">
        <f>COUNTIF('UN｜CVレポート'!H:H,流入チャネル別顧客一覧_7月以降完全ユニークではない!#REF!)</f>
        <v>0</v>
      </c>
    </row>
    <row r="200" spans="2:20" ht="15.75" customHeight="1">
      <c r="B200" s="46" t="s">
        <v>56</v>
      </c>
      <c r="C200" s="58">
        <v>45877.369444444441</v>
      </c>
      <c r="D200" s="46" t="s">
        <v>680</v>
      </c>
      <c r="E200" s="46" t="s">
        <v>365</v>
      </c>
      <c r="F200" s="44" t="e">
        <f>VLOOKUP(#REF!,'UN｜CVレポート'!H:J,3,0)</f>
        <v>#REF!</v>
      </c>
      <c r="O200" s="46" t="str">
        <f t="shared" si="3"/>
        <v>2025-08</v>
      </c>
      <c r="T200">
        <f>COUNTIF('UN｜CVレポート'!H:H,流入チャネル別顧客一覧_7月以降完全ユニークではない!#REF!)</f>
        <v>0</v>
      </c>
    </row>
    <row r="201" spans="2:20" ht="15.75" customHeight="1">
      <c r="B201" s="46" t="s">
        <v>56</v>
      </c>
      <c r="C201" s="58">
        <v>45877.614583333336</v>
      </c>
      <c r="D201" s="46" t="s">
        <v>683</v>
      </c>
      <c r="E201" s="46" t="s">
        <v>365</v>
      </c>
      <c r="F201" s="44" t="e">
        <f>VLOOKUP(#REF!,'UN｜CVレポート'!H:J,3,0)</f>
        <v>#REF!</v>
      </c>
      <c r="O201" s="46" t="str">
        <f t="shared" si="3"/>
        <v>2025-08</v>
      </c>
      <c r="T201">
        <f>COUNTIF('UN｜CVレポート'!H:H,流入チャネル別顧客一覧_7月以降完全ユニークではない!#REF!)</f>
        <v>0</v>
      </c>
    </row>
    <row r="202" spans="2:20" ht="15.75" customHeight="1">
      <c r="B202" s="46" t="s">
        <v>84</v>
      </c>
      <c r="C202" s="58">
        <v>45877.691666666666</v>
      </c>
      <c r="D202" s="46" t="s">
        <v>686</v>
      </c>
      <c r="E202" s="46" t="s">
        <v>365</v>
      </c>
      <c r="F202" s="46" t="s">
        <v>27</v>
      </c>
      <c r="O202" s="46" t="str">
        <f t="shared" si="3"/>
        <v>2025-08</v>
      </c>
      <c r="T202">
        <f>COUNTIF('UN｜CVレポート'!H:H,流入チャネル別顧客一覧_7月以降完全ユニークではない!#REF!)</f>
        <v>0</v>
      </c>
    </row>
    <row r="203" spans="2:20" ht="15.75" customHeight="1">
      <c r="B203" s="46" t="s">
        <v>84</v>
      </c>
      <c r="C203" s="58">
        <v>45879.806944444441</v>
      </c>
      <c r="D203" s="46" t="s">
        <v>689</v>
      </c>
      <c r="E203" s="46" t="s">
        <v>365</v>
      </c>
      <c r="F203" s="44" t="e">
        <f>VLOOKUP(#REF!,'UN｜CVレポート'!H:J,3,0)</f>
        <v>#REF!</v>
      </c>
      <c r="O203" s="46" t="str">
        <f t="shared" si="3"/>
        <v>2025-08</v>
      </c>
      <c r="T203">
        <f>COUNTIF('UN｜CVレポート'!H:H,流入チャネル別顧客一覧_7月以降完全ユニークではない!#REF!)</f>
        <v>0</v>
      </c>
    </row>
    <row r="204" spans="2:20" ht="15.75" customHeight="1">
      <c r="B204" s="46" t="s">
        <v>84</v>
      </c>
      <c r="C204" s="58">
        <v>45880.946527777778</v>
      </c>
      <c r="D204" s="46" t="s">
        <v>692</v>
      </c>
      <c r="E204" s="46" t="s">
        <v>365</v>
      </c>
      <c r="F204" s="44" t="e">
        <f>VLOOKUP(#REF!,'UN｜CVレポート'!H:J,3,0)</f>
        <v>#REF!</v>
      </c>
      <c r="O204" s="46" t="str">
        <f t="shared" si="3"/>
        <v>2025-08</v>
      </c>
      <c r="T204">
        <f>COUNTIF('UN｜CVレポート'!H:H,流入チャネル別顧客一覧_7月以降完全ユニークではない!#REF!)</f>
        <v>0</v>
      </c>
    </row>
    <row r="205" spans="2:20" ht="15.75" customHeight="1">
      <c r="B205" s="46" t="s">
        <v>84</v>
      </c>
      <c r="C205" s="58">
        <v>45881.504861111112</v>
      </c>
      <c r="D205" s="46" t="s">
        <v>695</v>
      </c>
      <c r="E205" s="46" t="s">
        <v>365</v>
      </c>
      <c r="F205" s="44" t="e">
        <f>VLOOKUP(#REF!,'UN｜CVレポート'!H:J,3,0)</f>
        <v>#REF!</v>
      </c>
      <c r="O205" s="46" t="str">
        <f t="shared" si="3"/>
        <v>2025-08</v>
      </c>
      <c r="T205">
        <f>COUNTIF('UN｜CVレポート'!H:H,流入チャネル別顧客一覧_7月以降完全ユニークではない!#REF!)</f>
        <v>0</v>
      </c>
    </row>
    <row r="206" spans="2:20" ht="15.75" customHeight="1">
      <c r="B206" s="46" t="s">
        <v>84</v>
      </c>
      <c r="C206" s="58">
        <v>45887.481249999997</v>
      </c>
      <c r="D206" s="46" t="s">
        <v>698</v>
      </c>
      <c r="E206" s="46" t="s">
        <v>365</v>
      </c>
      <c r="F206" s="46" t="s">
        <v>27</v>
      </c>
      <c r="O206" s="46" t="str">
        <f t="shared" si="3"/>
        <v>2025-08</v>
      </c>
      <c r="T206">
        <f>COUNTIF('UN｜CVレポート'!H:H,流入チャネル別顧客一覧_7月以降完全ユニークではない!#REF!)</f>
        <v>0</v>
      </c>
    </row>
    <row r="207" spans="2:20" ht="15.75" customHeight="1">
      <c r="B207" s="46" t="s">
        <v>56</v>
      </c>
      <c r="C207" s="58">
        <v>45888.479861111111</v>
      </c>
      <c r="D207" s="46" t="s">
        <v>701</v>
      </c>
      <c r="E207" s="46" t="s">
        <v>365</v>
      </c>
      <c r="F207" s="46" t="s">
        <v>27</v>
      </c>
      <c r="O207" s="46" t="str">
        <f t="shared" si="3"/>
        <v>2025-08</v>
      </c>
      <c r="T207">
        <f>COUNTIF('UN｜CVレポート'!H:H,流入チャネル別顧客一覧_7月以降完全ユニークではない!#REF!)</f>
        <v>0</v>
      </c>
    </row>
    <row r="208" spans="2:20" ht="15.75" customHeight="1">
      <c r="B208" s="46" t="s">
        <v>56</v>
      </c>
      <c r="C208" s="58">
        <v>45888.647916666669</v>
      </c>
      <c r="D208" s="59" t="s">
        <v>704</v>
      </c>
      <c r="E208" s="46" t="s">
        <v>135</v>
      </c>
      <c r="F208" s="44" t="e">
        <f>VLOOKUP(#REF!,'UN｜CVレポート'!H:J,3,0)</f>
        <v>#REF!</v>
      </c>
      <c r="O208" s="46" t="str">
        <f t="shared" si="3"/>
        <v>2025-08</v>
      </c>
      <c r="P208" s="49">
        <v>45895</v>
      </c>
      <c r="Q208" s="49">
        <v>45870</v>
      </c>
      <c r="S208" s="56" t="s">
        <v>705</v>
      </c>
      <c r="T208">
        <f>COUNTIF('UN｜CVレポート'!H:H,流入チャネル別顧客一覧_7月以降完全ユニークではない!#REF!)</f>
        <v>0</v>
      </c>
    </row>
    <row r="209" spans="2:20" ht="15.75" customHeight="1">
      <c r="B209" s="44" t="s">
        <v>659</v>
      </c>
      <c r="C209" s="45">
        <v>45889.491666666669</v>
      </c>
      <c r="D209" s="44" t="s">
        <v>707</v>
      </c>
      <c r="E209" s="44" t="s">
        <v>365</v>
      </c>
      <c r="F209" s="44" t="e">
        <f>VLOOKUP(#REF!,'UN｜CVレポート'!H:J,3,0)</f>
        <v>#REF!</v>
      </c>
      <c r="O209" s="46" t="str">
        <f t="shared" si="3"/>
        <v>2025-08</v>
      </c>
      <c r="P209" s="49">
        <v>45870</v>
      </c>
      <c r="Q209" s="49">
        <v>45901</v>
      </c>
      <c r="S209" s="46" t="s">
        <v>708</v>
      </c>
      <c r="T209">
        <f>COUNTIF('UN｜CVレポート'!H:H,流入チャネル別顧客一覧_7月以降完全ユニークではない!#REF!)</f>
        <v>0</v>
      </c>
    </row>
    <row r="210" spans="2:20" ht="15.75" customHeight="1">
      <c r="B210" s="44" t="s">
        <v>84</v>
      </c>
      <c r="C210" s="45">
        <v>45889.568749999999</v>
      </c>
      <c r="D210" s="44" t="s">
        <v>710</v>
      </c>
      <c r="E210" s="44" t="s">
        <v>365</v>
      </c>
      <c r="F210" s="46" t="s">
        <v>27</v>
      </c>
      <c r="O210" s="46" t="str">
        <f t="shared" si="3"/>
        <v>2025-08</v>
      </c>
      <c r="T210">
        <f>COUNTIF('UN｜CVレポート'!H:H,流入チャネル別顧客一覧_7月以降完全ユニークではない!#REF!)</f>
        <v>0</v>
      </c>
    </row>
    <row r="211" spans="2:20" ht="15.75" customHeight="1">
      <c r="B211" s="44" t="s">
        <v>56</v>
      </c>
      <c r="C211" s="45">
        <v>45890.586805555555</v>
      </c>
      <c r="D211" s="44" t="s">
        <v>713</v>
      </c>
      <c r="E211" s="44" t="s">
        <v>365</v>
      </c>
      <c r="F211" s="46" t="s">
        <v>27</v>
      </c>
      <c r="O211" s="46" t="str">
        <f t="shared" si="3"/>
        <v>2025-08</v>
      </c>
      <c r="T211">
        <f>COUNTIF('UN｜CVレポート'!H:H,流入チャネル別顧客一覧_7月以降完全ユニークではない!#REF!)</f>
        <v>0</v>
      </c>
    </row>
    <row r="212" spans="2:20" ht="15.75" customHeight="1">
      <c r="B212" s="44" t="s">
        <v>84</v>
      </c>
      <c r="C212" s="45">
        <v>45891.582638888889</v>
      </c>
      <c r="D212" s="44" t="s">
        <v>716</v>
      </c>
      <c r="E212" s="44" t="s">
        <v>365</v>
      </c>
      <c r="F212" s="46" t="s">
        <v>27</v>
      </c>
      <c r="O212" s="46" t="str">
        <f t="shared" si="3"/>
        <v>2025-08</v>
      </c>
      <c r="T212">
        <f>COUNTIF('UN｜CVレポート'!H:H,流入チャネル別顧客一覧_7月以降完全ユニークではない!#REF!)</f>
        <v>0</v>
      </c>
    </row>
    <row r="213" spans="2:20" ht="15.75" customHeight="1">
      <c r="B213" s="44" t="s">
        <v>84</v>
      </c>
      <c r="C213" s="45">
        <v>45891.762499999997</v>
      </c>
      <c r="D213" s="44" t="s">
        <v>719</v>
      </c>
      <c r="E213" s="44" t="s">
        <v>135</v>
      </c>
      <c r="F213" s="44" t="e">
        <f>VLOOKUP(#REF!,'UN｜CVレポート'!H:J,3,0)</f>
        <v>#REF!</v>
      </c>
      <c r="O213" s="46" t="str">
        <f t="shared" si="3"/>
        <v>2025-08</v>
      </c>
      <c r="T213">
        <f>COUNTIF('UN｜CVレポート'!H:H,流入チャネル別顧客一覧_7月以降完全ユニークではない!#REF!)</f>
        <v>0</v>
      </c>
    </row>
    <row r="214" spans="2:20" ht="15.75" customHeight="1">
      <c r="B214" s="44" t="s">
        <v>84</v>
      </c>
      <c r="C214" s="45">
        <v>45892.431250000001</v>
      </c>
      <c r="D214" s="44" t="s">
        <v>722</v>
      </c>
      <c r="E214" s="44" t="s">
        <v>365</v>
      </c>
      <c r="F214" s="44" t="e">
        <f>VLOOKUP(#REF!,'UN｜CVレポート'!H:J,3,0)</f>
        <v>#REF!</v>
      </c>
      <c r="O214" s="46" t="str">
        <f t="shared" si="3"/>
        <v>2025-08</v>
      </c>
      <c r="T214">
        <f>COUNTIF('UN｜CVレポート'!H:H,流入チャネル別顧客一覧_7月以降完全ユニークではない!#REF!)</f>
        <v>0</v>
      </c>
    </row>
    <row r="215" spans="2:20" ht="15.75" customHeight="1">
      <c r="B215" s="44" t="s">
        <v>724</v>
      </c>
      <c r="C215" s="45">
        <v>45894.369444444441</v>
      </c>
      <c r="D215" s="44" t="s">
        <v>686</v>
      </c>
      <c r="E215" s="44" t="s">
        <v>365</v>
      </c>
      <c r="F215" s="44" t="e">
        <f>VLOOKUP(#REF!,'UN｜CVレポート'!H:J,3,0)</f>
        <v>#REF!</v>
      </c>
      <c r="O215" s="46" t="str">
        <f t="shared" si="3"/>
        <v>2025-08</v>
      </c>
      <c r="T215">
        <f>COUNTIF('UN｜CVレポート'!H:H,流入チャネル別顧客一覧_7月以降完全ユニークではない!#REF!)</f>
        <v>0</v>
      </c>
    </row>
    <row r="216" spans="2:20" ht="15.75" customHeight="1">
      <c r="B216" s="44" t="s">
        <v>84</v>
      </c>
      <c r="C216" s="45">
        <v>45894.527083333334</v>
      </c>
      <c r="D216" s="44" t="s">
        <v>728</v>
      </c>
      <c r="E216" s="44" t="s">
        <v>365</v>
      </c>
      <c r="F216" s="44" t="e">
        <f>VLOOKUP(#REF!,'UN｜CVレポート'!H:J,3,0)</f>
        <v>#REF!</v>
      </c>
      <c r="O216" s="46" t="str">
        <f t="shared" si="3"/>
        <v>2025-08</v>
      </c>
      <c r="T216">
        <f>COUNTIF('UN｜CVレポート'!H:H,流入チャネル別顧客一覧_7月以降完全ユニークではない!#REF!)</f>
        <v>0</v>
      </c>
    </row>
    <row r="217" spans="2:20" ht="15.75" customHeight="1">
      <c r="B217" s="44" t="s">
        <v>724</v>
      </c>
      <c r="C217" s="45">
        <v>45894.754861111112</v>
      </c>
      <c r="D217" s="44" t="s">
        <v>731</v>
      </c>
      <c r="E217" s="44" t="s">
        <v>365</v>
      </c>
      <c r="F217" s="44" t="e">
        <f>VLOOKUP(#REF!,'UN｜CVレポート'!H:J,3,0)</f>
        <v>#REF!</v>
      </c>
      <c r="O217" s="46" t="str">
        <f t="shared" si="3"/>
        <v>2025-08</v>
      </c>
      <c r="T217">
        <f>COUNTIF('UN｜CVレポート'!H:H,流入チャネル別顧客一覧_7月以降完全ユニークではない!#REF!)</f>
        <v>0</v>
      </c>
    </row>
    <row r="218" spans="2:20" ht="15.75" customHeight="1">
      <c r="B218" s="44" t="s">
        <v>84</v>
      </c>
      <c r="C218" s="45">
        <v>45895.282638888886</v>
      </c>
      <c r="D218" s="44" t="s">
        <v>734</v>
      </c>
      <c r="E218" s="44" t="s">
        <v>365</v>
      </c>
      <c r="F218" s="44" t="e">
        <f>VLOOKUP(#REF!,'UN｜CVレポート'!H:J,3,0)</f>
        <v>#REF!</v>
      </c>
      <c r="O218" s="46" t="str">
        <f t="shared" si="3"/>
        <v>2025-08</v>
      </c>
      <c r="T218">
        <f>COUNTIF('UN｜CVレポート'!H:H,流入チャネル別顧客一覧_7月以降完全ユニークではない!#REF!)</f>
        <v>0</v>
      </c>
    </row>
    <row r="219" spans="2:20" ht="15.75" customHeight="1">
      <c r="B219" s="44" t="s">
        <v>84</v>
      </c>
      <c r="C219" s="45">
        <v>45895.518750000003</v>
      </c>
      <c r="D219" s="44" t="s">
        <v>737</v>
      </c>
      <c r="E219" s="44" t="s">
        <v>365</v>
      </c>
      <c r="F219" s="44" t="e">
        <f>VLOOKUP(#REF!,'UN｜CVレポート'!H:J,3,0)</f>
        <v>#REF!</v>
      </c>
      <c r="O219" s="46" t="str">
        <f t="shared" si="3"/>
        <v>2025-08</v>
      </c>
      <c r="T219">
        <f>COUNTIF('UN｜CVレポート'!H:H,流入チャネル別顧客一覧_7月以降完全ユニークではない!#REF!)</f>
        <v>0</v>
      </c>
    </row>
    <row r="220" spans="2:20" ht="15.75" customHeight="1">
      <c r="B220" s="44" t="s">
        <v>84</v>
      </c>
      <c r="C220" s="45">
        <v>45896.587500000001</v>
      </c>
      <c r="D220" s="44" t="s">
        <v>740</v>
      </c>
      <c r="E220" s="44" t="s">
        <v>365</v>
      </c>
      <c r="F220" s="44" t="e">
        <f>VLOOKUP(#REF!,'UN｜CVレポート'!H:J,3,0)</f>
        <v>#REF!</v>
      </c>
      <c r="O220" s="46" t="str">
        <f t="shared" si="3"/>
        <v>2025-08</v>
      </c>
      <c r="T220">
        <f>COUNTIF('UN｜CVレポート'!H:H,流入チャネル別顧客一覧_7月以降完全ユニークではない!#REF!)</f>
        <v>0</v>
      </c>
    </row>
    <row r="221" spans="2:20" ht="15.75" customHeight="1">
      <c r="B221" s="44" t="s">
        <v>724</v>
      </c>
      <c r="C221" s="45">
        <v>45897.503472222219</v>
      </c>
      <c r="D221" s="44" t="s">
        <v>152</v>
      </c>
      <c r="E221" s="44" t="s">
        <v>473</v>
      </c>
      <c r="F221" s="46" t="s">
        <v>28</v>
      </c>
      <c r="O221" s="46" t="str">
        <f t="shared" si="3"/>
        <v>2025-08</v>
      </c>
      <c r="S221" s="46" t="s">
        <v>284</v>
      </c>
      <c r="T221">
        <f>COUNTIF('UN｜CVレポート'!H:H,流入チャネル別顧客一覧_7月以降完全ユニークではない!#REF!)</f>
        <v>0</v>
      </c>
    </row>
    <row r="222" spans="2:20" ht="15.75" customHeight="1">
      <c r="B222" s="44" t="s">
        <v>724</v>
      </c>
      <c r="C222" s="45">
        <v>45897.503472222219</v>
      </c>
      <c r="D222" s="44" t="s">
        <v>152</v>
      </c>
      <c r="E222" s="44" t="s">
        <v>473</v>
      </c>
      <c r="F222" s="44" t="s">
        <v>744</v>
      </c>
      <c r="O222" s="46" t="str">
        <f t="shared" si="3"/>
        <v>2025-08</v>
      </c>
      <c r="S222" s="46" t="s">
        <v>284</v>
      </c>
      <c r="T222">
        <f>COUNTIF('UN｜CVレポート'!H:H,流入チャネル別顧客一覧_7月以降完全ユニークではない!#REF!)</f>
        <v>0</v>
      </c>
    </row>
    <row r="223" spans="2:20" ht="15.75" customHeight="1">
      <c r="B223" s="44" t="s">
        <v>724</v>
      </c>
      <c r="C223" s="45">
        <v>45897.540277777778</v>
      </c>
      <c r="D223" s="44" t="s">
        <v>746</v>
      </c>
      <c r="E223" s="44" t="s">
        <v>380</v>
      </c>
      <c r="F223" s="44" t="e">
        <f>VLOOKUP(#REF!,'UN｜CVレポート'!H:J,3,0)</f>
        <v>#REF!</v>
      </c>
      <c r="O223" s="46" t="str">
        <f t="shared" si="3"/>
        <v>2025-08</v>
      </c>
      <c r="T223">
        <f>COUNTIF('UN｜CVレポート'!H:H,流入チャネル別顧客一覧_7月以降完全ユニークではない!#REF!)</f>
        <v>0</v>
      </c>
    </row>
    <row r="224" spans="2:20" ht="15.75" customHeight="1">
      <c r="B224" s="44" t="s">
        <v>724</v>
      </c>
      <c r="C224" s="45">
        <v>45897.540277777778</v>
      </c>
      <c r="D224" s="50" t="s">
        <v>746</v>
      </c>
      <c r="E224" s="44" t="s">
        <v>380</v>
      </c>
      <c r="F224" s="44" t="s">
        <v>747</v>
      </c>
      <c r="O224" s="46" t="str">
        <f t="shared" si="3"/>
        <v>2025-08</v>
      </c>
      <c r="P224" s="49">
        <v>45901</v>
      </c>
      <c r="Q224" s="49">
        <v>45901</v>
      </c>
      <c r="S224" s="56" t="s">
        <v>748</v>
      </c>
      <c r="T224">
        <f>COUNTIF('UN｜CVレポート'!H:H,流入チャネル別顧客一覧_7月以降完全ユニークではない!#REF!)</f>
        <v>0</v>
      </c>
    </row>
    <row r="225" spans="2:20" ht="15.75" customHeight="1">
      <c r="B225" s="44" t="s">
        <v>724</v>
      </c>
      <c r="C225" s="45">
        <v>45897.554166666669</v>
      </c>
      <c r="D225" s="44" t="s">
        <v>64</v>
      </c>
      <c r="E225" s="44" t="s">
        <v>365</v>
      </c>
      <c r="F225" s="44" t="e">
        <f>VLOOKUP(#REF!,'UN｜CVレポート'!H:J,3,0)</f>
        <v>#REF!</v>
      </c>
      <c r="O225" s="46" t="str">
        <f t="shared" si="3"/>
        <v>2025-08</v>
      </c>
      <c r="S225" s="46" t="s">
        <v>284</v>
      </c>
      <c r="T225">
        <f>COUNTIF('UN｜CVレポート'!H:H,流入チャネル別顧客一覧_7月以降完全ユニークではない!#REF!)</f>
        <v>0</v>
      </c>
    </row>
    <row r="226" spans="2:20" ht="15.75" customHeight="1">
      <c r="B226" s="44" t="s">
        <v>724</v>
      </c>
      <c r="C226" s="45">
        <v>45897.554166666669</v>
      </c>
      <c r="D226" s="44" t="s">
        <v>64</v>
      </c>
      <c r="E226" s="44" t="s">
        <v>365</v>
      </c>
      <c r="F226" s="44" t="s">
        <v>747</v>
      </c>
      <c r="O226" s="46" t="str">
        <f t="shared" si="3"/>
        <v>2025-08</v>
      </c>
      <c r="S226" s="46" t="s">
        <v>284</v>
      </c>
      <c r="T226">
        <f>COUNTIF('UN｜CVレポート'!H:H,流入チャネル別顧客一覧_7月以降完全ユニークではない!#REF!)</f>
        <v>0</v>
      </c>
    </row>
    <row r="227" spans="2:20" ht="15.75" customHeight="1">
      <c r="B227" s="44" t="s">
        <v>56</v>
      </c>
      <c r="C227" s="45">
        <v>45898.65902777778</v>
      </c>
      <c r="D227" s="44" t="s">
        <v>750</v>
      </c>
      <c r="E227" s="44" t="s">
        <v>365</v>
      </c>
      <c r="F227" s="44" t="s">
        <v>752</v>
      </c>
      <c r="O227" s="46" t="str">
        <f t="shared" si="3"/>
        <v>2025-08</v>
      </c>
      <c r="T227">
        <f>COUNTIF('UN｜CVレポート'!H:H,流入チャネル別顧客一覧_7月以降完全ユニークではない!#REF!)</f>
        <v>0</v>
      </c>
    </row>
    <row r="228" spans="2:20" ht="15.75" customHeight="1">
      <c r="B228" s="44" t="s">
        <v>56</v>
      </c>
      <c r="C228" s="45">
        <v>45900.395138888889</v>
      </c>
      <c r="D228" s="44" t="s">
        <v>754</v>
      </c>
      <c r="E228" s="44" t="s">
        <v>365</v>
      </c>
      <c r="F228" s="44" t="s">
        <v>744</v>
      </c>
      <c r="O228" s="46" t="str">
        <f t="shared" si="3"/>
        <v>2025-08</v>
      </c>
      <c r="T228">
        <f>COUNTIF('UN｜CVレポート'!H:H,流入チャネル別顧客一覧_7月以降完全ユニークではない!#REF!)</f>
        <v>0</v>
      </c>
    </row>
    <row r="229" spans="2:20" ht="15.75" customHeight="1">
      <c r="B229" s="44" t="s">
        <v>84</v>
      </c>
      <c r="C229" s="45">
        <v>45901.549305555556</v>
      </c>
      <c r="D229" s="50" t="s">
        <v>757</v>
      </c>
      <c r="E229" s="44" t="s">
        <v>380</v>
      </c>
      <c r="F229" s="44" t="s">
        <v>744</v>
      </c>
      <c r="O229" s="46" t="str">
        <f t="shared" si="3"/>
        <v>2025-09</v>
      </c>
      <c r="S229" s="46" t="s">
        <v>759</v>
      </c>
      <c r="T229">
        <f>COUNTIF('UN｜CVレポート'!H:H,流入チャネル別顧客一覧_7月以降完全ユニークではない!#REF!)</f>
        <v>0</v>
      </c>
    </row>
    <row r="230" spans="2:20" ht="15.75" customHeight="1">
      <c r="B230" s="44" t="s">
        <v>724</v>
      </c>
      <c r="C230" s="45">
        <v>45902.408333333333</v>
      </c>
      <c r="D230" s="44" t="s">
        <v>761</v>
      </c>
      <c r="E230" s="44" t="s">
        <v>365</v>
      </c>
      <c r="F230" s="44" t="s">
        <v>744</v>
      </c>
      <c r="O230" s="46" t="str">
        <f t="shared" si="3"/>
        <v>2025-09</v>
      </c>
      <c r="T230">
        <f>COUNTIF('UN｜CVレポート'!H:H,流入チャネル別顧客一覧_7月以降完全ユニークではない!#REF!)</f>
        <v>0</v>
      </c>
    </row>
    <row r="231" spans="2:20" ht="15.75" customHeight="1">
      <c r="B231" s="44" t="s">
        <v>84</v>
      </c>
      <c r="C231" s="45">
        <v>45902.623611111114</v>
      </c>
      <c r="D231" s="44" t="s">
        <v>764</v>
      </c>
      <c r="E231" s="44" t="s">
        <v>365</v>
      </c>
      <c r="F231" s="44" t="s">
        <v>744</v>
      </c>
      <c r="O231" s="46" t="str">
        <f t="shared" si="3"/>
        <v>2025-09</v>
      </c>
      <c r="T231">
        <f>COUNTIF('UN｜CVレポート'!H:H,流入チャネル別顧客一覧_7月以降完全ユニークではない!#REF!)</f>
        <v>0</v>
      </c>
    </row>
    <row r="232" spans="2:20" ht="15.75" customHeight="1">
      <c r="B232" s="44" t="s">
        <v>84</v>
      </c>
      <c r="C232" s="45">
        <v>45903.427777777775</v>
      </c>
      <c r="D232" s="50" t="s">
        <v>767</v>
      </c>
      <c r="E232" s="44" t="s">
        <v>135</v>
      </c>
      <c r="F232" s="44" t="s">
        <v>769</v>
      </c>
      <c r="O232" s="46" t="str">
        <f t="shared" si="3"/>
        <v>2025-09</v>
      </c>
      <c r="P232" s="49">
        <v>45901</v>
      </c>
      <c r="Q232" s="49">
        <v>45988</v>
      </c>
      <c r="S232" s="56" t="s">
        <v>770</v>
      </c>
      <c r="T232">
        <f>COUNTIF('UN｜CVレポート'!H:H,流入チャネル別顧客一覧_7月以降完全ユニークではない!#REF!)</f>
        <v>0</v>
      </c>
    </row>
    <row r="233" spans="2:20" ht="15.75" customHeight="1">
      <c r="B233" s="44" t="s">
        <v>84</v>
      </c>
      <c r="C233" s="45">
        <v>45903.428472222222</v>
      </c>
      <c r="D233" s="44" t="s">
        <v>772</v>
      </c>
      <c r="E233" s="44" t="s">
        <v>365</v>
      </c>
      <c r="F233" s="44" t="s">
        <v>774</v>
      </c>
      <c r="O233" s="46" t="str">
        <f t="shared" si="3"/>
        <v>2025-09</v>
      </c>
      <c r="T233">
        <f>COUNTIF('UN｜CVレポート'!H:H,流入チャネル別顧客一覧_7月以降完全ユニークではない!#REF!)</f>
        <v>0</v>
      </c>
    </row>
    <row r="234" spans="2:20" ht="15.75" customHeight="1">
      <c r="B234" s="44" t="s">
        <v>724</v>
      </c>
      <c r="C234" s="45">
        <v>45904.899305555555</v>
      </c>
      <c r="D234" s="50" t="s">
        <v>776</v>
      </c>
      <c r="E234" s="44" t="s">
        <v>135</v>
      </c>
      <c r="F234" s="44" t="s">
        <v>744</v>
      </c>
      <c r="O234" s="46" t="str">
        <f t="shared" si="3"/>
        <v>2025-09</v>
      </c>
      <c r="S234" s="46" t="s">
        <v>777</v>
      </c>
      <c r="T234">
        <f>COUNTIF('UN｜CVレポート'!H:H,流入チャネル別顧客一覧_7月以降完全ユニークではない!#REF!)</f>
        <v>0</v>
      </c>
    </row>
    <row r="235" spans="2:20" ht="15.75" customHeight="1">
      <c r="B235" s="44" t="s">
        <v>84</v>
      </c>
      <c r="C235" s="45">
        <v>45908.4375</v>
      </c>
      <c r="D235" s="50" t="s">
        <v>779</v>
      </c>
      <c r="E235" s="44" t="s">
        <v>365</v>
      </c>
      <c r="F235" s="44" t="s">
        <v>769</v>
      </c>
      <c r="O235" s="46" t="str">
        <f t="shared" si="3"/>
        <v>2025-09</v>
      </c>
      <c r="P235" s="49">
        <v>45901</v>
      </c>
      <c r="Q235" s="49">
        <v>45901</v>
      </c>
      <c r="S235" s="46" t="s">
        <v>780</v>
      </c>
      <c r="T235">
        <f>COUNTIF('UN｜CVレポート'!H:H,流入チャネル別顧客一覧_7月以降完全ユニークではない!#REF!)</f>
        <v>0</v>
      </c>
    </row>
    <row r="236" spans="2:20" ht="15.75" customHeight="1">
      <c r="B236" s="44" t="s">
        <v>84</v>
      </c>
      <c r="C236" s="45">
        <v>45908.552083333336</v>
      </c>
      <c r="D236" s="44" t="s">
        <v>782</v>
      </c>
      <c r="E236" s="44" t="s">
        <v>365</v>
      </c>
      <c r="F236" s="44" t="s">
        <v>774</v>
      </c>
      <c r="O236" s="46" t="str">
        <f t="shared" si="3"/>
        <v>2025-09</v>
      </c>
      <c r="T236">
        <f>COUNTIF('UN｜CVレポート'!H:H,流入チャネル別顧客一覧_7月以降完全ユニークではない!#REF!)</f>
        <v>0</v>
      </c>
    </row>
    <row r="237" spans="2:20" ht="15.75" customHeight="1">
      <c r="B237" s="44" t="s">
        <v>84</v>
      </c>
      <c r="C237" s="45">
        <v>45908.722222222219</v>
      </c>
      <c r="D237" s="44" t="s">
        <v>785</v>
      </c>
      <c r="E237" s="44" t="s">
        <v>365</v>
      </c>
      <c r="F237" s="44" t="s">
        <v>744</v>
      </c>
      <c r="O237" s="46" t="str">
        <f t="shared" si="3"/>
        <v>2025-09</v>
      </c>
      <c r="T237">
        <f>COUNTIF('UN｜CVレポート'!H:H,流入チャネル別顧客一覧_7月以降完全ユニークではない!#REF!)</f>
        <v>0</v>
      </c>
    </row>
    <row r="238" spans="2:20" ht="15.75" customHeight="1">
      <c r="B238" s="44" t="s">
        <v>84</v>
      </c>
      <c r="C238" s="45">
        <v>45909.37222222222</v>
      </c>
      <c r="D238" s="44" t="s">
        <v>788</v>
      </c>
      <c r="E238" s="44" t="s">
        <v>365</v>
      </c>
      <c r="F238" s="44" t="s">
        <v>744</v>
      </c>
      <c r="O238" s="46" t="str">
        <f t="shared" si="3"/>
        <v>2025-09</v>
      </c>
      <c r="T238">
        <f>COUNTIF('UN｜CVレポート'!H:H,流入チャネル別顧客一覧_7月以降完全ユニークではない!#REF!)</f>
        <v>0</v>
      </c>
    </row>
    <row r="239" spans="2:20" ht="15.75" customHeight="1">
      <c r="B239" s="44" t="s">
        <v>84</v>
      </c>
      <c r="C239" s="45">
        <v>45909.431944444441</v>
      </c>
      <c r="D239" s="44" t="s">
        <v>791</v>
      </c>
      <c r="E239" s="44" t="s">
        <v>365</v>
      </c>
      <c r="F239" s="44" t="s">
        <v>744</v>
      </c>
      <c r="O239" s="46" t="str">
        <f t="shared" si="3"/>
        <v>2025-09</v>
      </c>
      <c r="T239">
        <f>COUNTIF('UN｜CVレポート'!H:H,流入チャネル別顧客一覧_7月以降完全ユニークではない!#REF!)</f>
        <v>0</v>
      </c>
    </row>
    <row r="240" spans="2:20" ht="15.75" customHeight="1">
      <c r="B240" s="44" t="s">
        <v>84</v>
      </c>
      <c r="C240" s="45">
        <v>45910.561805555553</v>
      </c>
      <c r="D240" s="50" t="s">
        <v>793</v>
      </c>
      <c r="E240" s="44" t="s">
        <v>473</v>
      </c>
      <c r="F240" s="44" t="s">
        <v>744</v>
      </c>
      <c r="O240" s="46" t="str">
        <f t="shared" si="3"/>
        <v>2025-09</v>
      </c>
      <c r="P240" s="49">
        <v>45901</v>
      </c>
      <c r="Q240" s="49">
        <v>45931</v>
      </c>
      <c r="S240" s="56" t="s">
        <v>794</v>
      </c>
      <c r="T240">
        <f>COUNTIF('UN｜CVレポート'!H:H,流入チャネル別顧客一覧_7月以降完全ユニークではない!#REF!)</f>
        <v>0</v>
      </c>
    </row>
    <row r="241" spans="2:20" ht="15.75" customHeight="1">
      <c r="B241" s="44" t="s">
        <v>84</v>
      </c>
      <c r="C241" s="45">
        <v>45910.57708333333</v>
      </c>
      <c r="D241" s="44" t="s">
        <v>796</v>
      </c>
      <c r="E241" s="44" t="s">
        <v>365</v>
      </c>
      <c r="F241" s="44" t="s">
        <v>752</v>
      </c>
      <c r="O241" s="46" t="str">
        <f t="shared" si="3"/>
        <v>2025-09</v>
      </c>
      <c r="T241">
        <f>COUNTIF('UN｜CVレポート'!H:H,流入チャネル別顧客一覧_7月以降完全ユニークではない!#REF!)</f>
        <v>0</v>
      </c>
    </row>
    <row r="242" spans="2:20" ht="15.75" customHeight="1">
      <c r="B242" s="44" t="s">
        <v>659</v>
      </c>
      <c r="C242" s="45">
        <v>45911.605555555558</v>
      </c>
      <c r="D242" s="50" t="s">
        <v>799</v>
      </c>
      <c r="E242" s="44" t="s">
        <v>135</v>
      </c>
      <c r="F242" s="44" t="s">
        <v>744</v>
      </c>
      <c r="O242" s="46" t="str">
        <f t="shared" si="3"/>
        <v>2025-09</v>
      </c>
      <c r="S242" s="46" t="s">
        <v>284</v>
      </c>
      <c r="T242">
        <f>COUNTIF('UN｜CVレポート'!H:H,流入チャネル別顧客一覧_7月以降完全ユニークではない!#REF!)</f>
        <v>0</v>
      </c>
    </row>
    <row r="243" spans="2:20" ht="15.75" customHeight="1">
      <c r="B243" s="44" t="s">
        <v>84</v>
      </c>
      <c r="C243" s="45">
        <v>45913.685416666667</v>
      </c>
      <c r="D243" s="44" t="s">
        <v>801</v>
      </c>
      <c r="E243" s="44" t="s">
        <v>365</v>
      </c>
      <c r="F243" s="44" t="s">
        <v>769</v>
      </c>
      <c r="O243" s="46" t="str">
        <f t="shared" si="3"/>
        <v>2025-09</v>
      </c>
      <c r="T243">
        <f>COUNTIF('UN｜CVレポート'!H:H,流入チャネル別顧客一覧_7月以降完全ユニークではない!#REF!)</f>
        <v>0</v>
      </c>
    </row>
    <row r="244" spans="2:20" ht="15.75" customHeight="1">
      <c r="B244" s="44" t="s">
        <v>84</v>
      </c>
      <c r="C244" s="45">
        <v>45916.679166666669</v>
      </c>
      <c r="D244" s="44" t="s">
        <v>804</v>
      </c>
      <c r="E244" s="44" t="s">
        <v>365</v>
      </c>
      <c r="F244" s="44" t="s">
        <v>752</v>
      </c>
      <c r="O244" s="46" t="str">
        <f t="shared" si="3"/>
        <v>2025-09</v>
      </c>
      <c r="T244">
        <f>COUNTIF('UN｜CVレポート'!H:H,流入チャネル別顧客一覧_7月以降完全ユニークではない!#REF!)</f>
        <v>0</v>
      </c>
    </row>
    <row r="245" spans="2:20" ht="15.75" customHeight="1">
      <c r="B245" s="44" t="s">
        <v>84</v>
      </c>
      <c r="C245" s="45">
        <v>45917.393750000003</v>
      </c>
      <c r="D245" s="50" t="s">
        <v>807</v>
      </c>
      <c r="E245" s="44" t="s">
        <v>380</v>
      </c>
      <c r="F245" s="44" t="s">
        <v>774</v>
      </c>
      <c r="O245" s="46" t="str">
        <f t="shared" si="3"/>
        <v>2025-09</v>
      </c>
      <c r="P245" s="49">
        <v>45901</v>
      </c>
      <c r="Q245" s="49">
        <v>45901</v>
      </c>
      <c r="S245" s="46" t="s">
        <v>809</v>
      </c>
      <c r="T245">
        <f>COUNTIF('UN｜CVレポート'!H:H,流入チャネル別顧客一覧_7月以降完全ユニークではない!#REF!)</f>
        <v>0</v>
      </c>
    </row>
    <row r="246" spans="2:20" ht="15.75" customHeight="1">
      <c r="B246" s="44" t="s">
        <v>56</v>
      </c>
      <c r="C246" s="45">
        <v>45917.497916666667</v>
      </c>
      <c r="D246" s="50" t="s">
        <v>811</v>
      </c>
      <c r="E246" s="44" t="s">
        <v>473</v>
      </c>
      <c r="F246" s="44" t="s">
        <v>813</v>
      </c>
      <c r="O246" s="46" t="str">
        <f t="shared" si="3"/>
        <v>2025-09</v>
      </c>
      <c r="S246" s="46" t="s">
        <v>759</v>
      </c>
      <c r="T246">
        <f>COUNTIF('UN｜CVレポート'!H:H,流入チャネル別顧客一覧_7月以降完全ユニークではない!#REF!)</f>
        <v>0</v>
      </c>
    </row>
    <row r="247" spans="2:20" ht="15.75" customHeight="1">
      <c r="B247" s="44" t="s">
        <v>84</v>
      </c>
      <c r="C247" s="45">
        <v>45917.793749999997</v>
      </c>
      <c r="D247" s="44" t="s">
        <v>815</v>
      </c>
      <c r="E247" s="44" t="s">
        <v>365</v>
      </c>
      <c r="F247" s="44" t="s">
        <v>769</v>
      </c>
      <c r="O247" s="46" t="str">
        <f t="shared" si="3"/>
        <v>2025-09</v>
      </c>
      <c r="T247">
        <f>COUNTIF('UN｜CVレポート'!H:H,流入チャネル別顧客一覧_7月以降完全ユニークではない!#REF!)</f>
        <v>0</v>
      </c>
    </row>
    <row r="248" spans="2:20" ht="15.75" customHeight="1">
      <c r="B248" s="44" t="s">
        <v>56</v>
      </c>
      <c r="C248" s="45">
        <v>45919.374305555553</v>
      </c>
      <c r="D248" s="44" t="s">
        <v>818</v>
      </c>
      <c r="E248" s="44" t="s">
        <v>365</v>
      </c>
      <c r="F248" s="44" t="s">
        <v>774</v>
      </c>
      <c r="O248" s="46" t="str">
        <f t="shared" si="3"/>
        <v>2025-09</v>
      </c>
      <c r="T248">
        <f>COUNTIF('UN｜CVレポート'!H:H,流入チャネル別顧客一覧_7月以降完全ユニークではない!#REF!)</f>
        <v>0</v>
      </c>
    </row>
    <row r="249" spans="2:20" ht="15.75" customHeight="1">
      <c r="B249" s="44" t="s">
        <v>56</v>
      </c>
      <c r="C249" s="45">
        <v>45922.448611111111</v>
      </c>
      <c r="D249" s="44" t="s">
        <v>821</v>
      </c>
      <c r="E249" s="44" t="s">
        <v>380</v>
      </c>
      <c r="F249" s="44" t="s">
        <v>774</v>
      </c>
      <c r="O249" s="46" t="str">
        <f t="shared" si="3"/>
        <v>2025-09</v>
      </c>
      <c r="T249">
        <f>COUNTIF('UN｜CVレポート'!H:H,流入チャネル別顧客一覧_7月以降完全ユニークではない!#REF!)</f>
        <v>0</v>
      </c>
    </row>
    <row r="250" spans="2:20" ht="15.75" customHeight="1">
      <c r="B250" s="44" t="s">
        <v>84</v>
      </c>
      <c r="C250" s="45">
        <v>45922.481249999997</v>
      </c>
      <c r="D250" s="44" t="s">
        <v>824</v>
      </c>
      <c r="E250" s="44" t="s">
        <v>365</v>
      </c>
      <c r="F250" s="44" t="s">
        <v>752</v>
      </c>
      <c r="O250" s="46" t="str">
        <f t="shared" si="3"/>
        <v>2025-09</v>
      </c>
      <c r="T250">
        <f>COUNTIF('UN｜CVレポート'!H:H,流入チャネル別顧客一覧_7月以降完全ユニークではない!#REF!)</f>
        <v>0</v>
      </c>
    </row>
    <row r="251" spans="2:20" ht="15.75" customHeight="1">
      <c r="B251" s="44" t="s">
        <v>56</v>
      </c>
      <c r="C251" s="45">
        <v>45922.694444444445</v>
      </c>
      <c r="D251" s="44" t="s">
        <v>827</v>
      </c>
      <c r="E251" s="44" t="s">
        <v>365</v>
      </c>
      <c r="F251" s="44" t="s">
        <v>752</v>
      </c>
      <c r="O251" s="46" t="str">
        <f t="shared" si="3"/>
        <v>2025-09</v>
      </c>
      <c r="T251">
        <f>COUNTIF('UN｜CVレポート'!H:H,流入チャネル別顧客一覧_7月以降完全ユニークではない!#REF!)</f>
        <v>0</v>
      </c>
    </row>
    <row r="252" spans="2:20" ht="15.75" customHeight="1">
      <c r="B252" s="44" t="s">
        <v>56</v>
      </c>
      <c r="C252" s="45">
        <v>45923.504166666666</v>
      </c>
      <c r="D252" s="44" t="s">
        <v>830</v>
      </c>
      <c r="E252" s="44" t="s">
        <v>365</v>
      </c>
      <c r="F252" s="44" t="s">
        <v>813</v>
      </c>
      <c r="O252" s="46" t="str">
        <f t="shared" si="3"/>
        <v>2025-09</v>
      </c>
      <c r="T252">
        <f>COUNTIF('UN｜CVレポート'!H:H,流入チャネル別顧客一覧_7月以降完全ユニークではない!#REF!)</f>
        <v>0</v>
      </c>
    </row>
    <row r="253" spans="2:20" ht="15.75" customHeight="1">
      <c r="B253" s="44" t="s">
        <v>56</v>
      </c>
      <c r="C253" s="45">
        <v>45924.359722222223</v>
      </c>
      <c r="D253" s="44" t="s">
        <v>833</v>
      </c>
      <c r="E253" s="44" t="s">
        <v>365</v>
      </c>
      <c r="F253" s="44" t="s">
        <v>769</v>
      </c>
      <c r="O253" s="46" t="str">
        <f t="shared" si="3"/>
        <v>2025-09</v>
      </c>
      <c r="T253">
        <f>COUNTIF('UN｜CVレポート'!H:H,流入チャネル別顧客一覧_7月以降完全ユニークではない!#REF!)</f>
        <v>0</v>
      </c>
    </row>
    <row r="254" spans="2:20" ht="15.75" customHeight="1">
      <c r="B254" s="44" t="s">
        <v>56</v>
      </c>
      <c r="C254" s="45">
        <v>45924.815972222219</v>
      </c>
      <c r="D254" s="50" t="s">
        <v>836</v>
      </c>
      <c r="E254" s="44" t="s">
        <v>473</v>
      </c>
      <c r="F254" s="44" t="s">
        <v>813</v>
      </c>
      <c r="O254" s="46" t="str">
        <f t="shared" si="3"/>
        <v>2025-09</v>
      </c>
      <c r="P254" s="49">
        <v>45901</v>
      </c>
      <c r="Q254" s="49">
        <v>45901</v>
      </c>
      <c r="S254" s="56" t="s">
        <v>837</v>
      </c>
      <c r="T254">
        <f>COUNTIF('UN｜CVレポート'!H:H,流入チャネル別顧客一覧_7月以降完全ユニークではない!#REF!)</f>
        <v>0</v>
      </c>
    </row>
    <row r="255" spans="2:20" ht="15.75" customHeight="1">
      <c r="B255" s="44" t="s">
        <v>84</v>
      </c>
      <c r="C255" s="45">
        <v>45925.570138888892</v>
      </c>
      <c r="D255" s="44" t="s">
        <v>839</v>
      </c>
      <c r="E255" s="44" t="s">
        <v>473</v>
      </c>
      <c r="F255" s="44" t="s">
        <v>752</v>
      </c>
      <c r="O255" s="46" t="str">
        <f t="shared" si="3"/>
        <v>2025-09</v>
      </c>
      <c r="S255" s="46" t="s">
        <v>841</v>
      </c>
      <c r="T255">
        <f>COUNTIF('UN｜CVレポート'!H:H,流入チャネル別顧客一覧_7月以降完全ユニークではない!#REF!)</f>
        <v>0</v>
      </c>
    </row>
    <row r="256" spans="2:20" ht="15.75" customHeight="1">
      <c r="B256" s="44" t="s">
        <v>56</v>
      </c>
      <c r="C256" s="45">
        <v>45925.78402777778</v>
      </c>
      <c r="D256" s="44" t="s">
        <v>843</v>
      </c>
      <c r="E256" s="44" t="s">
        <v>365</v>
      </c>
      <c r="F256" s="44" t="s">
        <v>744</v>
      </c>
      <c r="O256" s="46" t="str">
        <f t="shared" si="3"/>
        <v>2025-09</v>
      </c>
      <c r="T256">
        <f>COUNTIF('UN｜CVレポート'!H:H,流入チャネル別顧客一覧_7月以降完全ユニークではない!#REF!)</f>
        <v>0</v>
      </c>
    </row>
    <row r="257" spans="2:21" ht="15.75" customHeight="1">
      <c r="B257" s="44" t="s">
        <v>84</v>
      </c>
      <c r="C257" s="45">
        <v>45927.823611111111</v>
      </c>
      <c r="D257" s="44" t="s">
        <v>846</v>
      </c>
      <c r="E257" s="44" t="s">
        <v>365</v>
      </c>
      <c r="F257" s="44" t="s">
        <v>769</v>
      </c>
      <c r="O257" s="46" t="str">
        <f t="shared" si="3"/>
        <v>2025-09</v>
      </c>
      <c r="T257">
        <f>COUNTIF('UN｜CVレポート'!H:H,流入チャネル別顧客一覧_7月以降完全ユニークではない!#REF!)</f>
        <v>0</v>
      </c>
    </row>
    <row r="258" spans="2:21" ht="15.75" customHeight="1">
      <c r="B258" s="44" t="s">
        <v>56</v>
      </c>
      <c r="C258" s="45">
        <v>45930.776388888888</v>
      </c>
      <c r="D258" s="44" t="s">
        <v>848</v>
      </c>
      <c r="E258" s="44" t="s">
        <v>135</v>
      </c>
      <c r="F258" s="44" t="s">
        <v>744</v>
      </c>
      <c r="O258" s="46" t="str">
        <f t="shared" si="3"/>
        <v>2025-09</v>
      </c>
      <c r="T258">
        <f>COUNTIF('UN｜CVレポート'!H:H,流入チャネル別顧客一覧_7月以降完全ユニークではない!#REF!)</f>
        <v>0</v>
      </c>
    </row>
    <row r="259" spans="2:21" ht="15.75" customHeight="1">
      <c r="B259" s="44" t="s">
        <v>56</v>
      </c>
      <c r="C259" s="61">
        <v>45931.5</v>
      </c>
      <c r="D259" s="44" t="s">
        <v>851</v>
      </c>
      <c r="E259" s="44" t="s">
        <v>365</v>
      </c>
      <c r="F259" s="44" t="s">
        <v>774</v>
      </c>
      <c r="O259" s="46" t="str">
        <f t="shared" ref="O259:O270" si="4">TEXT(C259, "yyyy-mm")</f>
        <v>2025-10</v>
      </c>
      <c r="T259">
        <f>COUNTIF('UN｜CVレポート'!H:H,流入チャネル別顧客一覧_7月以降完全ユニークではない!#REF!)</f>
        <v>0</v>
      </c>
    </row>
    <row r="260" spans="2:21" ht="15.75" customHeight="1">
      <c r="B260" s="44" t="s">
        <v>84</v>
      </c>
      <c r="C260" s="61">
        <v>45933.458333333336</v>
      </c>
      <c r="D260" s="44" t="s">
        <v>854</v>
      </c>
      <c r="E260" s="44" t="s">
        <v>365</v>
      </c>
      <c r="F260" s="44" t="s">
        <v>752</v>
      </c>
      <c r="O260" s="46" t="str">
        <f t="shared" si="4"/>
        <v>2025-10</v>
      </c>
      <c r="T260">
        <f>COUNTIF('UN｜CVレポート'!H:H,流入チャネル別顧客一覧_7月以降完全ユニークではない!#REF!)</f>
        <v>0</v>
      </c>
    </row>
    <row r="261" spans="2:21" ht="15.75" customHeight="1">
      <c r="B261" s="44" t="s">
        <v>84</v>
      </c>
      <c r="C261" s="61">
        <v>45937.583333333336</v>
      </c>
      <c r="D261" s="44" t="s">
        <v>857</v>
      </c>
      <c r="E261" s="44" t="s">
        <v>365</v>
      </c>
      <c r="F261" s="44" t="s">
        <v>744</v>
      </c>
      <c r="O261" s="46" t="str">
        <f t="shared" si="4"/>
        <v>2025-10</v>
      </c>
      <c r="S261" s="46" t="s">
        <v>859</v>
      </c>
      <c r="T261">
        <f>COUNTIF('UN｜CVレポート'!H:H,流入チャネル別顧客一覧_7月以降完全ユニークではない!#REF!)</f>
        <v>0</v>
      </c>
    </row>
    <row r="262" spans="2:21" ht="15.75" customHeight="1">
      <c r="B262" s="44" t="s">
        <v>84</v>
      </c>
      <c r="C262" s="61">
        <v>45937.625</v>
      </c>
      <c r="D262" s="44" t="s">
        <v>861</v>
      </c>
      <c r="E262" s="44" t="s">
        <v>365</v>
      </c>
      <c r="F262" s="44" t="s">
        <v>863</v>
      </c>
      <c r="O262" s="46" t="str">
        <f t="shared" si="4"/>
        <v>2025-10</v>
      </c>
      <c r="T262">
        <f>COUNTIF('UN｜CVレポート'!H:H,流入チャネル別顧客一覧_7月以降完全ユニークではない!#REF!)</f>
        <v>0</v>
      </c>
    </row>
    <row r="263" spans="2:21" ht="15.75" customHeight="1">
      <c r="B263" s="44" t="s">
        <v>84</v>
      </c>
      <c r="C263" s="61">
        <v>45938.458333333336</v>
      </c>
      <c r="D263" s="59" t="s">
        <v>865</v>
      </c>
      <c r="E263" s="44" t="s">
        <v>473</v>
      </c>
      <c r="F263" s="44" t="s">
        <v>752</v>
      </c>
      <c r="O263" s="46" t="str">
        <f t="shared" si="4"/>
        <v>2025-10</v>
      </c>
      <c r="P263" s="49">
        <v>45931</v>
      </c>
      <c r="Q263" s="49">
        <v>45931</v>
      </c>
      <c r="S263" s="46" t="s">
        <v>867</v>
      </c>
      <c r="T263">
        <f>COUNTIF('UN｜CVレポート'!H:H,流入チャネル別顧客一覧_7月以降完全ユニークではない!#REF!)</f>
        <v>0</v>
      </c>
      <c r="U263" s="42" t="s">
        <v>868</v>
      </c>
    </row>
    <row r="264" spans="2:21" ht="15.75" customHeight="1">
      <c r="B264" s="44" t="s">
        <v>56</v>
      </c>
      <c r="C264" s="61">
        <v>45940.416666666664</v>
      </c>
      <c r="D264" s="44" t="s">
        <v>870</v>
      </c>
      <c r="E264" s="44" t="s">
        <v>365</v>
      </c>
      <c r="F264" s="44" t="s">
        <v>752</v>
      </c>
      <c r="O264" s="46" t="str">
        <f t="shared" si="4"/>
        <v>2025-10</v>
      </c>
      <c r="T264">
        <f>COUNTIF('UN｜CVレポート'!H:H,流入チャネル別顧客一覧_7月以降完全ユニークではない!#REF!)</f>
        <v>0</v>
      </c>
      <c r="U264" s="43" t="s">
        <v>872</v>
      </c>
    </row>
    <row r="265" spans="2:21" ht="15.75" customHeight="1">
      <c r="B265" s="44" t="s">
        <v>56</v>
      </c>
      <c r="C265" s="61">
        <v>45940.708333333336</v>
      </c>
      <c r="D265" s="44" t="s">
        <v>874</v>
      </c>
      <c r="E265" s="44" t="s">
        <v>365</v>
      </c>
      <c r="F265" s="44" t="s">
        <v>744</v>
      </c>
      <c r="O265" s="46" t="str">
        <f t="shared" si="4"/>
        <v>2025-10</v>
      </c>
      <c r="T265">
        <f>COUNTIF('UN｜CVレポート'!H:H,流入チャネル別顧客一覧_7月以降完全ユニークではない!#REF!)</f>
        <v>0</v>
      </c>
      <c r="U265" s="9" t="s">
        <v>876</v>
      </c>
    </row>
    <row r="266" spans="2:21" ht="15.75" customHeight="1">
      <c r="B266" s="44" t="s">
        <v>84</v>
      </c>
      <c r="C266" s="61">
        <v>45943.375</v>
      </c>
      <c r="D266" s="50" t="s">
        <v>878</v>
      </c>
      <c r="E266" s="44" t="s">
        <v>365</v>
      </c>
      <c r="F266" s="44" t="s">
        <v>744</v>
      </c>
      <c r="O266" s="46" t="str">
        <f t="shared" si="4"/>
        <v>2025-10</v>
      </c>
      <c r="P266" s="49">
        <v>45931</v>
      </c>
      <c r="S266" s="56" t="s">
        <v>597</v>
      </c>
      <c r="T266">
        <f>COUNTIF('UN｜CVレポート'!H:H,流入チャネル別顧客一覧_7月以降完全ユニークではない!#REF!)</f>
        <v>0</v>
      </c>
      <c r="U266" s="7" t="s">
        <v>880</v>
      </c>
    </row>
    <row r="267" spans="2:21" ht="15.75" customHeight="1">
      <c r="B267" s="44" t="s">
        <v>56</v>
      </c>
      <c r="C267" s="61">
        <v>45945.625</v>
      </c>
      <c r="D267" s="44" t="s">
        <v>882</v>
      </c>
      <c r="E267" s="44" t="s">
        <v>365</v>
      </c>
      <c r="F267" s="44" t="s">
        <v>813</v>
      </c>
      <c r="O267" s="46" t="str">
        <f t="shared" si="4"/>
        <v>2025-10</v>
      </c>
      <c r="T267">
        <f>COUNTIF('UN｜CVレポート'!H:H,流入チャネル別顧客一覧_7月以降完全ユニークではない!#REF!)</f>
        <v>0</v>
      </c>
      <c r="U267" s="41" t="s">
        <v>884</v>
      </c>
    </row>
    <row r="268" spans="2:21" ht="15.75" customHeight="1">
      <c r="B268" s="44" t="s">
        <v>56</v>
      </c>
      <c r="C268" s="61">
        <v>45946.75</v>
      </c>
      <c r="D268" s="44" t="s">
        <v>886</v>
      </c>
      <c r="E268" s="44" t="s">
        <v>365</v>
      </c>
      <c r="F268" s="44" t="s">
        <v>813</v>
      </c>
      <c r="O268" s="46" t="str">
        <f t="shared" si="4"/>
        <v>2025-10</v>
      </c>
      <c r="S268" s="46" t="s">
        <v>888</v>
      </c>
      <c r="T268">
        <f>COUNTIF('UN｜CVレポート'!H:H,流入チャネル別顧客一覧_7月以降完全ユニークではない!#REF!)</f>
        <v>0</v>
      </c>
      <c r="U268" s="40" t="s">
        <v>889</v>
      </c>
    </row>
    <row r="269" spans="2:21" ht="15.75" customHeight="1">
      <c r="B269" s="44" t="s">
        <v>84</v>
      </c>
      <c r="C269" s="61">
        <v>45947.458333333336</v>
      </c>
      <c r="D269" s="44" t="s">
        <v>891</v>
      </c>
      <c r="E269" s="44" t="s">
        <v>380</v>
      </c>
      <c r="F269" s="44" t="s">
        <v>744</v>
      </c>
      <c r="O269" s="46" t="str">
        <f t="shared" si="4"/>
        <v>2025-10</v>
      </c>
      <c r="T269">
        <f>COUNTIF('UN｜CVレポート'!H:H,流入チャネル別顧客一覧_7月以降完全ユニークではない!#REF!)</f>
        <v>0</v>
      </c>
    </row>
    <row r="270" spans="2:21" ht="15.75" customHeight="1">
      <c r="B270" s="44" t="s">
        <v>56</v>
      </c>
      <c r="C270" s="61">
        <v>45951.541666666664</v>
      </c>
      <c r="D270" s="44" t="s">
        <v>894</v>
      </c>
      <c r="E270" s="44" t="s">
        <v>365</v>
      </c>
      <c r="F270" s="44" t="s">
        <v>769</v>
      </c>
      <c r="O270" s="46" t="str">
        <f t="shared" si="4"/>
        <v>2025-10</v>
      </c>
      <c r="T270">
        <f>COUNTIF('UN｜CVレポート'!H:H,流入チャネル別顧客一覧_7月以降完全ユニークではない!#REF!)</f>
        <v>0</v>
      </c>
    </row>
    <row r="271" spans="2:21" ht="15.75" customHeight="1">
      <c r="B271" s="44" t="s">
        <v>84</v>
      </c>
      <c r="C271" s="45">
        <v>45951.638888888891</v>
      </c>
      <c r="D271" s="44" t="s">
        <v>897</v>
      </c>
      <c r="E271" s="44" t="s">
        <v>365</v>
      </c>
      <c r="F271" s="44" t="s">
        <v>744</v>
      </c>
      <c r="O271" s="46" t="str">
        <f t="shared" ref="O271:O310" si="5">TEXT(C271, "yyyy-mm")</f>
        <v>2025-10</v>
      </c>
      <c r="T271">
        <f>COUNTIF('UN｜CVレポート'!H:H,流入チャネル別顧客一覧_7月以降完全ユニークではない!#REF!)</f>
        <v>0</v>
      </c>
    </row>
    <row r="272" spans="2:21" ht="15.75" customHeight="1">
      <c r="B272" s="44" t="s">
        <v>56</v>
      </c>
      <c r="C272" s="45">
        <v>45954.655555555553</v>
      </c>
      <c r="D272" s="44" t="s">
        <v>900</v>
      </c>
      <c r="E272" s="44" t="s">
        <v>365</v>
      </c>
      <c r="F272" s="44" t="s">
        <v>752</v>
      </c>
      <c r="G272" s="62"/>
      <c r="H272" s="62"/>
      <c r="I272" s="62"/>
      <c r="J272" s="62"/>
      <c r="K272" s="62"/>
      <c r="L272" s="62"/>
      <c r="M272" s="62"/>
      <c r="N272" s="62"/>
      <c r="O272" s="46" t="str">
        <f t="shared" si="5"/>
        <v>2025-10</v>
      </c>
      <c r="T272">
        <f>COUNTIF('UN｜CVレポート'!H:H,流入チャネル別顧客一覧_7月以降完全ユニークではない!#REF!)</f>
        <v>0</v>
      </c>
    </row>
    <row r="273" spans="2:20" ht="15.75" customHeight="1">
      <c r="B273" s="44" t="s">
        <v>84</v>
      </c>
      <c r="C273" s="45">
        <v>45957.63958333333</v>
      </c>
      <c r="D273" s="44" t="s">
        <v>903</v>
      </c>
      <c r="E273" s="44" t="s">
        <v>380</v>
      </c>
      <c r="F273" s="44" t="s">
        <v>752</v>
      </c>
      <c r="O273" s="46" t="str">
        <f t="shared" si="5"/>
        <v>2025-10</v>
      </c>
      <c r="S273" s="46" t="s">
        <v>905</v>
      </c>
      <c r="T273">
        <f>COUNTIF('UN｜CVレポート'!H:H,流入チャネル別顧客一覧_7月以降完全ユニークではない!#REF!)</f>
        <v>0</v>
      </c>
    </row>
    <row r="274" spans="2:20" ht="15.75" customHeight="1">
      <c r="B274" s="44" t="s">
        <v>84</v>
      </c>
      <c r="C274" s="45">
        <v>45958.490972222222</v>
      </c>
      <c r="D274" s="44" t="s">
        <v>907</v>
      </c>
      <c r="E274" s="44" t="s">
        <v>365</v>
      </c>
      <c r="F274" s="44" t="s">
        <v>752</v>
      </c>
      <c r="O274" s="46" t="str">
        <f t="shared" si="5"/>
        <v>2025-10</v>
      </c>
      <c r="T274">
        <f>COUNTIF('UN｜CVレポート'!H:H,流入チャネル別顧客一覧_7月以降完全ユニークではない!#REF!)</f>
        <v>0</v>
      </c>
    </row>
    <row r="275" spans="2:20" ht="15.75" customHeight="1">
      <c r="B275" s="44" t="s">
        <v>56</v>
      </c>
      <c r="C275" s="45">
        <v>45959.411805555559</v>
      </c>
      <c r="D275" s="44" t="s">
        <v>910</v>
      </c>
      <c r="E275" s="44" t="s">
        <v>365</v>
      </c>
      <c r="F275" s="44" t="s">
        <v>813</v>
      </c>
      <c r="O275" s="46" t="str">
        <f t="shared" si="5"/>
        <v>2025-10</v>
      </c>
      <c r="T275">
        <f>COUNTIF('UN｜CVレポート'!H:H,流入チャネル別顧客一覧_7月以降完全ユニークではない!#REF!)</f>
        <v>0</v>
      </c>
    </row>
    <row r="276" spans="2:20" ht="15.75" customHeight="1">
      <c r="B276" s="44" t="s">
        <v>56</v>
      </c>
      <c r="C276" s="45">
        <v>45959.759722222225</v>
      </c>
      <c r="D276" s="63" t="s">
        <v>912</v>
      </c>
      <c r="E276" s="44" t="s">
        <v>365</v>
      </c>
      <c r="F276" s="44" t="s">
        <v>774</v>
      </c>
      <c r="O276" s="46" t="str">
        <f t="shared" si="5"/>
        <v>2025-10</v>
      </c>
      <c r="T276">
        <f>COUNTIF('UN｜CVレポート'!H:H,流入チャネル別顧客一覧_7月以降完全ユニークではない!#REF!)</f>
        <v>0</v>
      </c>
    </row>
    <row r="277" spans="2:20" ht="15.75" customHeight="1">
      <c r="B277" s="44" t="s">
        <v>914</v>
      </c>
      <c r="C277" s="45">
        <v>45960.647916666669</v>
      </c>
      <c r="D277" s="44" t="s">
        <v>915</v>
      </c>
      <c r="F277" s="44" t="s">
        <v>813</v>
      </c>
      <c r="O277" s="46" t="str">
        <f t="shared" si="5"/>
        <v>2025-10</v>
      </c>
      <c r="P277" s="49">
        <v>45960</v>
      </c>
      <c r="Q277" s="49">
        <v>45972</v>
      </c>
      <c r="R277" s="46"/>
      <c r="S277" s="56" t="s">
        <v>916</v>
      </c>
      <c r="T277">
        <f>COUNTIF('UN｜CVレポート'!H:H,流入チャネル別顧客一覧_7月以降完全ユニークではない!#REF!)</f>
        <v>0</v>
      </c>
    </row>
    <row r="278" spans="2:20" ht="15.75" customHeight="1">
      <c r="B278" s="44" t="s">
        <v>84</v>
      </c>
      <c r="C278" s="45">
        <v>45962.538888888892</v>
      </c>
      <c r="D278" s="44" t="s">
        <v>918</v>
      </c>
      <c r="E278" s="44" t="s">
        <v>365</v>
      </c>
      <c r="F278" s="46" t="s">
        <v>744</v>
      </c>
      <c r="O278" s="46" t="str">
        <f t="shared" si="5"/>
        <v>2025-11</v>
      </c>
      <c r="T278">
        <f>COUNTIF('UN｜CVレポート'!H:H,流入チャネル別顧客一覧_7月以降完全ユニークではない!#REF!)</f>
        <v>0</v>
      </c>
    </row>
    <row r="279" spans="2:20" ht="15.75" customHeight="1">
      <c r="B279" s="44" t="s">
        <v>84</v>
      </c>
      <c r="C279" s="45">
        <v>45965.688888888886</v>
      </c>
      <c r="D279" s="44" t="s">
        <v>921</v>
      </c>
      <c r="E279" s="44" t="s">
        <v>365</v>
      </c>
      <c r="F279" s="44" t="s">
        <v>769</v>
      </c>
      <c r="O279" s="46" t="str">
        <f t="shared" si="5"/>
        <v>2025-11</v>
      </c>
      <c r="T279">
        <f>COUNTIF('UN｜CVレポート'!H:H,流入チャネル別顧客一覧_7月以降完全ユニークではない!#REF!)</f>
        <v>0</v>
      </c>
    </row>
    <row r="280" spans="2:20" ht="15.75" customHeight="1">
      <c r="B280" s="44" t="s">
        <v>56</v>
      </c>
      <c r="C280" s="45">
        <v>45969.831250000003</v>
      </c>
      <c r="D280" s="44" t="s">
        <v>924</v>
      </c>
      <c r="E280" s="44" t="s">
        <v>365</v>
      </c>
      <c r="F280" s="44" t="s">
        <v>813</v>
      </c>
      <c r="O280" s="46" t="str">
        <f t="shared" si="5"/>
        <v>2025-11</v>
      </c>
      <c r="T280">
        <f>COUNTIF('UN｜CVレポート'!H:H,流入チャネル別顧客一覧_7月以降完全ユニークではない!#REF!)</f>
        <v>0</v>
      </c>
    </row>
    <row r="281" spans="2:20" ht="15.75" customHeight="1">
      <c r="B281" s="44" t="s">
        <v>56</v>
      </c>
      <c r="C281" s="45">
        <v>45971.390972222223</v>
      </c>
      <c r="D281" s="44" t="s">
        <v>927</v>
      </c>
      <c r="E281" s="44" t="s">
        <v>365</v>
      </c>
      <c r="F281" s="44" t="s">
        <v>774</v>
      </c>
      <c r="O281" s="46" t="str">
        <f t="shared" si="5"/>
        <v>2025-11</v>
      </c>
      <c r="T281">
        <f>COUNTIF('UN｜CVレポート'!H:H,流入チャネル別顧客一覧_7月以降完全ユニークではない!#REF!)</f>
        <v>0</v>
      </c>
    </row>
    <row r="282" spans="2:20" ht="15.75" customHeight="1">
      <c r="B282" s="44" t="s">
        <v>56</v>
      </c>
      <c r="C282" s="45">
        <v>45971.475694444445</v>
      </c>
      <c r="D282" s="44" t="s">
        <v>930</v>
      </c>
      <c r="E282" s="44" t="s">
        <v>380</v>
      </c>
      <c r="F282" s="44" t="s">
        <v>752</v>
      </c>
      <c r="O282" s="46" t="str">
        <f t="shared" si="5"/>
        <v>2025-11</v>
      </c>
      <c r="T282">
        <f>COUNTIF('UN｜CVレポート'!H:H,流入チャネル別顧客一覧_7月以降完全ユニークではない!#REF!)</f>
        <v>0</v>
      </c>
    </row>
    <row r="283" spans="2:20" ht="15.75" customHeight="1">
      <c r="B283" s="44" t="s">
        <v>84</v>
      </c>
      <c r="C283" s="45">
        <v>45972.817361111112</v>
      </c>
      <c r="D283" s="50" t="s">
        <v>932</v>
      </c>
      <c r="E283" s="44" t="s">
        <v>365</v>
      </c>
      <c r="F283" s="44" t="s">
        <v>774</v>
      </c>
      <c r="O283" s="46" t="str">
        <f t="shared" si="5"/>
        <v>2025-11</v>
      </c>
      <c r="S283" s="46" t="s">
        <v>934</v>
      </c>
      <c r="T283">
        <f>COUNTIF('UN｜CVレポート'!H:H,流入チャネル別顧客一覧_7月以降完全ユニークではない!#REF!)</f>
        <v>0</v>
      </c>
    </row>
    <row r="284" spans="2:20" ht="15.75" customHeight="1">
      <c r="B284" s="44" t="s">
        <v>56</v>
      </c>
      <c r="C284" s="45">
        <v>45973.648611111108</v>
      </c>
      <c r="D284" s="44" t="s">
        <v>936</v>
      </c>
      <c r="E284" s="44" t="s">
        <v>365</v>
      </c>
      <c r="F284" s="44" t="s">
        <v>744</v>
      </c>
      <c r="O284" s="46" t="str">
        <f t="shared" si="5"/>
        <v>2025-11</v>
      </c>
      <c r="T284">
        <f>COUNTIF('UN｜CVレポート'!H:H,流入チャネル別顧客一覧_7月以降完全ユニークではない!#REF!)</f>
        <v>0</v>
      </c>
    </row>
    <row r="285" spans="2:20" ht="15.75" customHeight="1">
      <c r="B285" s="44" t="s">
        <v>56</v>
      </c>
      <c r="C285" s="45">
        <v>45974.571527777778</v>
      </c>
      <c r="D285" s="44" t="s">
        <v>939</v>
      </c>
      <c r="E285" s="44" t="s">
        <v>380</v>
      </c>
      <c r="F285" s="44" t="s">
        <v>774</v>
      </c>
      <c r="O285" s="46" t="str">
        <f t="shared" si="5"/>
        <v>2025-11</v>
      </c>
      <c r="T285">
        <f>COUNTIF('UN｜CVレポート'!H:H,流入チャネル別顧客一覧_7月以降完全ユニークではない!#REF!)</f>
        <v>0</v>
      </c>
    </row>
    <row r="286" spans="2:20" ht="15.75" customHeight="1">
      <c r="B286" s="44" t="s">
        <v>84</v>
      </c>
      <c r="C286" s="45">
        <v>45974.645138888889</v>
      </c>
      <c r="D286" s="44" t="s">
        <v>942</v>
      </c>
      <c r="E286" s="44" t="s">
        <v>473</v>
      </c>
      <c r="F286" s="44" t="s">
        <v>774</v>
      </c>
      <c r="O286" s="46" t="str">
        <f t="shared" si="5"/>
        <v>2025-11</v>
      </c>
      <c r="P286" s="49">
        <v>45986</v>
      </c>
      <c r="Q286" s="49">
        <v>45986</v>
      </c>
      <c r="S286" s="46" t="s">
        <v>944</v>
      </c>
      <c r="T286">
        <f>COUNTIF('UN｜CVレポート'!H:H,流入チャネル別顧客一覧_7月以降完全ユニークではない!#REF!)</f>
        <v>0</v>
      </c>
    </row>
    <row r="287" spans="2:20" ht="15.75" customHeight="1">
      <c r="B287" s="44" t="s">
        <v>84</v>
      </c>
      <c r="C287" s="45">
        <v>45974.7</v>
      </c>
      <c r="D287" s="44" t="s">
        <v>946</v>
      </c>
      <c r="E287" s="44" t="s">
        <v>365</v>
      </c>
      <c r="F287" s="44" t="s">
        <v>774</v>
      </c>
      <c r="O287" s="46" t="str">
        <f t="shared" si="5"/>
        <v>2025-11</v>
      </c>
      <c r="T287">
        <f>COUNTIF('UN｜CVレポート'!H:H,流入チャネル別顧客一覧_7月以降完全ユニークではない!#REF!)</f>
        <v>0</v>
      </c>
    </row>
    <row r="288" spans="2:20" ht="15.75" customHeight="1">
      <c r="B288" s="44" t="s">
        <v>56</v>
      </c>
      <c r="C288" s="45">
        <v>45975.286111111112</v>
      </c>
      <c r="D288" s="44" t="s">
        <v>949</v>
      </c>
      <c r="E288" s="44" t="s">
        <v>365</v>
      </c>
      <c r="F288" s="44" t="s">
        <v>769</v>
      </c>
      <c r="O288" s="46" t="str">
        <f t="shared" si="5"/>
        <v>2025-11</v>
      </c>
      <c r="T288">
        <f>COUNTIF('UN｜CVレポート'!H:H,流入チャネル別顧客一覧_7月以降完全ユニークではない!#REF!)</f>
        <v>0</v>
      </c>
    </row>
    <row r="289" spans="2:20" ht="15.75" customHeight="1">
      <c r="B289" s="44" t="s">
        <v>84</v>
      </c>
      <c r="C289" s="45">
        <v>45978.677777777775</v>
      </c>
      <c r="D289" s="44" t="s">
        <v>952</v>
      </c>
      <c r="E289" s="44" t="s">
        <v>365</v>
      </c>
      <c r="F289" s="44" t="s">
        <v>752</v>
      </c>
      <c r="O289" s="46" t="str">
        <f t="shared" si="5"/>
        <v>2025-11</v>
      </c>
      <c r="T289">
        <f>COUNTIF('UN｜CVレポート'!H:H,流入チャネル別顧客一覧_7月以降完全ユニークではない!#REF!)</f>
        <v>0</v>
      </c>
    </row>
    <row r="290" spans="2:20" ht="15.75" customHeight="1">
      <c r="B290" s="44" t="s">
        <v>56</v>
      </c>
      <c r="C290" s="45">
        <v>45978.690972222219</v>
      </c>
      <c r="D290" s="44" t="s">
        <v>955</v>
      </c>
      <c r="E290" s="44" t="s">
        <v>365</v>
      </c>
      <c r="F290" s="44" t="s">
        <v>744</v>
      </c>
      <c r="O290" s="46" t="str">
        <f t="shared" si="5"/>
        <v>2025-11</v>
      </c>
      <c r="T290">
        <f>COUNTIF('UN｜CVレポート'!H:H,流入チャネル別顧客一覧_7月以降完全ユニークではない!#REF!)</f>
        <v>0</v>
      </c>
    </row>
    <row r="291" spans="2:20" ht="15.75" customHeight="1">
      <c r="B291" s="44" t="s">
        <v>56</v>
      </c>
      <c r="C291" s="45">
        <v>45978.813194444447</v>
      </c>
      <c r="D291" s="44" t="s">
        <v>958</v>
      </c>
      <c r="E291" s="44" t="s">
        <v>365</v>
      </c>
      <c r="F291" s="44" t="s">
        <v>774</v>
      </c>
      <c r="O291" s="46" t="str">
        <f t="shared" si="5"/>
        <v>2025-11</v>
      </c>
      <c r="T291">
        <f>COUNTIF('UN｜CVレポート'!H:H,流入チャネル別顧客一覧_7月以降完全ユニークではない!#REF!)</f>
        <v>0</v>
      </c>
    </row>
    <row r="292" spans="2:20" ht="15.75" customHeight="1">
      <c r="B292" s="44" t="s">
        <v>84</v>
      </c>
      <c r="C292" s="64">
        <v>45980.604861111111</v>
      </c>
      <c r="D292" s="50" t="s">
        <v>961</v>
      </c>
      <c r="E292" s="44" t="s">
        <v>473</v>
      </c>
      <c r="F292" s="44" t="s">
        <v>774</v>
      </c>
      <c r="O292" s="46" t="str">
        <f t="shared" si="5"/>
        <v>2025-11</v>
      </c>
      <c r="P292" s="49">
        <v>45986</v>
      </c>
      <c r="Q292" s="49">
        <v>45986</v>
      </c>
      <c r="S292" s="46" t="s">
        <v>962</v>
      </c>
      <c r="T292">
        <f>COUNTIF('UN｜CVレポート'!H:H,流入チャネル別顧客一覧_7月以降完全ユニークではない!#REF!)</f>
        <v>0</v>
      </c>
    </row>
    <row r="293" spans="2:20" ht="15.75" customHeight="1">
      <c r="B293" s="44" t="s">
        <v>56</v>
      </c>
      <c r="C293" s="64">
        <v>45980.76666666667</v>
      </c>
      <c r="D293" s="44" t="s">
        <v>964</v>
      </c>
      <c r="E293" s="44" t="s">
        <v>365</v>
      </c>
      <c r="F293" s="44" t="s">
        <v>752</v>
      </c>
      <c r="O293" s="46" t="str">
        <f t="shared" si="5"/>
        <v>2025-11</v>
      </c>
      <c r="T293">
        <f>COUNTIF('UN｜CVレポート'!H:H,流入チャネル別顧客一覧_7月以降完全ユニークではない!#REF!)</f>
        <v>0</v>
      </c>
    </row>
    <row r="294" spans="2:20" ht="15.75" customHeight="1">
      <c r="B294" s="44" t="s">
        <v>84</v>
      </c>
      <c r="C294" s="64">
        <v>45987.464583333334</v>
      </c>
      <c r="D294" s="44" t="s">
        <v>967</v>
      </c>
      <c r="E294" s="44" t="s">
        <v>365</v>
      </c>
      <c r="F294" s="44" t="s">
        <v>752</v>
      </c>
      <c r="O294" s="46" t="str">
        <f t="shared" si="5"/>
        <v>2025-11</v>
      </c>
      <c r="T294">
        <f>COUNTIF('UN｜CVレポート'!H:H,流入チャネル別顧客一覧_7月以降完全ユニークではない!#REF!)</f>
        <v>0</v>
      </c>
    </row>
    <row r="295" spans="2:20" ht="15.75" customHeight="1">
      <c r="B295" s="44" t="s">
        <v>724</v>
      </c>
      <c r="C295" s="64">
        <v>45988.388888888891</v>
      </c>
      <c r="D295" s="44" t="s">
        <v>970</v>
      </c>
      <c r="E295" s="44" t="s">
        <v>365</v>
      </c>
      <c r="F295" s="44" t="s">
        <v>752</v>
      </c>
      <c r="O295" s="46" t="str">
        <f t="shared" si="5"/>
        <v>2025-11</v>
      </c>
      <c r="T295">
        <f>COUNTIF('UN｜CVレポート'!H:H,流入チャネル別顧客一覧_7月以降完全ユニークではない!#REF!)</f>
        <v>0</v>
      </c>
    </row>
    <row r="296" spans="2:20" ht="15.75" customHeight="1">
      <c r="B296" s="44" t="s">
        <v>84</v>
      </c>
      <c r="C296" s="64">
        <v>45988.51666666667</v>
      </c>
      <c r="D296" s="44" t="s">
        <v>924</v>
      </c>
      <c r="E296" s="44" t="s">
        <v>365</v>
      </c>
      <c r="F296" s="44" t="s">
        <v>744</v>
      </c>
      <c r="O296" s="46" t="str">
        <f t="shared" si="5"/>
        <v>2025-11</v>
      </c>
      <c r="T296">
        <f>COUNTIF('UN｜CVレポート'!H:H,流入チャネル別顧客一覧_7月以降完全ユニークではない!#REF!)</f>
        <v>0</v>
      </c>
    </row>
    <row r="297" spans="2:20" ht="15.75" customHeight="1">
      <c r="B297" s="44" t="s">
        <v>56</v>
      </c>
      <c r="C297" s="64">
        <v>45988.578472222223</v>
      </c>
      <c r="D297" s="44" t="s">
        <v>975</v>
      </c>
      <c r="E297" s="44" t="s">
        <v>365</v>
      </c>
      <c r="F297" s="44" t="s">
        <v>744</v>
      </c>
      <c r="O297" s="46" t="str">
        <f t="shared" si="5"/>
        <v>2025-11</v>
      </c>
      <c r="T297">
        <f>COUNTIF('UN｜CVレポート'!H:H,流入チャネル別顧客一覧_7月以降完全ユニークではない!#REF!)</f>
        <v>0</v>
      </c>
    </row>
    <row r="298" spans="2:20" ht="15.75" customHeight="1">
      <c r="B298" s="44" t="s">
        <v>56</v>
      </c>
      <c r="C298" s="64">
        <v>45988.63958333333</v>
      </c>
      <c r="D298" s="44" t="s">
        <v>978</v>
      </c>
      <c r="E298" s="44" t="s">
        <v>365</v>
      </c>
      <c r="F298" s="44" t="s">
        <v>752</v>
      </c>
      <c r="O298" s="46" t="str">
        <f t="shared" si="5"/>
        <v>2025-11</v>
      </c>
      <c r="T298">
        <f>COUNTIF('UN｜CVレポート'!H:H,流入チャネル別顧客一覧_7月以降完全ユニークではない!#REF!)</f>
        <v>0</v>
      </c>
    </row>
    <row r="299" spans="2:20" ht="15.75" customHeight="1">
      <c r="B299" s="44" t="s">
        <v>84</v>
      </c>
      <c r="C299" s="64">
        <v>45989.413888888892</v>
      </c>
      <c r="D299" s="50" t="s">
        <v>981</v>
      </c>
      <c r="E299" s="44" t="s">
        <v>473</v>
      </c>
      <c r="F299" s="44" t="s">
        <v>744</v>
      </c>
      <c r="O299" s="46" t="str">
        <f t="shared" si="5"/>
        <v>2025-11</v>
      </c>
      <c r="P299" s="49">
        <v>45986</v>
      </c>
      <c r="S299" s="46" t="s">
        <v>983</v>
      </c>
      <c r="T299">
        <f>COUNTIF('UN｜CVレポート'!H:H,流入チャネル別顧客一覧_7月以降完全ユニークではない!#REF!)</f>
        <v>0</v>
      </c>
    </row>
    <row r="300" spans="2:20" ht="15.75" customHeight="1">
      <c r="B300" s="44" t="s">
        <v>56</v>
      </c>
      <c r="C300" s="64">
        <v>45991.663194444445</v>
      </c>
      <c r="D300" s="44" t="s">
        <v>985</v>
      </c>
      <c r="E300" s="44" t="s">
        <v>365</v>
      </c>
      <c r="F300" s="44" t="s">
        <v>813</v>
      </c>
      <c r="O300" s="46" t="str">
        <f t="shared" si="5"/>
        <v>2025-11</v>
      </c>
      <c r="T300">
        <f>COUNTIF('UN｜CVレポート'!H:H,流入チャネル別顧客一覧_7月以降完全ユニークではない!#REF!)</f>
        <v>0</v>
      </c>
    </row>
    <row r="301" spans="2:20" ht="15.75" customHeight="1">
      <c r="B301" s="65" t="s">
        <v>56</v>
      </c>
      <c r="C301" s="66">
        <v>45995.451782407406</v>
      </c>
      <c r="D301" s="65" t="s">
        <v>988</v>
      </c>
      <c r="E301" s="65" t="s">
        <v>365</v>
      </c>
      <c r="F301" s="65" t="s">
        <v>744</v>
      </c>
      <c r="O301" s="46" t="str">
        <f t="shared" si="5"/>
        <v>2025-12</v>
      </c>
      <c r="T301">
        <f>COUNTIF('UN｜CVレポート'!H:H,流入チャネル別顧客一覧_7月以降完全ユニークではない!#REF!)</f>
        <v>0</v>
      </c>
    </row>
    <row r="302" spans="2:20" ht="15.75" customHeight="1">
      <c r="B302" s="65" t="s">
        <v>84</v>
      </c>
      <c r="C302" s="66">
        <v>45999.691886574074</v>
      </c>
      <c r="D302" s="65" t="s">
        <v>991</v>
      </c>
      <c r="E302" s="65" t="s">
        <v>380</v>
      </c>
      <c r="F302" s="65" t="s">
        <v>744</v>
      </c>
      <c r="O302" s="46" t="str">
        <f t="shared" si="5"/>
        <v>2025-12</v>
      </c>
      <c r="P302" s="49">
        <v>46016</v>
      </c>
      <c r="Q302" s="49">
        <v>46016</v>
      </c>
      <c r="S302" s="46" t="s">
        <v>993</v>
      </c>
      <c r="T302">
        <f>COUNTIF('UN｜CVレポート'!H:H,流入チャネル別顧客一覧_7月以降完全ユニークではない!#REF!)</f>
        <v>0</v>
      </c>
    </row>
    <row r="303" spans="2:20" ht="15.75" customHeight="1">
      <c r="B303" s="65" t="s">
        <v>56</v>
      </c>
      <c r="C303" s="66">
        <v>46001.451365740744</v>
      </c>
      <c r="D303" s="67" t="s">
        <v>995</v>
      </c>
      <c r="E303" s="65" t="s">
        <v>135</v>
      </c>
      <c r="F303" s="65" t="s">
        <v>752</v>
      </c>
      <c r="O303" s="46" t="str">
        <f t="shared" si="5"/>
        <v>2025-12</v>
      </c>
      <c r="P303" s="49">
        <v>46016</v>
      </c>
      <c r="Q303" s="49">
        <v>46016</v>
      </c>
      <c r="S303" s="46" t="s">
        <v>996</v>
      </c>
      <c r="T303">
        <f>COUNTIF('UN｜CVレポート'!H:H,流入チャネル別顧客一覧_7月以降完全ユニークではない!#REF!)</f>
        <v>0</v>
      </c>
    </row>
    <row r="304" spans="2:20" ht="15.75" customHeight="1">
      <c r="B304" s="65" t="s">
        <v>84</v>
      </c>
      <c r="C304" s="66">
        <v>46006.411597222221</v>
      </c>
      <c r="D304" s="65" t="s">
        <v>998</v>
      </c>
      <c r="E304" s="65" t="s">
        <v>365</v>
      </c>
      <c r="F304" s="65" t="s">
        <v>744</v>
      </c>
      <c r="O304" s="46" t="str">
        <f t="shared" si="5"/>
        <v>2025-12</v>
      </c>
      <c r="T304">
        <f>COUNTIF('UN｜CVレポート'!H:H,流入チャネル別顧客一覧_7月以降完全ユニークではない!#REF!)</f>
        <v>0</v>
      </c>
    </row>
    <row r="305" spans="2:20" ht="15.75" customHeight="1">
      <c r="B305" s="65" t="s">
        <v>724</v>
      </c>
      <c r="C305" s="66">
        <v>46006.479756944442</v>
      </c>
      <c r="D305" s="65" t="s">
        <v>1000</v>
      </c>
      <c r="E305" s="65" t="s">
        <v>365</v>
      </c>
      <c r="F305" s="65" t="s">
        <v>774</v>
      </c>
      <c r="O305" s="46" t="str">
        <f t="shared" si="5"/>
        <v>2025-12</v>
      </c>
      <c r="T305">
        <f>COUNTIF('UN｜CVレポート'!H:H,流入チャネル別顧客一覧_7月以降完全ユニークではない!#REF!)</f>
        <v>0</v>
      </c>
    </row>
    <row r="306" spans="2:20" ht="15.75" customHeight="1">
      <c r="B306" s="44" t="s">
        <v>84</v>
      </c>
      <c r="C306" s="68">
        <v>46008.359027777777</v>
      </c>
      <c r="D306" s="46" t="s">
        <v>1002</v>
      </c>
      <c r="E306" s="65" t="s">
        <v>365</v>
      </c>
      <c r="F306" s="46" t="s">
        <v>752</v>
      </c>
      <c r="O306" s="46" t="str">
        <f t="shared" si="5"/>
        <v>2025-12</v>
      </c>
      <c r="T306">
        <f>COUNTIF('UN｜CVレポート'!H:H,流入チャネル別顧客一覧_7月以降完全ユニークではない!#REF!)</f>
        <v>0</v>
      </c>
    </row>
    <row r="307" spans="2:20" ht="15.75" customHeight="1">
      <c r="B307" s="44" t="s">
        <v>56</v>
      </c>
      <c r="C307" s="58">
        <v>46008.558333333334</v>
      </c>
      <c r="D307" s="46" t="s">
        <v>1005</v>
      </c>
      <c r="E307" s="65" t="s">
        <v>365</v>
      </c>
      <c r="F307" s="46" t="s">
        <v>774</v>
      </c>
      <c r="O307" s="46" t="str">
        <f t="shared" si="5"/>
        <v>2025-12</v>
      </c>
      <c r="T307">
        <f>COUNTIF('UN｜CVレポート'!H:H,流入チャネル別顧客一覧_7月以降完全ユニークではない!#REF!)</f>
        <v>0</v>
      </c>
    </row>
    <row r="308" spans="2:20" ht="15.75" customHeight="1">
      <c r="B308" s="44" t="s">
        <v>84</v>
      </c>
      <c r="C308" s="58">
        <v>46008.631944444445</v>
      </c>
      <c r="D308" s="46" t="s">
        <v>1008</v>
      </c>
      <c r="E308" s="65" t="s">
        <v>365</v>
      </c>
      <c r="F308" s="46" t="s">
        <v>774</v>
      </c>
      <c r="O308" s="46" t="str">
        <f t="shared" si="5"/>
        <v>2025-12</v>
      </c>
      <c r="T308">
        <f>COUNTIF('UN｜CVレポート'!H:H,流入チャネル別顧客一覧_7月以降完全ユニークではない!#REF!)</f>
        <v>0</v>
      </c>
    </row>
    <row r="309" spans="2:20" ht="15.75" customHeight="1">
      <c r="B309" s="46" t="s">
        <v>56</v>
      </c>
      <c r="C309" s="58">
        <v>46009.484027777777</v>
      </c>
      <c r="D309" s="44" t="s">
        <v>1011</v>
      </c>
      <c r="E309" s="65" t="s">
        <v>365</v>
      </c>
      <c r="F309" s="46" t="s">
        <v>774</v>
      </c>
      <c r="O309" s="46" t="str">
        <f t="shared" si="5"/>
        <v>2025-12</v>
      </c>
      <c r="T309">
        <f>COUNTIF('UN｜CVレポート'!H:H,流入チャネル別顧客一覧_7月以降完全ユニークではない!#REF!)</f>
        <v>0</v>
      </c>
    </row>
    <row r="310" spans="2:20" ht="15.75" customHeight="1">
      <c r="B310" s="46" t="s">
        <v>56</v>
      </c>
      <c r="C310" s="58">
        <v>46009.655555555553</v>
      </c>
      <c r="D310" s="46" t="s">
        <v>1014</v>
      </c>
      <c r="E310" s="46" t="s">
        <v>135</v>
      </c>
      <c r="F310" s="46" t="s">
        <v>813</v>
      </c>
      <c r="O310" s="46" t="str">
        <f t="shared" si="5"/>
        <v>2025-12</v>
      </c>
      <c r="T310">
        <f>COUNTIF('UN｜CVレポート'!H:H,流入チャネル別顧客一覧_7月以降完全ユニークではない!#REF!)</f>
        <v>0</v>
      </c>
    </row>
    <row r="311" spans="2:20" ht="15.75" customHeight="1">
      <c r="B311" s="65" t="s">
        <v>659</v>
      </c>
      <c r="C311" s="66">
        <v>46013.744942129626</v>
      </c>
      <c r="D311" s="65" t="s">
        <v>1017</v>
      </c>
      <c r="E311" s="65" t="s">
        <v>135</v>
      </c>
      <c r="F311" s="65" t="s">
        <v>774</v>
      </c>
      <c r="O311" s="46" t="str">
        <f t="shared" ref="O311:O319" si="6">TEXT(C311, "yyyy-mm")</f>
        <v>2025-12</v>
      </c>
      <c r="P311" s="49">
        <v>46016</v>
      </c>
      <c r="Q311" s="49">
        <v>46082</v>
      </c>
      <c r="S311" s="46" t="s">
        <v>316</v>
      </c>
      <c r="T311">
        <f>COUNTIF('UN｜CVレポート'!H:H,流入チャネル別顧客一覧_7月以降完全ユニークではない!#REF!)</f>
        <v>0</v>
      </c>
    </row>
    <row r="312" spans="2:20" ht="15.75" customHeight="1">
      <c r="B312" s="65" t="s">
        <v>56</v>
      </c>
      <c r="C312" s="66">
        <v>46014.722546296296</v>
      </c>
      <c r="D312" s="65" t="s">
        <v>1020</v>
      </c>
      <c r="E312" s="65" t="s">
        <v>365</v>
      </c>
      <c r="F312" s="65" t="s">
        <v>752</v>
      </c>
      <c r="O312" s="46" t="str">
        <f t="shared" si="6"/>
        <v>2025-12</v>
      </c>
      <c r="P312" s="49">
        <v>46016</v>
      </c>
      <c r="Q312" s="49">
        <v>46016</v>
      </c>
      <c r="S312" s="46" t="s">
        <v>993</v>
      </c>
      <c r="T312">
        <f>COUNTIF('UN｜CVレポート'!H:H,流入チャネル別顧客一覧_7月以降完全ユニークではない!#REF!)</f>
        <v>0</v>
      </c>
    </row>
    <row r="313" spans="2:20" ht="15.75" customHeight="1">
      <c r="B313" s="65" t="s">
        <v>56</v>
      </c>
      <c r="C313" s="66">
        <v>46014.804085648146</v>
      </c>
      <c r="D313" s="65" t="s">
        <v>1023</v>
      </c>
      <c r="E313" s="65" t="s">
        <v>380</v>
      </c>
      <c r="F313" s="65" t="s">
        <v>744</v>
      </c>
      <c r="O313" s="46" t="str">
        <f t="shared" si="6"/>
        <v>2025-12</v>
      </c>
      <c r="P313" s="49">
        <v>46016</v>
      </c>
      <c r="S313" s="46" t="s">
        <v>1025</v>
      </c>
      <c r="T313">
        <f>COUNTIF('UN｜CVレポート'!H:H,流入チャネル別顧客一覧_7月以降完全ユニークではない!#REF!)</f>
        <v>0</v>
      </c>
    </row>
    <row r="314" spans="2:20" ht="15.75" customHeight="1">
      <c r="B314" s="65" t="s">
        <v>84</v>
      </c>
      <c r="C314" s="66">
        <v>46015.619317129633</v>
      </c>
      <c r="D314" s="65" t="s">
        <v>1027</v>
      </c>
      <c r="E314" s="65" t="s">
        <v>365</v>
      </c>
      <c r="F314" s="65" t="s">
        <v>752</v>
      </c>
      <c r="O314" s="46" t="str">
        <f t="shared" si="6"/>
        <v>2025-12</v>
      </c>
      <c r="T314">
        <f>COUNTIF('UN｜CVレポート'!H:H,流入チャネル別顧客一覧_7月以降完全ユニークではない!#REF!)</f>
        <v>0</v>
      </c>
    </row>
    <row r="315" spans="2:20" ht="15.75" customHeight="1">
      <c r="B315" s="65" t="s">
        <v>724</v>
      </c>
      <c r="C315" s="66">
        <v>46030.648136574076</v>
      </c>
      <c r="D315" s="65" t="s">
        <v>1030</v>
      </c>
      <c r="E315" s="65" t="s">
        <v>135</v>
      </c>
      <c r="F315" s="65" t="s">
        <v>744</v>
      </c>
      <c r="O315" s="46" t="str">
        <f t="shared" si="6"/>
        <v>2026-01</v>
      </c>
      <c r="T315">
        <f>COUNTIF('UN｜CVレポート'!H:H,流入チャネル別顧客一覧_7月以降完全ユニークではない!#REF!)</f>
        <v>0</v>
      </c>
    </row>
    <row r="316" spans="2:20" ht="15.75" customHeight="1">
      <c r="B316" s="65" t="s">
        <v>724</v>
      </c>
      <c r="C316" s="66">
        <v>46031.361863425926</v>
      </c>
      <c r="D316" s="65" t="s">
        <v>1033</v>
      </c>
      <c r="E316" s="65" t="s">
        <v>365</v>
      </c>
      <c r="F316" s="65" t="s">
        <v>752</v>
      </c>
      <c r="O316" s="46" t="str">
        <f t="shared" si="6"/>
        <v>2026-01</v>
      </c>
      <c r="S316" s="46" t="s">
        <v>1035</v>
      </c>
      <c r="T316">
        <f>COUNTIF('UN｜CVレポート'!H:H,流入チャネル別顧客一覧_7月以降完全ユニークではない!#REF!)</f>
        <v>0</v>
      </c>
    </row>
    <row r="317" spans="2:20" ht="15.75" customHeight="1">
      <c r="B317" s="65" t="s">
        <v>659</v>
      </c>
      <c r="C317" s="66">
        <v>46031.594305555554</v>
      </c>
      <c r="D317" s="65" t="s">
        <v>1037</v>
      </c>
      <c r="E317" s="65" t="s">
        <v>365</v>
      </c>
      <c r="F317" s="65" t="s">
        <v>744</v>
      </c>
      <c r="O317" s="46" t="str">
        <f t="shared" si="6"/>
        <v>2026-01</v>
      </c>
      <c r="P317" s="49">
        <v>46049</v>
      </c>
      <c r="Q317" s="49">
        <v>46049</v>
      </c>
      <c r="T317">
        <f>COUNTIF('UN｜CVレポート'!H:H,流入チャネル別顧客一覧_7月以降完全ユニークではない!#REF!)</f>
        <v>0</v>
      </c>
    </row>
    <row r="318" spans="2:20" ht="15.75" customHeight="1">
      <c r="B318" s="65" t="s">
        <v>84</v>
      </c>
      <c r="C318" s="66">
        <v>46034.596377314818</v>
      </c>
      <c r="D318" s="65" t="s">
        <v>1040</v>
      </c>
      <c r="E318" s="65" t="s">
        <v>365</v>
      </c>
      <c r="F318" s="65" t="s">
        <v>769</v>
      </c>
      <c r="O318" s="46" t="str">
        <f t="shared" si="6"/>
        <v>2026-01</v>
      </c>
      <c r="T318">
        <f>COUNTIF('UN｜CVレポート'!H:H,流入チャネル別顧客一覧_7月以降完全ユニークではない!#REF!)</f>
        <v>0</v>
      </c>
    </row>
    <row r="319" spans="2:20" ht="15.75" customHeight="1">
      <c r="B319" s="65" t="s">
        <v>84</v>
      </c>
      <c r="C319" s="66">
        <v>46034.720543981479</v>
      </c>
      <c r="D319" s="65" t="s">
        <v>1043</v>
      </c>
      <c r="E319" s="65" t="s">
        <v>365</v>
      </c>
      <c r="F319" s="65" t="s">
        <v>769</v>
      </c>
      <c r="O319" s="46" t="str">
        <f t="shared" si="6"/>
        <v>2026-01</v>
      </c>
      <c r="T319">
        <f>COUNTIF('UN｜CVレポート'!H:H,流入チャネル別顧客一覧_7月以降完全ユニークではない!#REF!)</f>
        <v>0</v>
      </c>
    </row>
    <row r="320" spans="2:20" ht="15.75" customHeight="1">
      <c r="B320" s="65" t="s">
        <v>84</v>
      </c>
      <c r="C320" s="64">
        <v>46043.463194444441</v>
      </c>
      <c r="D320" s="65" t="s">
        <v>1046</v>
      </c>
      <c r="E320" s="44" t="s">
        <v>135</v>
      </c>
      <c r="F320" s="44" t="s">
        <v>744</v>
      </c>
      <c r="P320" s="49">
        <v>46049</v>
      </c>
      <c r="Q320" s="49">
        <v>46049</v>
      </c>
      <c r="T320">
        <f>COUNTIF('UN｜CVレポート'!H:H,流入チャネル別顧客一覧_7月以降完全ユニークではない!#REF!)</f>
        <v>0</v>
      </c>
    </row>
    <row r="321" spans="2:20" ht="15.75" customHeight="1">
      <c r="B321" s="65" t="s">
        <v>56</v>
      </c>
      <c r="C321" s="64">
        <v>46044.554861111108</v>
      </c>
      <c r="D321" s="65" t="s">
        <v>1049</v>
      </c>
      <c r="E321" s="44" t="s">
        <v>380</v>
      </c>
      <c r="F321" s="44" t="s">
        <v>813</v>
      </c>
      <c r="S321" s="46" t="s">
        <v>1051</v>
      </c>
      <c r="T321">
        <f>COUNTIF('UN｜CVレポート'!H:H,流入チャネル別顧客一覧_7月以降完全ユニークではない!#REF!)</f>
        <v>0</v>
      </c>
    </row>
    <row r="322" spans="2:20" ht="15.75" customHeight="1">
      <c r="B322" s="65" t="s">
        <v>56</v>
      </c>
      <c r="C322" s="64">
        <v>46043.743055555555</v>
      </c>
      <c r="D322" s="65" t="s">
        <v>1053</v>
      </c>
      <c r="E322" s="65" t="s">
        <v>365</v>
      </c>
      <c r="F322" s="44" t="s">
        <v>752</v>
      </c>
      <c r="T322">
        <f>COUNTIF('UN｜CVレポート'!H:H,流入チャネル別顧客一覧_7月以降完全ユニークではない!#REF!)</f>
        <v>0</v>
      </c>
    </row>
    <row r="323" spans="2:20" ht="15.75" customHeight="1">
      <c r="B323" s="65" t="s">
        <v>56</v>
      </c>
      <c r="C323" s="64">
        <v>46045.710416666669</v>
      </c>
      <c r="D323" s="65" t="s">
        <v>1056</v>
      </c>
      <c r="E323" s="44" t="s">
        <v>365</v>
      </c>
      <c r="F323" s="44" t="s">
        <v>813</v>
      </c>
      <c r="S323" s="46" t="s">
        <v>1058</v>
      </c>
      <c r="T323">
        <f>COUNTIF('UN｜CVレポート'!H:H,流入チャネル別顧客一覧_7月以降完全ユニークではない!#REF!)</f>
        <v>0</v>
      </c>
    </row>
    <row r="324" spans="2:20" ht="15.75" customHeight="1">
      <c r="B324" s="65" t="s">
        <v>56</v>
      </c>
      <c r="C324" s="64">
        <v>46050.493055555555</v>
      </c>
      <c r="D324" s="65" t="s">
        <v>1060</v>
      </c>
      <c r="E324" s="44" t="s">
        <v>365</v>
      </c>
      <c r="F324" s="44" t="s">
        <v>752</v>
      </c>
      <c r="S324" s="46" t="s">
        <v>1051</v>
      </c>
      <c r="T324">
        <f>COUNTIF('UN｜CVレポート'!H:H,流入チャネル別顧客一覧_7月以降完全ユニークではない!#REF!)</f>
        <v>0</v>
      </c>
    </row>
    <row r="325" spans="2:20" ht="15.75" customHeight="1">
      <c r="B325" s="65" t="s">
        <v>724</v>
      </c>
      <c r="C325" s="64">
        <v>46051.35833333333</v>
      </c>
      <c r="D325" s="65" t="s">
        <v>1063</v>
      </c>
      <c r="E325" s="65" t="s">
        <v>365</v>
      </c>
      <c r="F325" s="44" t="s">
        <v>774</v>
      </c>
      <c r="T325">
        <f>COUNTIF('UN｜CVレポート'!H:H,流入チャネル別顧客一覧_7月以降完全ユニークではない!#REF!)</f>
        <v>0</v>
      </c>
    </row>
    <row r="326" spans="2:20" ht="15.75" customHeight="1">
      <c r="B326" s="65" t="s">
        <v>724</v>
      </c>
      <c r="C326" s="64">
        <v>46052.648611111108</v>
      </c>
      <c r="D326" s="65" t="s">
        <v>1066</v>
      </c>
      <c r="E326" s="65" t="s">
        <v>365</v>
      </c>
      <c r="F326" s="44" t="s">
        <v>752</v>
      </c>
      <c r="T326">
        <f>COUNTIF('UN｜CVレポート'!H:H,流入チャネル別顧客一覧_7月以降完全ユニークではない!#REF!)</f>
        <v>0</v>
      </c>
    </row>
    <row r="327" spans="2:20" ht="15.75" customHeight="1">
      <c r="B327" s="65" t="s">
        <v>84</v>
      </c>
      <c r="C327" s="66">
        <v>46057.422893518517</v>
      </c>
      <c r="D327" s="65" t="s">
        <v>1069</v>
      </c>
      <c r="E327" s="65" t="s">
        <v>473</v>
      </c>
      <c r="F327" s="65" t="s">
        <v>747</v>
      </c>
      <c r="P327" s="49">
        <v>46079</v>
      </c>
      <c r="S327" s="46" t="s">
        <v>1071</v>
      </c>
      <c r="T327">
        <f>COUNTIF('UN｜CVレポート'!H:H,流入チャネル別顧客一覧_7月以降完全ユニークではない!#REF!)</f>
        <v>0</v>
      </c>
    </row>
    <row r="328" spans="2:20" ht="15.75" customHeight="1">
      <c r="B328" s="65" t="s">
        <v>659</v>
      </c>
      <c r="C328" s="66">
        <v>46057.460706018515</v>
      </c>
      <c r="D328" s="65" t="s">
        <v>1073</v>
      </c>
      <c r="E328" s="65" t="s">
        <v>135</v>
      </c>
      <c r="F328" s="65" t="s">
        <v>747</v>
      </c>
      <c r="S328" s="46" t="s">
        <v>1075</v>
      </c>
      <c r="T328">
        <f>COUNTIF('UN｜CVレポート'!H:H,流入チャネル別顧客一覧_7月以降完全ユニークではない!#REF!)</f>
        <v>0</v>
      </c>
    </row>
    <row r="329" spans="2:20" ht="15.75" customHeight="1">
      <c r="B329" s="65" t="s">
        <v>56</v>
      </c>
      <c r="C329" s="66">
        <v>46057.682789351849</v>
      </c>
      <c r="D329" s="65" t="s">
        <v>1077</v>
      </c>
      <c r="E329" s="65" t="s">
        <v>365</v>
      </c>
      <c r="F329" s="65" t="s">
        <v>747</v>
      </c>
      <c r="S329" s="46" t="s">
        <v>1075</v>
      </c>
      <c r="T329">
        <f>COUNTIF('UN｜CVレポート'!H:H,流入チャネル別顧客一覧_7月以降完全ユニークではない!#REF!)</f>
        <v>0</v>
      </c>
    </row>
    <row r="330" spans="2:20" ht="15.75" customHeight="1">
      <c r="B330" s="65" t="s">
        <v>659</v>
      </c>
      <c r="C330" s="66">
        <v>46058.681319444448</v>
      </c>
      <c r="D330" s="65" t="s">
        <v>1080</v>
      </c>
      <c r="E330" s="65" t="s">
        <v>365</v>
      </c>
      <c r="F330" s="65" t="s">
        <v>747</v>
      </c>
      <c r="S330" s="46" t="s">
        <v>1082</v>
      </c>
      <c r="T330">
        <f>COUNTIF('UN｜CVレポート'!H:H,流入チャネル別顧客一覧_7月以降完全ユニークではない!#REF!)</f>
        <v>0</v>
      </c>
    </row>
    <row r="331" spans="2:20" ht="15.75" customHeight="1">
      <c r="B331" s="65" t="s">
        <v>724</v>
      </c>
      <c r="C331" s="66">
        <v>46059.793703703705</v>
      </c>
      <c r="D331" s="65" t="s">
        <v>1084</v>
      </c>
      <c r="E331" s="65" t="s">
        <v>365</v>
      </c>
      <c r="F331" s="65" t="s">
        <v>744</v>
      </c>
      <c r="T331">
        <f>COUNTIF('UN｜CVレポート'!H:H,流入チャネル別顧客一覧_7月以降完全ユニークではない!#REF!)</f>
        <v>0</v>
      </c>
    </row>
    <row r="332" spans="2:20" ht="15.75" customHeight="1">
      <c r="B332" s="65" t="s">
        <v>56</v>
      </c>
      <c r="C332" s="66">
        <v>46062.678912037038</v>
      </c>
      <c r="D332" s="65" t="s">
        <v>1087</v>
      </c>
      <c r="E332" s="65" t="s">
        <v>380</v>
      </c>
      <c r="F332" s="65" t="s">
        <v>774</v>
      </c>
      <c r="S332" s="46" t="s">
        <v>1058</v>
      </c>
      <c r="T332">
        <f>COUNTIF('UN｜CVレポート'!H:H,流入チャネル別顧客一覧_7月以降完全ユニークではない!#REF!)</f>
        <v>0</v>
      </c>
    </row>
    <row r="333" spans="2:20" ht="15.75" customHeight="1">
      <c r="B333" s="65" t="s">
        <v>56</v>
      </c>
      <c r="C333" s="66">
        <v>46063.500555555554</v>
      </c>
      <c r="D333" s="65" t="s">
        <v>1090</v>
      </c>
      <c r="E333" s="65" t="s">
        <v>365</v>
      </c>
      <c r="F333" s="65" t="s">
        <v>752</v>
      </c>
      <c r="S333" s="46" t="s">
        <v>1058</v>
      </c>
      <c r="T333">
        <f>COUNTIF('UN｜CVレポート'!H:H,流入チャネル別顧客一覧_7月以降完全ユニークではない!#REF!)</f>
        <v>0</v>
      </c>
    </row>
    <row r="334" spans="2:20" ht="15.75" customHeight="1">
      <c r="B334" s="65" t="s">
        <v>56</v>
      </c>
      <c r="C334" s="66">
        <v>46063.574317129627</v>
      </c>
      <c r="D334" s="65" t="s">
        <v>1093</v>
      </c>
      <c r="E334" s="65" t="s">
        <v>135</v>
      </c>
      <c r="F334" s="65" t="s">
        <v>744</v>
      </c>
      <c r="P334" s="49">
        <v>46049</v>
      </c>
      <c r="Q334" s="49">
        <v>46049</v>
      </c>
      <c r="S334" s="46" t="s">
        <v>1095</v>
      </c>
      <c r="T334">
        <f>COUNTIF('UN｜CVレポート'!H:H,流入チャネル別顧客一覧_7月以降完全ユニークではない!#REF!)</f>
        <v>0</v>
      </c>
    </row>
    <row r="335" spans="2:20" ht="15.75" customHeight="1">
      <c r="B335" s="65" t="s">
        <v>1096</v>
      </c>
      <c r="C335" s="66">
        <v>46065.579826388886</v>
      </c>
      <c r="D335" s="65" t="s">
        <v>1098</v>
      </c>
      <c r="E335" s="65" t="s">
        <v>365</v>
      </c>
      <c r="F335" s="65" t="s">
        <v>774</v>
      </c>
      <c r="T335">
        <f>COUNTIF('UN｜CVレポート'!H:H,流入チャネル別顧客一覧_7月以降完全ユニークではない!#REF!)</f>
        <v>0</v>
      </c>
    </row>
    <row r="336" spans="2:20" ht="15.75" customHeight="1">
      <c r="B336" s="65" t="s">
        <v>724</v>
      </c>
      <c r="C336" s="66">
        <v>46066.686805555553</v>
      </c>
      <c r="D336" s="65" t="s">
        <v>1101</v>
      </c>
      <c r="E336" s="65" t="s">
        <v>365</v>
      </c>
      <c r="F336" s="65" t="s">
        <v>774</v>
      </c>
      <c r="T336">
        <f>COUNTIF('UN｜CVレポート'!H:H,流入チャネル別顧客一覧_7月以降完全ユニークではない!#REF!)</f>
        <v>0</v>
      </c>
    </row>
    <row r="337" spans="2:20" ht="15.75" customHeight="1">
      <c r="B337" s="69" t="s">
        <v>56</v>
      </c>
      <c r="C337" s="70">
        <v>46071.768703703703</v>
      </c>
      <c r="D337" s="69" t="s">
        <v>1104</v>
      </c>
      <c r="E337" s="69" t="s">
        <v>473</v>
      </c>
      <c r="F337" s="69" t="s">
        <v>752</v>
      </c>
      <c r="S337" s="46" t="s">
        <v>1106</v>
      </c>
      <c r="T337">
        <f>COUNTIF('UN｜CVレポート'!H:H,流入チャネル別顧客一覧_7月以降完全ユニークではない!#REF!)</f>
        <v>0</v>
      </c>
    </row>
    <row r="338" spans="2:20" ht="15.75" customHeight="1">
      <c r="B338" s="69" t="s">
        <v>56</v>
      </c>
      <c r="C338" s="70">
        <v>46072.578368055554</v>
      </c>
      <c r="D338" s="69" t="s">
        <v>1108</v>
      </c>
      <c r="E338" s="69" t="s">
        <v>365</v>
      </c>
      <c r="F338" s="69" t="s">
        <v>752</v>
      </c>
      <c r="S338" s="46" t="s">
        <v>1110</v>
      </c>
      <c r="T338">
        <f>COUNTIF('UN｜CVレポート'!H:H,流入チャネル別顧客一覧_7月以降完全ユニークではない!#REF!)</f>
        <v>0</v>
      </c>
    </row>
    <row r="339" spans="2:20" ht="15.75" customHeight="1">
      <c r="B339" s="69" t="s">
        <v>1111</v>
      </c>
      <c r="C339" s="70">
        <v>46051</v>
      </c>
      <c r="D339" s="69" t="s">
        <v>1112</v>
      </c>
      <c r="E339" s="69" t="s">
        <v>1113</v>
      </c>
      <c r="F339" s="69" t="s">
        <v>1114</v>
      </c>
      <c r="P339" s="49">
        <v>46079</v>
      </c>
      <c r="Q339" s="49">
        <v>46079</v>
      </c>
      <c r="T339">
        <f>COUNTIF('UN｜CVレポート'!H:H,流入チャネル別顧客一覧_7月以降完全ユニークではない!#REF!)</f>
        <v>0</v>
      </c>
    </row>
    <row r="340" spans="2:20" ht="15.75" customHeight="1">
      <c r="B340" s="69" t="s">
        <v>1111</v>
      </c>
      <c r="C340" s="70">
        <v>46071</v>
      </c>
      <c r="D340" s="69" t="s">
        <v>1115</v>
      </c>
      <c r="E340" s="69" t="s">
        <v>1113</v>
      </c>
      <c r="F340" s="69" t="s">
        <v>1114</v>
      </c>
      <c r="P340" s="49">
        <v>46079</v>
      </c>
      <c r="Q340" s="49">
        <v>46079</v>
      </c>
      <c r="S340" s="46" t="s">
        <v>1116</v>
      </c>
      <c r="T340">
        <f>COUNTIF('UN｜CVレポート'!H:H,流入チャネル別顧客一覧_7月以降完全ユニークではない!#REF!)</f>
        <v>0</v>
      </c>
    </row>
    <row r="341" spans="2:20" ht="15.75" customHeight="1">
      <c r="B341" s="69" t="s">
        <v>56</v>
      </c>
      <c r="C341" s="70">
        <v>46083.583043981482</v>
      </c>
      <c r="D341" s="69" t="s">
        <v>1118</v>
      </c>
      <c r="E341" s="69" t="s">
        <v>365</v>
      </c>
      <c r="F341" s="69" t="s">
        <v>744</v>
      </c>
      <c r="S341" s="46" t="s">
        <v>1120</v>
      </c>
    </row>
    <row r="342" spans="2:20" ht="15.75" customHeight="1">
      <c r="B342" s="69" t="s">
        <v>56</v>
      </c>
      <c r="C342" s="70">
        <v>46090.730486111112</v>
      </c>
      <c r="D342" s="69" t="s">
        <v>1122</v>
      </c>
      <c r="E342" s="69" t="s">
        <v>365</v>
      </c>
      <c r="F342" s="69" t="s">
        <v>744</v>
      </c>
      <c r="S342" s="46" t="s">
        <v>1058</v>
      </c>
    </row>
    <row r="343" spans="2:20" ht="15.75" customHeight="1">
      <c r="B343" s="69" t="s">
        <v>56</v>
      </c>
      <c r="C343" s="70">
        <v>46090.864895833336</v>
      </c>
      <c r="D343" s="69" t="s">
        <v>1125</v>
      </c>
      <c r="E343" s="69" t="s">
        <v>365</v>
      </c>
      <c r="F343" s="69" t="s">
        <v>774</v>
      </c>
      <c r="P343" s="49">
        <v>46082</v>
      </c>
      <c r="S343" s="46" t="s">
        <v>1127</v>
      </c>
    </row>
    <row r="344" spans="2:20" ht="15.75" customHeight="1">
      <c r="B344" s="69" t="s">
        <v>56</v>
      </c>
      <c r="C344" s="70">
        <v>46093.460358796299</v>
      </c>
      <c r="D344" s="69" t="s">
        <v>1129</v>
      </c>
      <c r="E344" s="69" t="s">
        <v>380</v>
      </c>
      <c r="F344" s="69" t="s">
        <v>774</v>
      </c>
      <c r="S344" s="46" t="s">
        <v>1058</v>
      </c>
    </row>
    <row r="345" spans="2:20" ht="15.75" customHeight="1">
      <c r="B345" s="69" t="s">
        <v>56</v>
      </c>
      <c r="C345" s="70">
        <v>46094.692025462966</v>
      </c>
      <c r="D345" s="69" t="s">
        <v>1132</v>
      </c>
      <c r="E345" s="69" t="s">
        <v>365</v>
      </c>
      <c r="F345" s="69" t="s">
        <v>752</v>
      </c>
      <c r="S345" s="46" t="s">
        <v>1110</v>
      </c>
    </row>
    <row r="346" spans="2:20" ht="15.75" customHeight="1">
      <c r="B346" s="69" t="s">
        <v>914</v>
      </c>
      <c r="C346" s="70">
        <v>46098.411296296297</v>
      </c>
      <c r="D346" s="69" t="s">
        <v>1134</v>
      </c>
      <c r="E346" s="69" t="s">
        <v>365</v>
      </c>
      <c r="F346" s="69" t="s">
        <v>813</v>
      </c>
      <c r="S346" s="46" t="s">
        <v>1110</v>
      </c>
    </row>
    <row r="347" spans="2:20" ht="15.75" customHeight="1">
      <c r="B347" s="69" t="s">
        <v>724</v>
      </c>
      <c r="C347" s="70">
        <v>46101.713194444441</v>
      </c>
      <c r="D347" s="69" t="s">
        <v>1135</v>
      </c>
      <c r="E347" s="69" t="s">
        <v>365</v>
      </c>
      <c r="F347" s="69" t="s">
        <v>744</v>
      </c>
      <c r="S347" s="46" t="s">
        <v>1058</v>
      </c>
    </row>
    <row r="348" spans="2:20" ht="15.75" customHeight="1">
      <c r="B348" s="69" t="s">
        <v>56</v>
      </c>
      <c r="C348" s="70">
        <v>46104.670868055553</v>
      </c>
      <c r="D348" s="69" t="s">
        <v>1136</v>
      </c>
      <c r="E348" s="69" t="s">
        <v>365</v>
      </c>
      <c r="F348" s="69" t="s">
        <v>813</v>
      </c>
      <c r="S348" s="46" t="s">
        <v>1058</v>
      </c>
    </row>
    <row r="349" spans="2:20" ht="15.75" customHeight="1">
      <c r="B349" s="69" t="s">
        <v>56</v>
      </c>
      <c r="C349" s="70">
        <v>46114.401099537034</v>
      </c>
      <c r="D349" s="69" t="s">
        <v>1137</v>
      </c>
      <c r="E349" s="69" t="s">
        <v>365</v>
      </c>
      <c r="F349" s="69" t="s">
        <v>774</v>
      </c>
      <c r="S349" s="46" t="s">
        <v>1110</v>
      </c>
    </row>
    <row r="350" spans="2:20" ht="15.75" customHeight="1">
      <c r="B350" s="69" t="s">
        <v>659</v>
      </c>
      <c r="C350" s="70">
        <v>46114.550775462965</v>
      </c>
      <c r="D350" s="69" t="s">
        <v>1138</v>
      </c>
      <c r="E350" s="69" t="s">
        <v>365</v>
      </c>
      <c r="F350" s="69" t="s">
        <v>752</v>
      </c>
    </row>
    <row r="351" spans="2:20" ht="15.75" customHeight="1">
      <c r="B351" s="69" t="s">
        <v>659</v>
      </c>
      <c r="C351" s="70">
        <v>46118.420624999999</v>
      </c>
      <c r="D351" s="69" t="s">
        <v>1139</v>
      </c>
      <c r="E351" s="69" t="s">
        <v>135</v>
      </c>
      <c r="F351" s="69" t="s">
        <v>1140</v>
      </c>
      <c r="P351" s="49">
        <v>46138</v>
      </c>
      <c r="Q351" s="49">
        <v>46132</v>
      </c>
      <c r="S351" s="46" t="s">
        <v>1141</v>
      </c>
    </row>
    <row r="352" spans="2:20" ht="15.75" customHeight="1">
      <c r="B352" s="69" t="s">
        <v>724</v>
      </c>
      <c r="C352" s="70">
        <v>46119.585960648146</v>
      </c>
      <c r="D352" s="69" t="s">
        <v>1142</v>
      </c>
      <c r="E352" s="69" t="s">
        <v>365</v>
      </c>
      <c r="F352" s="69" t="s">
        <v>744</v>
      </c>
    </row>
    <row r="353" spans="2:19" ht="15.75" customHeight="1">
      <c r="B353" s="69" t="s">
        <v>84</v>
      </c>
      <c r="C353" s="70">
        <v>46127.372129629628</v>
      </c>
      <c r="D353" s="69" t="s">
        <v>1143</v>
      </c>
      <c r="E353" s="69" t="s">
        <v>365</v>
      </c>
      <c r="F353" s="69" t="s">
        <v>744</v>
      </c>
      <c r="P353" s="49">
        <v>46138</v>
      </c>
    </row>
    <row r="354" spans="2:19" ht="15.75" customHeight="1">
      <c r="B354" s="69" t="s">
        <v>56</v>
      </c>
      <c r="C354" s="70">
        <v>46129.189571759256</v>
      </c>
      <c r="D354" s="69" t="s">
        <v>1144</v>
      </c>
      <c r="E354" s="69" t="s">
        <v>365</v>
      </c>
      <c r="F354" s="69" t="s">
        <v>774</v>
      </c>
      <c r="S354" s="46" t="s">
        <v>1110</v>
      </c>
    </row>
    <row r="355" spans="2:19" ht="15.75" customHeight="1">
      <c r="B355" s="69" t="s">
        <v>56</v>
      </c>
      <c r="C355" s="70">
        <v>46129.494826388887</v>
      </c>
      <c r="D355" s="69" t="s">
        <v>1145</v>
      </c>
      <c r="E355" s="69" t="s">
        <v>473</v>
      </c>
      <c r="F355" s="69" t="s">
        <v>813</v>
      </c>
      <c r="S355" s="46" t="s">
        <v>1110</v>
      </c>
    </row>
    <row r="356" spans="2:19" ht="15.75" customHeight="1">
      <c r="B356" s="69" t="s">
        <v>1146</v>
      </c>
      <c r="C356" s="70">
        <v>46134.420497685183</v>
      </c>
      <c r="D356" s="69" t="s">
        <v>1147</v>
      </c>
      <c r="E356" s="69"/>
      <c r="F356" s="69" t="s">
        <v>28</v>
      </c>
      <c r="P356" s="49">
        <v>46113</v>
      </c>
    </row>
    <row r="357" spans="2:19" ht="15.75" customHeight="1">
      <c r="B357" s="69" t="s">
        <v>1148</v>
      </c>
      <c r="C357" s="70">
        <v>46134.420949074076</v>
      </c>
      <c r="D357" s="69" t="s">
        <v>1149</v>
      </c>
      <c r="E357" s="69"/>
      <c r="F357" s="69" t="s">
        <v>28</v>
      </c>
    </row>
    <row r="358" spans="2:19" ht="15.75" customHeight="1">
      <c r="B358" s="69" t="s">
        <v>1146</v>
      </c>
      <c r="C358" s="70">
        <v>46134.441319444442</v>
      </c>
      <c r="D358" s="69" t="s">
        <v>1080</v>
      </c>
      <c r="E358" s="69"/>
      <c r="F358" s="69" t="s">
        <v>28</v>
      </c>
    </row>
    <row r="359" spans="2:19" ht="15.75" customHeight="1">
      <c r="B359" s="69" t="s">
        <v>1150</v>
      </c>
      <c r="C359" s="70">
        <v>46134.459490740737</v>
      </c>
      <c r="D359" s="69" t="s">
        <v>1151</v>
      </c>
      <c r="E359" s="69"/>
      <c r="F359" s="69" t="s">
        <v>28</v>
      </c>
    </row>
    <row r="360" spans="2:19" ht="15.75" customHeight="1">
      <c r="B360" s="69" t="s">
        <v>56</v>
      </c>
      <c r="C360" s="70">
        <v>46143.586145833331</v>
      </c>
      <c r="D360" s="69" t="s">
        <v>1152</v>
      </c>
      <c r="E360" s="69" t="s">
        <v>380</v>
      </c>
      <c r="F360" s="69" t="s">
        <v>769</v>
      </c>
    </row>
    <row r="361" spans="2:19" ht="15.75" customHeight="1">
      <c r="B361" s="69" t="s">
        <v>56</v>
      </c>
      <c r="C361" s="70">
        <v>46144.694525462961</v>
      </c>
      <c r="D361" s="69" t="s">
        <v>1153</v>
      </c>
      <c r="E361" s="69" t="s">
        <v>365</v>
      </c>
      <c r="F361" s="69" t="s">
        <v>813</v>
      </c>
      <c r="S361" s="46" t="s">
        <v>1110</v>
      </c>
    </row>
    <row r="362" spans="2:19" ht="15.75" customHeight="1">
      <c r="B362" s="69" t="s">
        <v>84</v>
      </c>
      <c r="C362" s="70">
        <v>46154.582696759258</v>
      </c>
      <c r="D362" s="69" t="s">
        <v>1154</v>
      </c>
      <c r="E362" s="69" t="s">
        <v>365</v>
      </c>
      <c r="F362" s="69" t="s">
        <v>774</v>
      </c>
    </row>
    <row r="363" spans="2:19" ht="15.75" customHeight="1">
      <c r="B363" s="69" t="s">
        <v>56</v>
      </c>
      <c r="C363" s="70">
        <v>46154.736759259256</v>
      </c>
      <c r="D363" s="69" t="s">
        <v>1155</v>
      </c>
      <c r="E363" s="69" t="s">
        <v>365</v>
      </c>
      <c r="F363" s="69" t="s">
        <v>744</v>
      </c>
    </row>
    <row r="364" spans="2:19" ht="15.75" customHeight="1">
      <c r="B364" s="69" t="s">
        <v>84</v>
      </c>
      <c r="C364" s="70">
        <v>46155.352685185186</v>
      </c>
      <c r="D364" s="69" t="s">
        <v>1156</v>
      </c>
      <c r="E364" s="69" t="s">
        <v>365</v>
      </c>
      <c r="F364" s="69" t="s">
        <v>774</v>
      </c>
      <c r="P364" s="49">
        <v>46143</v>
      </c>
    </row>
    <row r="365" spans="2:19" ht="15.75" customHeight="1">
      <c r="B365" s="69" t="s">
        <v>84</v>
      </c>
      <c r="C365" s="70">
        <v>46155.368726851855</v>
      </c>
      <c r="D365" s="69" t="s">
        <v>1157</v>
      </c>
      <c r="E365" s="69" t="s">
        <v>365</v>
      </c>
      <c r="F365" s="69" t="s">
        <v>774</v>
      </c>
    </row>
    <row r="366" spans="2:19" ht="15.75" customHeight="1">
      <c r="B366" s="69" t="s">
        <v>56</v>
      </c>
      <c r="C366" s="70">
        <v>46155.667488425926</v>
      </c>
      <c r="D366" s="69" t="s">
        <v>1158</v>
      </c>
      <c r="E366" s="69" t="s">
        <v>365</v>
      </c>
      <c r="F366" s="69" t="s">
        <v>744</v>
      </c>
      <c r="P366" s="49">
        <v>46143</v>
      </c>
      <c r="Q366" s="49">
        <v>46143</v>
      </c>
      <c r="S366" s="46" t="s">
        <v>1159</v>
      </c>
    </row>
    <row r="367" spans="2:19" ht="15.75" customHeight="1">
      <c r="B367" s="69" t="s">
        <v>56</v>
      </c>
      <c r="C367" s="70">
        <v>46157.756990740738</v>
      </c>
      <c r="D367" s="69" t="s">
        <v>1160</v>
      </c>
      <c r="E367" s="69" t="s">
        <v>365</v>
      </c>
      <c r="F367" s="69" t="s">
        <v>744</v>
      </c>
    </row>
    <row r="368" spans="2:19" ht="15.75" customHeight="1">
      <c r="B368" s="69" t="s">
        <v>56</v>
      </c>
      <c r="C368" s="70">
        <v>46157.782152777778</v>
      </c>
      <c r="D368" s="69" t="s">
        <v>1161</v>
      </c>
      <c r="E368" s="69" t="s">
        <v>365</v>
      </c>
      <c r="F368" s="69" t="s">
        <v>774</v>
      </c>
    </row>
    <row r="369" spans="2:19" ht="15.75" customHeight="1">
      <c r="B369" s="69" t="s">
        <v>56</v>
      </c>
      <c r="C369" s="70">
        <v>46157.882094907407</v>
      </c>
      <c r="D369" s="69" t="s">
        <v>1162</v>
      </c>
      <c r="E369" s="69" t="s">
        <v>365</v>
      </c>
      <c r="F369" s="69" t="s">
        <v>744</v>
      </c>
    </row>
    <row r="370" spans="2:19" ht="15.75" customHeight="1">
      <c r="B370" s="69" t="s">
        <v>56</v>
      </c>
      <c r="C370" s="70">
        <v>46158.26734953704</v>
      </c>
      <c r="D370" s="69" t="s">
        <v>1163</v>
      </c>
      <c r="E370" s="69" t="s">
        <v>365</v>
      </c>
      <c r="F370" s="69" t="s">
        <v>769</v>
      </c>
    </row>
    <row r="371" spans="2:19" ht="15.75" customHeight="1">
      <c r="B371" s="69" t="s">
        <v>56</v>
      </c>
      <c r="C371" s="70">
        <v>46158.40902777778</v>
      </c>
      <c r="D371" s="69" t="s">
        <v>1164</v>
      </c>
      <c r="E371" s="69" t="s">
        <v>135</v>
      </c>
      <c r="F371" s="69" t="s">
        <v>813</v>
      </c>
      <c r="S371" s="46" t="s">
        <v>1110</v>
      </c>
    </row>
    <row r="372" spans="2:19" ht="15.75" customHeight="1">
      <c r="B372" s="69" t="s">
        <v>56</v>
      </c>
      <c r="C372" s="70">
        <v>46159.254675925928</v>
      </c>
      <c r="D372" s="69" t="s">
        <v>1165</v>
      </c>
      <c r="E372" s="69" t="s">
        <v>135</v>
      </c>
      <c r="F372" s="69" t="s">
        <v>813</v>
      </c>
      <c r="S372" s="46" t="s">
        <v>1110</v>
      </c>
    </row>
    <row r="373" spans="2:19" ht="15.75" customHeight="1">
      <c r="B373" s="69" t="s">
        <v>56</v>
      </c>
      <c r="C373" s="70">
        <v>46159.304502314815</v>
      </c>
      <c r="D373" s="69" t="s">
        <v>1166</v>
      </c>
      <c r="E373" s="69" t="s">
        <v>135</v>
      </c>
      <c r="F373" s="69" t="s">
        <v>813</v>
      </c>
      <c r="S373" s="46" t="s">
        <v>1110</v>
      </c>
    </row>
    <row r="374" spans="2:19" ht="15.75" customHeight="1">
      <c r="B374" s="69" t="s">
        <v>56</v>
      </c>
      <c r="C374" s="70">
        <v>46159.575995370367</v>
      </c>
      <c r="D374" s="69" t="s">
        <v>1167</v>
      </c>
      <c r="E374" s="69" t="s">
        <v>135</v>
      </c>
      <c r="F374" s="69" t="s">
        <v>813</v>
      </c>
      <c r="S374" s="46" t="s">
        <v>1110</v>
      </c>
    </row>
    <row r="375" spans="2:19" ht="15.75" customHeight="1">
      <c r="B375" s="69" t="s">
        <v>56</v>
      </c>
      <c r="C375" s="70">
        <v>46159.748310185183</v>
      </c>
      <c r="D375" s="69" t="s">
        <v>1168</v>
      </c>
      <c r="E375" s="69" t="s">
        <v>135</v>
      </c>
      <c r="F375" s="69" t="s">
        <v>813</v>
      </c>
      <c r="S375" s="46" t="s">
        <v>1110</v>
      </c>
    </row>
    <row r="376" spans="2:19" ht="15.75" customHeight="1">
      <c r="B376" s="69" t="s">
        <v>84</v>
      </c>
      <c r="C376" s="70">
        <v>46160.450520833336</v>
      </c>
      <c r="D376" s="69" t="s">
        <v>1169</v>
      </c>
      <c r="E376" s="69" t="s">
        <v>473</v>
      </c>
      <c r="F376" s="69" t="s">
        <v>744</v>
      </c>
      <c r="P376" s="49">
        <v>46143</v>
      </c>
      <c r="Q376" s="49">
        <v>46143</v>
      </c>
      <c r="S376" s="46" t="s">
        <v>1170</v>
      </c>
    </row>
    <row r="377" spans="2:19" ht="15.75" customHeight="1">
      <c r="B377" s="69" t="s">
        <v>56</v>
      </c>
      <c r="C377" s="70">
        <v>46161.377476851849</v>
      </c>
      <c r="D377" s="69" t="s">
        <v>1171</v>
      </c>
      <c r="E377" s="69" t="s">
        <v>135</v>
      </c>
      <c r="F377" s="69" t="s">
        <v>813</v>
      </c>
      <c r="S377" s="46" t="s">
        <v>1110</v>
      </c>
    </row>
    <row r="378" spans="2:19" ht="15.75" customHeight="1">
      <c r="B378" s="69" t="s">
        <v>56</v>
      </c>
      <c r="C378" s="70">
        <v>46161.740798611114</v>
      </c>
      <c r="D378" s="69" t="s">
        <v>1172</v>
      </c>
      <c r="E378" s="69" t="s">
        <v>135</v>
      </c>
      <c r="F378" s="69" t="s">
        <v>813</v>
      </c>
    </row>
    <row r="379" spans="2:19" ht="15.75" customHeight="1">
      <c r="B379" s="69" t="s">
        <v>1173</v>
      </c>
      <c r="C379" s="70">
        <v>46162.344212962962</v>
      </c>
      <c r="D379" s="69" t="s">
        <v>1174</v>
      </c>
      <c r="E379" s="69" t="s">
        <v>135</v>
      </c>
      <c r="F379" s="69" t="s">
        <v>774</v>
      </c>
    </row>
    <row r="380" spans="2:19" ht="15.75" customHeight="1">
      <c r="B380" s="69" t="s">
        <v>56</v>
      </c>
      <c r="C380" s="70">
        <v>46162.703587962962</v>
      </c>
      <c r="D380" s="69" t="s">
        <v>1175</v>
      </c>
      <c r="E380" s="69" t="s">
        <v>365</v>
      </c>
      <c r="F380" s="69" t="s">
        <v>744</v>
      </c>
    </row>
    <row r="381" spans="2:19" ht="15.75" customHeight="1">
      <c r="B381" s="69" t="s">
        <v>56</v>
      </c>
      <c r="C381" s="70">
        <v>46163.885601851849</v>
      </c>
      <c r="D381" s="69" t="s">
        <v>1176</v>
      </c>
      <c r="E381" s="69" t="s">
        <v>135</v>
      </c>
      <c r="F381" s="69" t="s">
        <v>813</v>
      </c>
    </row>
    <row r="382" spans="2:19" ht="15.75" customHeight="1">
      <c r="B382" s="69" t="s">
        <v>56</v>
      </c>
      <c r="C382" s="70">
        <v>46164.582256944443</v>
      </c>
      <c r="D382" s="69" t="s">
        <v>1177</v>
      </c>
      <c r="E382" s="69" t="s">
        <v>135</v>
      </c>
      <c r="F382" s="69" t="s">
        <v>813</v>
      </c>
    </row>
    <row r="383" spans="2:19" ht="15.75" customHeight="1">
      <c r="B383" s="69" t="s">
        <v>56</v>
      </c>
      <c r="C383" s="70">
        <v>46166.429664351854</v>
      </c>
      <c r="D383" s="69" t="s">
        <v>1178</v>
      </c>
      <c r="E383" s="69" t="s">
        <v>135</v>
      </c>
      <c r="F383" s="69" t="s">
        <v>813</v>
      </c>
    </row>
    <row r="384" spans="2:19" ht="15.75" customHeight="1">
      <c r="B384" s="74" t="s">
        <v>1179</v>
      </c>
      <c r="C384" s="75">
        <v>46167.415277777778</v>
      </c>
      <c r="D384" s="74" t="s">
        <v>1180</v>
      </c>
      <c r="E384" s="74" t="s">
        <v>1181</v>
      </c>
      <c r="F384" s="74" t="s">
        <v>28</v>
      </c>
      <c r="G384" s="44"/>
      <c r="H384" s="44"/>
      <c r="I384" s="44"/>
      <c r="J384" s="44"/>
      <c r="P384" s="44"/>
      <c r="Q384" s="44"/>
      <c r="R384" s="44"/>
      <c r="S384" s="44"/>
    </row>
    <row r="385" spans="2:19" ht="15.75" customHeight="1">
      <c r="B385" s="74" t="s">
        <v>1182</v>
      </c>
      <c r="C385" s="75">
        <v>46167.418055555558</v>
      </c>
      <c r="D385" s="74" t="s">
        <v>1183</v>
      </c>
      <c r="E385" s="74" t="s">
        <v>1181</v>
      </c>
      <c r="F385" s="74" t="s">
        <v>28</v>
      </c>
      <c r="G385" s="44"/>
      <c r="H385" s="44"/>
      <c r="I385" s="44"/>
      <c r="J385" s="44"/>
      <c r="P385" s="44"/>
      <c r="Q385" s="44"/>
      <c r="R385" s="44"/>
      <c r="S385" s="44"/>
    </row>
    <row r="386" spans="2:19" ht="15.75" customHeight="1">
      <c r="B386" s="69" t="s">
        <v>56</v>
      </c>
      <c r="C386" s="70">
        <v>46167.42291666667</v>
      </c>
      <c r="D386" s="69" t="s">
        <v>1184</v>
      </c>
      <c r="E386" s="69" t="s">
        <v>380</v>
      </c>
      <c r="F386" s="69" t="s">
        <v>744</v>
      </c>
      <c r="G386" s="77">
        <v>46174</v>
      </c>
      <c r="H386" s="77">
        <v>46174</v>
      </c>
      <c r="I386" s="76" t="s">
        <v>1181</v>
      </c>
      <c r="J386" s="76" t="s">
        <v>1181</v>
      </c>
      <c r="P386" s="77">
        <v>46174</v>
      </c>
      <c r="Q386" s="77">
        <v>46174</v>
      </c>
      <c r="R386" s="76" t="s">
        <v>1181</v>
      </c>
      <c r="S386" s="76" t="s">
        <v>1181</v>
      </c>
    </row>
    <row r="387" spans="2:19" ht="15.75" customHeight="1">
      <c r="B387" s="74" t="s">
        <v>1179</v>
      </c>
      <c r="C387" s="75">
        <v>46167.425000000003</v>
      </c>
      <c r="D387" s="74" t="s">
        <v>1185</v>
      </c>
      <c r="E387" s="74" t="s">
        <v>1181</v>
      </c>
      <c r="F387" s="74" t="s">
        <v>28</v>
      </c>
      <c r="G387" s="44"/>
      <c r="H387" s="44"/>
      <c r="I387" s="44"/>
      <c r="J387" s="44"/>
      <c r="P387" s="44"/>
      <c r="Q387" s="44"/>
      <c r="R387" s="44"/>
      <c r="S387" s="44"/>
    </row>
    <row r="388" spans="2:19" ht="15.75" customHeight="1">
      <c r="B388" s="74" t="s">
        <v>1179</v>
      </c>
      <c r="C388" s="75">
        <v>46167.427777777775</v>
      </c>
      <c r="D388" s="74" t="s">
        <v>1186</v>
      </c>
      <c r="E388" s="74" t="s">
        <v>1181</v>
      </c>
      <c r="F388" s="74" t="s">
        <v>28</v>
      </c>
      <c r="G388" s="44"/>
      <c r="H388" s="44"/>
      <c r="I388" s="44"/>
      <c r="J388" s="44"/>
      <c r="P388" s="44"/>
      <c r="Q388" s="44"/>
      <c r="R388" s="44"/>
      <c r="S388" s="44"/>
    </row>
    <row r="389" spans="2:19" ht="15.75" customHeight="1">
      <c r="B389" s="74" t="s">
        <v>1187</v>
      </c>
      <c r="C389" s="75">
        <v>46167.431250000001</v>
      </c>
      <c r="D389" s="74" t="s">
        <v>1188</v>
      </c>
      <c r="E389" s="74" t="s">
        <v>1181</v>
      </c>
      <c r="F389" s="74" t="s">
        <v>28</v>
      </c>
      <c r="G389" s="44"/>
      <c r="H389" s="44"/>
      <c r="I389" s="44"/>
      <c r="J389" s="44"/>
      <c r="P389" s="44"/>
      <c r="Q389" s="44"/>
      <c r="R389" s="44"/>
      <c r="S389" s="44"/>
    </row>
    <row r="390" spans="2:19" ht="15.75" customHeight="1">
      <c r="B390" s="74" t="s">
        <v>1179</v>
      </c>
      <c r="C390" s="75">
        <v>46167.431944444441</v>
      </c>
      <c r="D390" s="74" t="s">
        <v>1189</v>
      </c>
      <c r="E390" s="74" t="s">
        <v>1181</v>
      </c>
      <c r="F390" s="74" t="s">
        <v>28</v>
      </c>
      <c r="G390" s="44"/>
      <c r="H390" s="44"/>
      <c r="I390" s="44"/>
      <c r="J390" s="44"/>
      <c r="P390" s="44"/>
      <c r="Q390" s="44"/>
      <c r="R390" s="44"/>
      <c r="S390" s="44"/>
    </row>
    <row r="391" spans="2:19" ht="15.75" customHeight="1">
      <c r="B391" s="74" t="s">
        <v>1179</v>
      </c>
      <c r="C391" s="75">
        <v>46167.441666666666</v>
      </c>
      <c r="D391" s="74" t="s">
        <v>1190</v>
      </c>
      <c r="E391" s="74" t="s">
        <v>1181</v>
      </c>
      <c r="F391" s="74" t="s">
        <v>28</v>
      </c>
      <c r="G391" s="44"/>
      <c r="H391" s="44"/>
      <c r="I391" s="44"/>
      <c r="J391" s="44"/>
      <c r="P391" s="44"/>
      <c r="Q391" s="44"/>
      <c r="R391" s="44"/>
      <c r="S391" s="44"/>
    </row>
    <row r="392" spans="2:19" ht="15.75" customHeight="1">
      <c r="B392" s="74" t="s">
        <v>1179</v>
      </c>
      <c r="C392" s="75">
        <v>46167.459027777775</v>
      </c>
      <c r="D392" s="74" t="s">
        <v>1191</v>
      </c>
      <c r="E392" s="74" t="s">
        <v>1181</v>
      </c>
      <c r="F392" s="74" t="s">
        <v>28</v>
      </c>
      <c r="G392" s="44"/>
      <c r="H392" s="44"/>
      <c r="I392" s="44"/>
      <c r="J392" s="44"/>
      <c r="P392" s="44"/>
      <c r="Q392" s="44"/>
      <c r="R392" s="44"/>
      <c r="S392" s="44"/>
    </row>
    <row r="393" spans="2:19" ht="15.75" customHeight="1">
      <c r="B393" s="74" t="s">
        <v>1182</v>
      </c>
      <c r="C393" s="75">
        <v>46167.536111111112</v>
      </c>
      <c r="D393" s="74" t="s">
        <v>1192</v>
      </c>
      <c r="E393" s="74" t="s">
        <v>1181</v>
      </c>
      <c r="F393" s="74" t="s">
        <v>28</v>
      </c>
      <c r="G393" s="44"/>
      <c r="H393" s="44"/>
      <c r="I393" s="44"/>
      <c r="J393" s="44"/>
      <c r="P393" s="44"/>
      <c r="Q393" s="44"/>
      <c r="R393" s="44"/>
      <c r="S393" s="44"/>
    </row>
    <row r="394" spans="2:19" ht="15.75" customHeight="1">
      <c r="B394" s="74" t="s">
        <v>1179</v>
      </c>
      <c r="C394" s="75">
        <v>46167.54583333333</v>
      </c>
      <c r="D394" s="74" t="s">
        <v>1193</v>
      </c>
      <c r="E394" s="74" t="s">
        <v>1181</v>
      </c>
      <c r="F394" s="74" t="s">
        <v>28</v>
      </c>
      <c r="G394" s="44"/>
      <c r="H394" s="44"/>
      <c r="I394" s="44"/>
      <c r="J394" s="44"/>
      <c r="P394" s="44"/>
      <c r="Q394" s="44"/>
      <c r="R394" s="44"/>
      <c r="S394" s="44"/>
    </row>
    <row r="395" spans="2:19" ht="15.75" customHeight="1">
      <c r="B395" s="69" t="s">
        <v>659</v>
      </c>
      <c r="C395" s="70">
        <v>46167.738194444442</v>
      </c>
      <c r="D395" s="69" t="s">
        <v>1194</v>
      </c>
      <c r="E395" s="69" t="s">
        <v>365</v>
      </c>
      <c r="F395" s="69" t="s">
        <v>744</v>
      </c>
      <c r="G395" s="44"/>
      <c r="H395" s="44"/>
      <c r="I395" s="44"/>
      <c r="J395" s="44"/>
      <c r="P395" s="44"/>
      <c r="Q395" s="44"/>
      <c r="R395" s="44"/>
      <c r="S395" s="44"/>
    </row>
    <row r="396" spans="2:19" ht="15.75" customHeight="1">
      <c r="B396" s="74" t="s">
        <v>1179</v>
      </c>
      <c r="C396" s="75">
        <v>46167.8125</v>
      </c>
      <c r="D396" s="74" t="s">
        <v>1080</v>
      </c>
      <c r="E396" s="74" t="s">
        <v>1181</v>
      </c>
      <c r="F396" s="74" t="s">
        <v>28</v>
      </c>
      <c r="G396" s="44"/>
      <c r="H396" s="44"/>
      <c r="I396" s="44"/>
      <c r="J396" s="44"/>
      <c r="P396" s="44"/>
      <c r="Q396" s="44"/>
      <c r="R396" s="44"/>
      <c r="S396" s="44"/>
    </row>
    <row r="397" spans="2:19" ht="15.75" customHeight="1">
      <c r="B397" s="74" t="s">
        <v>1187</v>
      </c>
      <c r="C397" s="75">
        <v>46168.328472222223</v>
      </c>
      <c r="D397" s="74" t="s">
        <v>1195</v>
      </c>
      <c r="E397" s="74" t="s">
        <v>1181</v>
      </c>
      <c r="F397" s="74" t="s">
        <v>28</v>
      </c>
      <c r="G397" s="44"/>
      <c r="H397" s="44"/>
      <c r="I397" s="44"/>
      <c r="J397" s="44"/>
      <c r="P397" s="44"/>
      <c r="Q397" s="44"/>
      <c r="R397" s="44"/>
      <c r="S397" s="44"/>
    </row>
    <row r="398" spans="2:19" ht="15.75" customHeight="1">
      <c r="B398" s="74" t="s">
        <v>1179</v>
      </c>
      <c r="C398" s="75">
        <v>46168.371527777781</v>
      </c>
      <c r="D398" s="74" t="s">
        <v>152</v>
      </c>
      <c r="E398" s="74" t="s">
        <v>1181</v>
      </c>
      <c r="F398" s="74" t="s">
        <v>28</v>
      </c>
      <c r="G398" s="44"/>
      <c r="H398" s="44"/>
      <c r="I398" s="44"/>
      <c r="J398" s="44"/>
      <c r="P398" s="44"/>
      <c r="Q398" s="44"/>
      <c r="R398" s="44"/>
      <c r="S398" s="44"/>
    </row>
    <row r="399" spans="2:19" ht="15.75" customHeight="1">
      <c r="B399" s="74" t="s">
        <v>1196</v>
      </c>
      <c r="C399" s="75">
        <v>46168.55</v>
      </c>
      <c r="D399" s="74" t="s">
        <v>1197</v>
      </c>
      <c r="E399" s="74" t="s">
        <v>1181</v>
      </c>
      <c r="F399" s="74" t="s">
        <v>28</v>
      </c>
      <c r="G399" s="44"/>
      <c r="H399" s="44"/>
      <c r="I399" s="44"/>
      <c r="J399" s="44"/>
      <c r="P399" s="44"/>
      <c r="Q399" s="44"/>
      <c r="R399" s="44"/>
      <c r="S399" s="44"/>
    </row>
    <row r="400" spans="2:19" ht="15.75" customHeight="1">
      <c r="B400" s="69" t="s">
        <v>56</v>
      </c>
      <c r="C400" s="70">
        <v>46169.582638888889</v>
      </c>
      <c r="D400" s="69" t="s">
        <v>1198</v>
      </c>
      <c r="E400" s="69" t="s">
        <v>380</v>
      </c>
      <c r="F400" s="69" t="s">
        <v>774</v>
      </c>
      <c r="G400" s="77">
        <v>46174</v>
      </c>
      <c r="H400" s="77">
        <v>46174</v>
      </c>
      <c r="I400" s="76" t="s">
        <v>1181</v>
      </c>
      <c r="J400" s="76" t="s">
        <v>1199</v>
      </c>
      <c r="P400" s="77">
        <v>46174</v>
      </c>
      <c r="Q400" s="77">
        <v>46174</v>
      </c>
      <c r="R400" s="76" t="s">
        <v>1181</v>
      </c>
      <c r="S400" s="76" t="s">
        <v>1199</v>
      </c>
    </row>
    <row r="401" spans="1:19" ht="15.75" customHeight="1">
      <c r="B401" s="69" t="s">
        <v>56</v>
      </c>
      <c r="C401" s="70">
        <v>46169.674305555556</v>
      </c>
      <c r="D401" s="69" t="s">
        <v>1200</v>
      </c>
      <c r="E401" s="69" t="s">
        <v>473</v>
      </c>
      <c r="F401" s="69" t="s">
        <v>769</v>
      </c>
      <c r="G401" s="77">
        <v>46174</v>
      </c>
      <c r="H401" s="77">
        <v>46174</v>
      </c>
      <c r="I401" s="44"/>
      <c r="J401" s="44"/>
      <c r="P401" s="77">
        <v>46174</v>
      </c>
      <c r="Q401" s="77">
        <v>46174</v>
      </c>
      <c r="R401" s="44"/>
      <c r="S401" s="44"/>
    </row>
    <row r="402" spans="1:19" ht="15.75" customHeight="1">
      <c r="B402" s="69" t="s">
        <v>56</v>
      </c>
      <c r="C402" s="70">
        <v>46170.384722222225</v>
      </c>
      <c r="D402" s="69" t="s">
        <v>1201</v>
      </c>
      <c r="E402" s="69" t="s">
        <v>365</v>
      </c>
      <c r="F402" s="69" t="s">
        <v>744</v>
      </c>
      <c r="G402" s="77">
        <v>46174</v>
      </c>
      <c r="H402" s="77">
        <v>46174</v>
      </c>
      <c r="I402" s="44"/>
      <c r="J402" s="44"/>
      <c r="P402" s="77">
        <v>46174</v>
      </c>
      <c r="Q402" s="77">
        <v>46174</v>
      </c>
      <c r="R402" s="44"/>
      <c r="S402" s="44"/>
    </row>
    <row r="403" spans="1:19" ht="15.75" customHeight="1">
      <c r="B403" s="69" t="s">
        <v>56</v>
      </c>
      <c r="C403" s="70">
        <v>46171.654166666667</v>
      </c>
      <c r="D403" s="69" t="s">
        <v>1202</v>
      </c>
      <c r="E403" s="69" t="s">
        <v>365</v>
      </c>
      <c r="F403" s="69" t="s">
        <v>813</v>
      </c>
      <c r="G403" s="44"/>
      <c r="H403" s="44"/>
      <c r="I403" s="44"/>
      <c r="J403" s="44"/>
      <c r="P403" s="44"/>
      <c r="Q403" s="44"/>
      <c r="R403" s="44"/>
      <c r="S403" s="44"/>
    </row>
    <row r="404" spans="1:19" ht="15.75" customHeight="1">
      <c r="B404" s="69" t="s">
        <v>659</v>
      </c>
      <c r="C404" s="70">
        <v>46176.480555555558</v>
      </c>
      <c r="D404" s="69" t="s">
        <v>1203</v>
      </c>
      <c r="E404" s="69" t="s">
        <v>380</v>
      </c>
      <c r="F404" s="69" t="s">
        <v>774</v>
      </c>
      <c r="G404" s="44"/>
      <c r="H404" s="44"/>
      <c r="I404" s="44"/>
      <c r="J404" s="44"/>
      <c r="P404" s="44"/>
      <c r="Q404" s="44"/>
      <c r="R404" s="44"/>
      <c r="S404" s="44"/>
    </row>
    <row r="405" spans="1:19" ht="15.75" customHeight="1">
      <c r="B405" s="69" t="s">
        <v>56</v>
      </c>
      <c r="C405" s="70">
        <v>46177.740277777775</v>
      </c>
      <c r="D405" s="69" t="s">
        <v>1204</v>
      </c>
      <c r="E405" s="69" t="s">
        <v>135</v>
      </c>
      <c r="F405" s="69" t="s">
        <v>774</v>
      </c>
      <c r="G405" s="77">
        <v>46174</v>
      </c>
      <c r="H405" s="44"/>
      <c r="I405" s="44"/>
      <c r="J405" s="44"/>
      <c r="P405" s="77">
        <v>46174</v>
      </c>
      <c r="Q405" s="44"/>
      <c r="R405" s="44"/>
      <c r="S405" s="44"/>
    </row>
    <row r="406" spans="1:19" ht="15.75" customHeight="1">
      <c r="B406" s="69" t="s">
        <v>1205</v>
      </c>
      <c r="C406" s="70">
        <v>46181.480555555558</v>
      </c>
      <c r="D406" s="69" t="s">
        <v>1206</v>
      </c>
      <c r="E406" s="69"/>
      <c r="F406" s="69" t="s">
        <v>28</v>
      </c>
      <c r="G406" s="44"/>
      <c r="H406" s="44"/>
      <c r="I406" s="44"/>
      <c r="J406" s="44"/>
      <c r="P406" s="44"/>
      <c r="Q406" s="44"/>
      <c r="R406" s="44"/>
      <c r="S406" s="44"/>
    </row>
    <row r="407" spans="1:19" ht="15.75" customHeight="1">
      <c r="B407" s="69" t="s">
        <v>1207</v>
      </c>
      <c r="C407" s="70">
        <v>46181.592361111114</v>
      </c>
      <c r="D407" s="69" t="s">
        <v>1208</v>
      </c>
      <c r="E407" s="69" t="s">
        <v>135</v>
      </c>
      <c r="F407" s="69" t="s">
        <v>774</v>
      </c>
      <c r="G407" s="77">
        <v>46174</v>
      </c>
      <c r="H407" s="77">
        <v>46174</v>
      </c>
      <c r="I407" s="44"/>
      <c r="J407" s="44"/>
      <c r="P407" s="77">
        <v>46174</v>
      </c>
      <c r="Q407" s="77">
        <v>46174</v>
      </c>
      <c r="R407" s="44"/>
      <c r="S407" s="44"/>
    </row>
    <row r="408" spans="1:19" ht="15.75" customHeight="1">
      <c r="B408" s="69" t="s">
        <v>56</v>
      </c>
      <c r="C408" s="70">
        <v>46182.397916666669</v>
      </c>
      <c r="D408" s="69" t="s">
        <v>1209</v>
      </c>
      <c r="E408" s="69" t="s">
        <v>365</v>
      </c>
      <c r="F408" s="69" t="s">
        <v>813</v>
      </c>
      <c r="G408" s="44"/>
      <c r="H408" s="44"/>
      <c r="I408" s="44"/>
      <c r="J408" s="44"/>
      <c r="P408" s="44"/>
      <c r="Q408" s="44"/>
      <c r="R408" s="44"/>
      <c r="S408" s="44"/>
    </row>
    <row r="409" spans="1:19" ht="15.75" customHeight="1">
      <c r="B409" s="69" t="s">
        <v>56</v>
      </c>
      <c r="C409" s="70">
        <v>46182.425000000003</v>
      </c>
      <c r="D409" s="69" t="s">
        <v>1210</v>
      </c>
      <c r="E409" s="69" t="s">
        <v>365</v>
      </c>
      <c r="F409" s="69" t="s">
        <v>744</v>
      </c>
      <c r="G409" s="44"/>
      <c r="H409" s="44"/>
      <c r="I409" s="44"/>
      <c r="J409" s="44"/>
      <c r="P409" s="44"/>
      <c r="Q409" s="44"/>
      <c r="R409" s="44"/>
      <c r="S409" s="44"/>
    </row>
    <row r="410" spans="1:19" ht="15.75" customHeight="1">
      <c r="B410" s="69" t="s">
        <v>56</v>
      </c>
      <c r="C410" s="70">
        <v>46183.711805555555</v>
      </c>
      <c r="D410" s="69" t="s">
        <v>1211</v>
      </c>
      <c r="E410" s="69" t="s">
        <v>365</v>
      </c>
      <c r="F410" s="69" t="s">
        <v>747</v>
      </c>
      <c r="G410" s="44"/>
      <c r="H410" s="44"/>
      <c r="I410" s="44"/>
      <c r="J410" s="76" t="s">
        <v>1212</v>
      </c>
      <c r="P410" s="44"/>
      <c r="Q410" s="44"/>
      <c r="R410" s="44"/>
      <c r="S410" s="76" t="s">
        <v>1212</v>
      </c>
    </row>
    <row r="411" spans="1:19" ht="15.75" customHeight="1">
      <c r="B411" s="69" t="s">
        <v>659</v>
      </c>
      <c r="C411" s="70">
        <v>46184.384027777778</v>
      </c>
      <c r="D411" s="69" t="s">
        <v>1213</v>
      </c>
      <c r="E411" s="69" t="s">
        <v>365</v>
      </c>
      <c r="F411" s="69" t="s">
        <v>744</v>
      </c>
      <c r="G411" s="44"/>
      <c r="H411" s="44"/>
      <c r="I411" s="44"/>
      <c r="J411" s="44"/>
      <c r="P411" s="44"/>
      <c r="Q411" s="44"/>
      <c r="R411" s="44"/>
      <c r="S411" s="44"/>
    </row>
    <row r="412" spans="1:19" ht="15.75" customHeight="1">
      <c r="B412" s="69" t="s">
        <v>56</v>
      </c>
      <c r="C412" s="70">
        <v>46188.737500000003</v>
      </c>
      <c r="D412" s="69" t="s">
        <v>1214</v>
      </c>
      <c r="E412" s="69" t="s">
        <v>135</v>
      </c>
      <c r="F412" s="69" t="s">
        <v>774</v>
      </c>
      <c r="G412" s="44"/>
      <c r="H412" s="44"/>
      <c r="I412" s="44"/>
      <c r="J412" s="44"/>
      <c r="P412" s="44"/>
      <c r="Q412" s="44"/>
      <c r="R412" s="44"/>
      <c r="S412" s="44"/>
    </row>
    <row r="413" spans="1:19" ht="15.75" customHeight="1">
      <c r="B413" s="69" t="s">
        <v>56</v>
      </c>
      <c r="C413" s="70">
        <v>46191.44027777778</v>
      </c>
      <c r="D413" s="69" t="s">
        <v>1215</v>
      </c>
      <c r="E413" s="69" t="s">
        <v>365</v>
      </c>
      <c r="F413" s="69" t="s">
        <v>744</v>
      </c>
      <c r="G413" s="44"/>
      <c r="H413" s="44"/>
      <c r="I413" s="44"/>
      <c r="J413" s="44"/>
      <c r="P413" s="44"/>
      <c r="Q413" s="44"/>
      <c r="R413" s="44"/>
      <c r="S413" s="44"/>
    </row>
    <row r="414" spans="1:19" ht="15.75" customHeight="1">
      <c r="B414" s="69" t="s">
        <v>56</v>
      </c>
      <c r="C414" s="70">
        <v>46191.677083333336</v>
      </c>
      <c r="D414" s="69" t="s">
        <v>1216</v>
      </c>
      <c r="E414" s="69" t="s">
        <v>365</v>
      </c>
      <c r="F414" s="69" t="s">
        <v>774</v>
      </c>
      <c r="G414" s="44"/>
      <c r="H414" s="44"/>
      <c r="I414" s="44"/>
      <c r="J414" s="44"/>
      <c r="P414" s="44"/>
      <c r="Q414" s="44"/>
      <c r="R414" s="44"/>
      <c r="S414" s="44"/>
    </row>
    <row r="415" spans="1:19" ht="15.75" customHeight="1">
      <c r="B415" s="69" t="s">
        <v>84</v>
      </c>
      <c r="C415" s="70">
        <v>46191.703472222223</v>
      </c>
      <c r="D415" s="69" t="s">
        <v>1217</v>
      </c>
      <c r="E415" s="69" t="s">
        <v>365</v>
      </c>
      <c r="F415" s="69" t="s">
        <v>774</v>
      </c>
      <c r="G415" s="44"/>
      <c r="H415" s="44"/>
      <c r="I415" s="44"/>
      <c r="J415" s="44"/>
      <c r="P415" s="44"/>
      <c r="Q415" s="44"/>
      <c r="R415" s="44"/>
      <c r="S415" s="44"/>
    </row>
    <row r="416" spans="1:19" ht="15.75" customHeight="1">
      <c r="A416" s="36" t="s">
        <v>1218</v>
      </c>
      <c r="B416" s="69" t="s">
        <v>1219</v>
      </c>
      <c r="C416" s="70">
        <v>46195.417905092596</v>
      </c>
      <c r="D416" s="69" t="s">
        <v>1220</v>
      </c>
      <c r="E416" s="69"/>
      <c r="F416" s="69" t="s">
        <v>28</v>
      </c>
    </row>
    <row r="417" spans="2:6" ht="15.75" customHeight="1">
      <c r="B417" s="69" t="s">
        <v>56</v>
      </c>
      <c r="C417" s="70">
        <v>46195.667604166665</v>
      </c>
      <c r="D417" s="69" t="s">
        <v>270</v>
      </c>
      <c r="E417" s="69" t="s">
        <v>365</v>
      </c>
      <c r="F417" s="69" t="s">
        <v>752</v>
      </c>
    </row>
    <row r="418" spans="2:6" ht="15.75" customHeight="1">
      <c r="B418" s="69" t="s">
        <v>56</v>
      </c>
      <c r="C418" s="70">
        <v>46195.670393518521</v>
      </c>
      <c r="D418" s="69" t="s">
        <v>1221</v>
      </c>
      <c r="E418" s="69" t="s">
        <v>365</v>
      </c>
      <c r="F418" s="69" t="s">
        <v>747</v>
      </c>
    </row>
    <row r="419" spans="2:6" ht="15.75" customHeight="1">
      <c r="B419" s="69" t="s">
        <v>1222</v>
      </c>
      <c r="C419" s="70">
        <v>46195.687175925923</v>
      </c>
      <c r="D419" s="69" t="s">
        <v>1223</v>
      </c>
      <c r="E419" s="69"/>
      <c r="F419" s="69" t="s">
        <v>28</v>
      </c>
    </row>
    <row r="420" spans="2:6" ht="15.75" customHeight="1">
      <c r="B420" s="69" t="s">
        <v>56</v>
      </c>
      <c r="C420" s="70">
        <v>46196.406284722223</v>
      </c>
      <c r="D420" s="69" t="s">
        <v>1224</v>
      </c>
      <c r="E420" s="69" t="s">
        <v>365</v>
      </c>
      <c r="F420" s="69" t="s">
        <v>752</v>
      </c>
    </row>
    <row r="421" spans="2:6" ht="15.75" customHeight="1">
      <c r="B421" s="69" t="s">
        <v>659</v>
      </c>
      <c r="C421" s="70">
        <v>46199.570613425924</v>
      </c>
      <c r="D421" s="69" t="s">
        <v>1225</v>
      </c>
      <c r="E421" s="69" t="s">
        <v>365</v>
      </c>
      <c r="F421" s="69" t="s">
        <v>744</v>
      </c>
    </row>
    <row r="422" spans="2:6" ht="15.75" customHeight="1">
      <c r="B422" s="69" t="s">
        <v>56</v>
      </c>
      <c r="C422" s="70">
        <v>46202.496759259258</v>
      </c>
      <c r="D422" s="69" t="s">
        <v>1226</v>
      </c>
      <c r="E422" s="69" t="s">
        <v>365</v>
      </c>
      <c r="F422" s="69" t="s">
        <v>769</v>
      </c>
    </row>
    <row r="423" spans="2:6" ht="15.75" customHeight="1">
      <c r="B423" s="69" t="s">
        <v>56</v>
      </c>
      <c r="C423" s="70">
        <v>46202.602719907409</v>
      </c>
      <c r="D423" s="69" t="s">
        <v>1227</v>
      </c>
      <c r="E423" s="69" t="s">
        <v>365</v>
      </c>
      <c r="F423" s="69" t="s">
        <v>752</v>
      </c>
    </row>
    <row r="424" spans="2:6" ht="15.75" customHeight="1">
      <c r="B424" s="69" t="s">
        <v>724</v>
      </c>
      <c r="C424" s="70">
        <v>46203.362662037034</v>
      </c>
      <c r="D424" s="69" t="s">
        <v>1228</v>
      </c>
      <c r="E424" s="69" t="s">
        <v>365</v>
      </c>
      <c r="F424" s="69" t="s">
        <v>744</v>
      </c>
    </row>
    <row r="425" spans="2:6" ht="15.75" customHeight="1">
      <c r="B425" s="69" t="s">
        <v>84</v>
      </c>
      <c r="C425" s="70">
        <v>46203.674930555557</v>
      </c>
      <c r="D425" s="69" t="s">
        <v>1229</v>
      </c>
      <c r="E425" s="69" t="s">
        <v>365</v>
      </c>
      <c r="F425" s="69" t="s">
        <v>752</v>
      </c>
    </row>
  </sheetData>
  <autoFilter ref="A1:U425" xr:uid="{83AA3BB9-FE36-4E3D-967A-8BE207336E73}"/>
  <sortState xmlns:xlrd2="http://schemas.microsoft.com/office/spreadsheetml/2017/richdata2" ref="A2:S258">
    <sortCondition ref="C2:C258"/>
  </sortState>
  <phoneticPr fontId="18"/>
  <conditionalFormatting sqref="D426:D1048576 D320:D326 D1:D314">
    <cfRule type="duplicateValues" dxfId="4" priority="12"/>
  </conditionalFormatting>
  <conditionalFormatting sqref="D426:D1048576 D320:D326 D306:D308 D276 D1:D270 D310">
    <cfRule type="duplicateValues" dxfId="3" priority="15"/>
  </conditionalFormatting>
  <conditionalFormatting sqref="N277">
    <cfRule type="cellIs" dxfId="2" priority="2" operator="greaterThan">
      <formula>0</formula>
    </cfRule>
  </conditionalFormatting>
  <conditionalFormatting sqref="U263:U268">
    <cfRule type="duplicateValues" dxfId="1" priority="3"/>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83BA4-D72D-4EA9-A39E-12122B2710D1}">
  <dimension ref="A1:S245"/>
  <sheetViews>
    <sheetView zoomScale="80" zoomScaleNormal="80" workbookViewId="0">
      <pane ySplit="1" topLeftCell="A2" activePane="bottomLeft" state="frozen"/>
      <selection pane="bottomLeft" activeCell="H1" sqref="H1"/>
    </sheetView>
  </sheetViews>
  <sheetFormatPr defaultRowHeight="15.75" customHeight="1"/>
  <cols>
    <col min="1" max="1" width="16.875" customWidth="1"/>
    <col min="2" max="2" width="16.125" style="8" customWidth="1"/>
    <col min="3" max="3" width="38" customWidth="1"/>
    <col min="4" max="4" width="28.125" bestFit="1" customWidth="1"/>
    <col min="12" max="13" width="8.625"/>
  </cols>
  <sheetData>
    <row r="1" spans="1:19" ht="18.75">
      <c r="A1" s="17" t="s">
        <v>39</v>
      </c>
      <c r="B1" s="17" t="s">
        <v>40</v>
      </c>
      <c r="C1" s="17" t="s">
        <v>41</v>
      </c>
      <c r="D1" s="17" t="s">
        <v>42</v>
      </c>
      <c r="E1" s="17" t="s">
        <v>43</v>
      </c>
      <c r="F1" s="17" t="s">
        <v>44</v>
      </c>
      <c r="G1" s="17" t="s">
        <v>45</v>
      </c>
      <c r="H1" s="17" t="s">
        <v>23</v>
      </c>
      <c r="I1" s="17" t="s">
        <v>24</v>
      </c>
      <c r="J1" s="17" t="s">
        <v>25</v>
      </c>
      <c r="K1" s="17" t="s">
        <v>26</v>
      </c>
      <c r="L1" s="17" t="s">
        <v>27</v>
      </c>
      <c r="M1" s="17" t="s">
        <v>28</v>
      </c>
      <c r="N1" s="17" t="s">
        <v>29</v>
      </c>
      <c r="O1" s="17" t="s">
        <v>30</v>
      </c>
      <c r="R1" t="s">
        <v>1230</v>
      </c>
      <c r="S1" t="s">
        <v>1231</v>
      </c>
    </row>
    <row r="2" spans="1:19" ht="18.75">
      <c r="A2" s="17" t="s">
        <v>56</v>
      </c>
      <c r="B2" s="18">
        <v>45558.752083333333</v>
      </c>
      <c r="C2" s="17" t="s">
        <v>57</v>
      </c>
      <c r="D2" s="17" t="s">
        <v>58</v>
      </c>
      <c r="E2" s="17" t="s">
        <v>59</v>
      </c>
      <c r="F2" s="17" t="s">
        <v>55</v>
      </c>
      <c r="G2" s="17" t="s">
        <v>26</v>
      </c>
      <c r="H2" s="17"/>
      <c r="I2" s="17">
        <v>0</v>
      </c>
      <c r="J2" s="17">
        <v>0</v>
      </c>
      <c r="K2" s="17">
        <v>1</v>
      </c>
      <c r="L2" s="17">
        <v>0</v>
      </c>
      <c r="M2" s="17">
        <v>0</v>
      </c>
      <c r="N2" s="17">
        <v>0</v>
      </c>
      <c r="O2" s="17">
        <v>0</v>
      </c>
    </row>
    <row r="3" spans="1:19" ht="18.75">
      <c r="A3" s="17" t="s">
        <v>56</v>
      </c>
      <c r="B3" s="18">
        <v>45566.593055555553</v>
      </c>
      <c r="C3" s="17" t="s">
        <v>63</v>
      </c>
      <c r="D3" s="17" t="s">
        <v>64</v>
      </c>
      <c r="E3" s="17" t="s">
        <v>65</v>
      </c>
      <c r="F3" s="17" t="s">
        <v>55</v>
      </c>
      <c r="G3" s="17" t="s">
        <v>25</v>
      </c>
      <c r="H3" s="17"/>
      <c r="I3" s="17">
        <v>0</v>
      </c>
      <c r="J3" s="17">
        <v>1</v>
      </c>
      <c r="K3" s="17">
        <v>0</v>
      </c>
      <c r="L3" s="17">
        <v>0</v>
      </c>
      <c r="M3" s="17">
        <v>0</v>
      </c>
      <c r="N3" s="17">
        <v>0</v>
      </c>
      <c r="O3" s="17">
        <v>0</v>
      </c>
    </row>
    <row r="4" spans="1:19" ht="18.75">
      <c r="A4" s="17" t="s">
        <v>56</v>
      </c>
      <c r="B4" s="18">
        <v>45566.593055555553</v>
      </c>
      <c r="C4" s="17" t="s">
        <v>63</v>
      </c>
      <c r="D4" s="17" t="s">
        <v>64</v>
      </c>
      <c r="E4" s="17" t="s">
        <v>65</v>
      </c>
      <c r="F4" s="17" t="s">
        <v>55</v>
      </c>
      <c r="G4" s="17" t="s">
        <v>26</v>
      </c>
      <c r="H4" s="17"/>
      <c r="I4" s="17">
        <v>0</v>
      </c>
      <c r="J4" s="17">
        <v>0</v>
      </c>
      <c r="K4" s="17">
        <v>1</v>
      </c>
      <c r="L4" s="17">
        <v>0</v>
      </c>
      <c r="M4" s="17">
        <v>0</v>
      </c>
      <c r="N4" s="17">
        <v>0</v>
      </c>
      <c r="O4" s="17">
        <v>0</v>
      </c>
      <c r="R4" s="7" t="s">
        <v>1232</v>
      </c>
      <c r="S4" s="7" t="s">
        <v>1233</v>
      </c>
    </row>
    <row r="5" spans="1:19" ht="18.75">
      <c r="A5" s="17" t="s">
        <v>56</v>
      </c>
      <c r="B5" s="18">
        <v>45593.417361111111</v>
      </c>
      <c r="C5" s="17" t="s">
        <v>75</v>
      </c>
      <c r="D5" s="17" t="s">
        <v>76</v>
      </c>
      <c r="E5" s="17" t="s">
        <v>77</v>
      </c>
      <c r="F5" s="17" t="s">
        <v>55</v>
      </c>
      <c r="G5" s="17" t="s">
        <v>26</v>
      </c>
      <c r="H5" s="17"/>
      <c r="I5" s="17">
        <v>0</v>
      </c>
      <c r="J5" s="17">
        <v>0</v>
      </c>
      <c r="K5" s="17">
        <v>1</v>
      </c>
      <c r="L5" s="17">
        <v>0</v>
      </c>
      <c r="M5" s="17">
        <v>0</v>
      </c>
      <c r="N5" s="17">
        <v>0</v>
      </c>
      <c r="O5" s="17">
        <v>0</v>
      </c>
      <c r="R5" s="7" t="s">
        <v>1234</v>
      </c>
      <c r="S5" s="7" t="s">
        <v>1235</v>
      </c>
    </row>
    <row r="6" spans="1:19" ht="18.75">
      <c r="A6" s="17" t="s">
        <v>56</v>
      </c>
      <c r="B6" s="18">
        <v>45593.417361111111</v>
      </c>
      <c r="C6" s="17" t="s">
        <v>75</v>
      </c>
      <c r="D6" s="17" t="s">
        <v>76</v>
      </c>
      <c r="E6" s="17" t="s">
        <v>77</v>
      </c>
      <c r="F6" s="17" t="s">
        <v>55</v>
      </c>
      <c r="G6" s="17" t="s">
        <v>27</v>
      </c>
      <c r="H6" s="17"/>
      <c r="I6" s="17">
        <v>0</v>
      </c>
      <c r="J6" s="17">
        <v>0</v>
      </c>
      <c r="K6" s="17">
        <v>0</v>
      </c>
      <c r="L6" s="17">
        <v>1</v>
      </c>
      <c r="M6" s="17">
        <v>0</v>
      </c>
      <c r="N6" s="17">
        <v>0</v>
      </c>
      <c r="O6" s="17">
        <v>0</v>
      </c>
    </row>
    <row r="7" spans="1:19" ht="18.75">
      <c r="A7" s="17" t="s">
        <v>56</v>
      </c>
      <c r="B7" s="18">
        <v>45593.417361111111</v>
      </c>
      <c r="C7" s="17" t="s">
        <v>75</v>
      </c>
      <c r="D7" s="17" t="s">
        <v>76</v>
      </c>
      <c r="E7" s="17" t="s">
        <v>77</v>
      </c>
      <c r="F7" s="17" t="s">
        <v>55</v>
      </c>
      <c r="G7" s="17" t="s">
        <v>29</v>
      </c>
      <c r="H7" s="17"/>
      <c r="I7" s="17">
        <v>0</v>
      </c>
      <c r="J7" s="17">
        <v>0</v>
      </c>
      <c r="K7" s="17">
        <v>0</v>
      </c>
      <c r="L7" s="17">
        <v>0</v>
      </c>
      <c r="M7" s="17">
        <v>0</v>
      </c>
      <c r="N7" s="17">
        <v>1</v>
      </c>
      <c r="O7" s="17">
        <v>0</v>
      </c>
    </row>
    <row r="8" spans="1:19" ht="18.75">
      <c r="A8" s="17" t="s">
        <v>56</v>
      </c>
      <c r="B8" s="18">
        <v>45594.60833333333</v>
      </c>
      <c r="C8" s="17" t="s">
        <v>78</v>
      </c>
      <c r="D8" s="17" t="s">
        <v>79</v>
      </c>
      <c r="E8" s="17" t="s">
        <v>80</v>
      </c>
      <c r="F8" s="17" t="s">
        <v>55</v>
      </c>
      <c r="G8" s="17" t="s">
        <v>24</v>
      </c>
      <c r="H8" s="17"/>
      <c r="I8" s="17">
        <v>1</v>
      </c>
      <c r="J8" s="17">
        <v>0</v>
      </c>
      <c r="K8" s="17">
        <v>0</v>
      </c>
      <c r="L8" s="17">
        <v>0</v>
      </c>
      <c r="M8" s="17">
        <v>0</v>
      </c>
      <c r="N8" s="17">
        <v>0</v>
      </c>
      <c r="O8" s="17">
        <v>0</v>
      </c>
    </row>
    <row r="9" spans="1:19" ht="18.75">
      <c r="A9" s="17" t="s">
        <v>56</v>
      </c>
      <c r="B9" s="18">
        <v>45595.786111111112</v>
      </c>
      <c r="C9" s="17" t="s">
        <v>81</v>
      </c>
      <c r="D9" s="17" t="s">
        <v>82</v>
      </c>
      <c r="E9" s="17" t="s">
        <v>83</v>
      </c>
      <c r="F9" s="17" t="s">
        <v>55</v>
      </c>
      <c r="G9" s="17" t="s">
        <v>26</v>
      </c>
      <c r="H9" s="17"/>
      <c r="I9" s="17">
        <v>0</v>
      </c>
      <c r="J9" s="17">
        <v>0</v>
      </c>
      <c r="K9" s="17">
        <v>1</v>
      </c>
      <c r="L9" s="17">
        <v>0</v>
      </c>
      <c r="M9" s="17">
        <v>0</v>
      </c>
      <c r="N9" s="17">
        <v>0</v>
      </c>
      <c r="O9" s="17">
        <v>0</v>
      </c>
      <c r="R9" s="7" t="s">
        <v>1232</v>
      </c>
      <c r="S9" s="7" t="s">
        <v>1236</v>
      </c>
    </row>
    <row r="10" spans="1:19" ht="18.75">
      <c r="A10" s="17" t="s">
        <v>56</v>
      </c>
      <c r="B10" s="18">
        <v>45601.701388888891</v>
      </c>
      <c r="C10" s="17" t="s">
        <v>93</v>
      </c>
      <c r="D10" s="17" t="s">
        <v>94</v>
      </c>
      <c r="E10" s="17" t="s">
        <v>95</v>
      </c>
      <c r="F10" s="17" t="s">
        <v>55</v>
      </c>
      <c r="G10" s="17" t="s">
        <v>25</v>
      </c>
      <c r="H10" s="17"/>
      <c r="I10" s="17">
        <v>0</v>
      </c>
      <c r="J10" s="17">
        <v>1</v>
      </c>
      <c r="K10" s="17">
        <v>0</v>
      </c>
      <c r="L10" s="17">
        <v>0</v>
      </c>
      <c r="M10" s="17">
        <v>0</v>
      </c>
      <c r="N10" s="17">
        <v>0</v>
      </c>
      <c r="O10" s="17">
        <v>0</v>
      </c>
    </row>
    <row r="11" spans="1:19" ht="18.75">
      <c r="A11" s="17" t="s">
        <v>56</v>
      </c>
      <c r="B11" s="18">
        <v>45601.701388888891</v>
      </c>
      <c r="C11" s="17" t="s">
        <v>93</v>
      </c>
      <c r="D11" s="17" t="s">
        <v>94</v>
      </c>
      <c r="E11" s="17" t="s">
        <v>95</v>
      </c>
      <c r="F11" s="17" t="s">
        <v>55</v>
      </c>
      <c r="G11" s="17" t="s">
        <v>29</v>
      </c>
      <c r="H11" s="17"/>
      <c r="I11" s="17">
        <v>0</v>
      </c>
      <c r="J11" s="17">
        <v>0</v>
      </c>
      <c r="K11" s="17">
        <v>0</v>
      </c>
      <c r="L11" s="17">
        <v>0</v>
      </c>
      <c r="M11" s="17">
        <v>0</v>
      </c>
      <c r="N11" s="17">
        <v>1</v>
      </c>
      <c r="O11" s="17">
        <v>0</v>
      </c>
      <c r="R11" s="7" t="s">
        <v>1234</v>
      </c>
      <c r="S11" s="7" t="s">
        <v>1237</v>
      </c>
    </row>
    <row r="12" spans="1:19" ht="18.75">
      <c r="A12" s="17" t="s">
        <v>56</v>
      </c>
      <c r="B12" s="18">
        <v>45602.65902777778</v>
      </c>
      <c r="C12" s="17" t="s">
        <v>99</v>
      </c>
      <c r="D12" s="17" t="s">
        <v>100</v>
      </c>
      <c r="E12" s="17" t="s">
        <v>101</v>
      </c>
      <c r="F12" s="17" t="s">
        <v>55</v>
      </c>
      <c r="G12" s="17" t="s">
        <v>29</v>
      </c>
      <c r="H12" s="17"/>
      <c r="I12" s="17">
        <v>0</v>
      </c>
      <c r="J12" s="17">
        <v>0</v>
      </c>
      <c r="K12" s="17">
        <v>0</v>
      </c>
      <c r="L12" s="17">
        <v>0</v>
      </c>
      <c r="M12" s="17">
        <v>0</v>
      </c>
      <c r="N12" s="17">
        <v>1</v>
      </c>
      <c r="O12" s="17">
        <v>0</v>
      </c>
      <c r="R12" s="7" t="s">
        <v>1234</v>
      </c>
      <c r="S12" s="7" t="s">
        <v>1238</v>
      </c>
    </row>
    <row r="13" spans="1:19" ht="18.75">
      <c r="A13" s="17" t="s">
        <v>56</v>
      </c>
      <c r="B13" s="18">
        <v>45602.663888888892</v>
      </c>
      <c r="C13" s="17" t="s">
        <v>102</v>
      </c>
      <c r="D13" s="17" t="s">
        <v>103</v>
      </c>
      <c r="E13" s="17" t="s">
        <v>104</v>
      </c>
      <c r="F13" s="17" t="s">
        <v>55</v>
      </c>
      <c r="G13" s="17" t="s">
        <v>27</v>
      </c>
      <c r="H13" s="17"/>
      <c r="I13" s="17">
        <v>0</v>
      </c>
      <c r="J13" s="17">
        <v>0</v>
      </c>
      <c r="K13" s="17">
        <v>0</v>
      </c>
      <c r="L13" s="17">
        <v>1</v>
      </c>
      <c r="M13" s="17">
        <v>0</v>
      </c>
      <c r="N13" s="17">
        <v>0</v>
      </c>
      <c r="O13" s="17">
        <v>0</v>
      </c>
      <c r="R13" s="7" t="s">
        <v>1232</v>
      </c>
      <c r="S13" s="7" t="s">
        <v>1239</v>
      </c>
    </row>
    <row r="14" spans="1:19" ht="18.75">
      <c r="A14" s="17" t="s">
        <v>56</v>
      </c>
      <c r="B14" s="18">
        <v>45602.663888888892</v>
      </c>
      <c r="C14" s="17" t="s">
        <v>102</v>
      </c>
      <c r="D14" s="17" t="s">
        <v>103</v>
      </c>
      <c r="E14" s="17" t="s">
        <v>104</v>
      </c>
      <c r="F14" s="17" t="s">
        <v>55</v>
      </c>
      <c r="G14" s="17" t="s">
        <v>29</v>
      </c>
      <c r="H14" s="17"/>
      <c r="I14" s="17">
        <v>0</v>
      </c>
      <c r="J14" s="17">
        <v>0</v>
      </c>
      <c r="K14" s="17">
        <v>0</v>
      </c>
      <c r="L14" s="17">
        <v>0</v>
      </c>
      <c r="M14" s="17">
        <v>0</v>
      </c>
      <c r="N14" s="17">
        <v>1</v>
      </c>
      <c r="O14" s="17">
        <v>0</v>
      </c>
    </row>
    <row r="15" spans="1:19" ht="18.75">
      <c r="A15" s="17" t="s">
        <v>56</v>
      </c>
      <c r="B15" s="18">
        <v>45603.396527777775</v>
      </c>
      <c r="C15" s="17" t="s">
        <v>108</v>
      </c>
      <c r="D15" s="17" t="s">
        <v>109</v>
      </c>
      <c r="E15" s="17" t="s">
        <v>110</v>
      </c>
      <c r="F15" s="17" t="s">
        <v>111</v>
      </c>
      <c r="G15" s="17" t="s">
        <v>25</v>
      </c>
      <c r="H15" s="17"/>
      <c r="I15" s="17">
        <v>0</v>
      </c>
      <c r="J15" s="17">
        <v>1</v>
      </c>
      <c r="K15" s="17">
        <v>0</v>
      </c>
      <c r="L15" s="17">
        <v>0</v>
      </c>
      <c r="M15" s="17">
        <v>0</v>
      </c>
      <c r="N15" s="17">
        <v>0</v>
      </c>
      <c r="O15" s="17">
        <v>0</v>
      </c>
      <c r="R15" s="9"/>
      <c r="S15" s="9" t="s">
        <v>1240</v>
      </c>
    </row>
    <row r="16" spans="1:19" ht="18.75">
      <c r="A16" s="17" t="s">
        <v>56</v>
      </c>
      <c r="B16" s="18">
        <v>45603.396527777775</v>
      </c>
      <c r="C16" s="17" t="s">
        <v>108</v>
      </c>
      <c r="D16" s="17" t="s">
        <v>109</v>
      </c>
      <c r="E16" s="17" t="s">
        <v>110</v>
      </c>
      <c r="F16" s="17" t="s">
        <v>111</v>
      </c>
      <c r="G16" s="17" t="s">
        <v>26</v>
      </c>
      <c r="H16" s="17"/>
      <c r="I16" s="17">
        <v>0</v>
      </c>
      <c r="J16" s="17">
        <v>0</v>
      </c>
      <c r="K16" s="17">
        <v>1</v>
      </c>
      <c r="L16" s="17">
        <v>0</v>
      </c>
      <c r="M16" s="17">
        <v>0</v>
      </c>
      <c r="N16" s="17">
        <v>0</v>
      </c>
      <c r="O16" s="17">
        <v>0</v>
      </c>
      <c r="R16" s="7"/>
      <c r="S16" s="7"/>
    </row>
    <row r="17" spans="1:19" ht="18.75">
      <c r="A17" s="17" t="s">
        <v>56</v>
      </c>
      <c r="B17" s="18">
        <v>45603.664583333331</v>
      </c>
      <c r="C17" s="17" t="s">
        <v>1241</v>
      </c>
      <c r="D17" s="17" t="s">
        <v>1242</v>
      </c>
      <c r="E17" s="17" t="s">
        <v>1243</v>
      </c>
      <c r="F17" s="17" t="s">
        <v>111</v>
      </c>
      <c r="G17" s="17" t="s">
        <v>27</v>
      </c>
      <c r="H17" s="17"/>
      <c r="I17" s="17">
        <v>0</v>
      </c>
      <c r="J17" s="17">
        <v>0</v>
      </c>
      <c r="K17" s="17">
        <v>0</v>
      </c>
      <c r="L17" s="17">
        <v>1</v>
      </c>
      <c r="M17" s="17">
        <v>0</v>
      </c>
      <c r="N17" s="17">
        <v>0</v>
      </c>
      <c r="O17" s="17">
        <v>0</v>
      </c>
    </row>
    <row r="18" spans="1:19" ht="18.75">
      <c r="A18" s="17" t="s">
        <v>56</v>
      </c>
      <c r="B18" s="18">
        <v>45603.664583333331</v>
      </c>
      <c r="C18" s="17" t="s">
        <v>1241</v>
      </c>
      <c r="D18" s="17" t="s">
        <v>1242</v>
      </c>
      <c r="E18" s="17" t="s">
        <v>1243</v>
      </c>
      <c r="F18" s="17" t="s">
        <v>111</v>
      </c>
      <c r="G18" s="17" t="s">
        <v>29</v>
      </c>
      <c r="H18" s="17"/>
      <c r="I18" s="17">
        <v>0</v>
      </c>
      <c r="J18" s="17">
        <v>0</v>
      </c>
      <c r="K18" s="17">
        <v>0</v>
      </c>
      <c r="L18" s="17">
        <v>0</v>
      </c>
      <c r="M18" s="17">
        <v>0</v>
      </c>
      <c r="N18" s="17">
        <v>1</v>
      </c>
      <c r="O18" s="17">
        <v>0</v>
      </c>
      <c r="S18" s="7" t="s">
        <v>1244</v>
      </c>
    </row>
    <row r="19" spans="1:19" ht="18.75">
      <c r="A19" s="17" t="s">
        <v>56</v>
      </c>
      <c r="B19" s="18">
        <v>45609.947916666664</v>
      </c>
      <c r="C19" s="17" t="s">
        <v>132</v>
      </c>
      <c r="D19" s="17" t="s">
        <v>133</v>
      </c>
      <c r="E19" s="17" t="s">
        <v>134</v>
      </c>
      <c r="F19" s="17" t="s">
        <v>135</v>
      </c>
      <c r="G19" s="17" t="s">
        <v>24</v>
      </c>
      <c r="H19" s="17"/>
      <c r="I19" s="17">
        <v>1</v>
      </c>
      <c r="J19" s="17">
        <v>0</v>
      </c>
      <c r="K19" s="17">
        <v>0</v>
      </c>
      <c r="L19" s="17">
        <v>0</v>
      </c>
      <c r="M19" s="17">
        <v>0</v>
      </c>
      <c r="N19" s="17">
        <v>0</v>
      </c>
      <c r="O19" s="17">
        <v>0</v>
      </c>
      <c r="R19" s="7" t="s">
        <v>1232</v>
      </c>
      <c r="S19" s="7" t="s">
        <v>1245</v>
      </c>
    </row>
    <row r="20" spans="1:19" ht="18.75">
      <c r="A20" s="17" t="s">
        <v>56</v>
      </c>
      <c r="B20" s="18">
        <v>45609.947916666664</v>
      </c>
      <c r="C20" s="17" t="s">
        <v>132</v>
      </c>
      <c r="D20" s="17" t="s">
        <v>133</v>
      </c>
      <c r="E20" s="17" t="s">
        <v>134</v>
      </c>
      <c r="F20" s="17" t="s">
        <v>135</v>
      </c>
      <c r="G20" s="17" t="s">
        <v>26</v>
      </c>
      <c r="H20" s="17"/>
      <c r="I20" s="17">
        <v>0</v>
      </c>
      <c r="J20" s="17">
        <v>0</v>
      </c>
      <c r="K20" s="17">
        <v>1</v>
      </c>
      <c r="L20" s="17">
        <v>0</v>
      </c>
      <c r="M20" s="17">
        <v>0</v>
      </c>
      <c r="N20" s="17">
        <v>0</v>
      </c>
      <c r="O20" s="17">
        <v>0</v>
      </c>
      <c r="R20" s="7" t="s">
        <v>1232</v>
      </c>
      <c r="S20" s="7" t="s">
        <v>1246</v>
      </c>
    </row>
    <row r="21" spans="1:19" ht="18.75">
      <c r="A21" s="17" t="s">
        <v>56</v>
      </c>
      <c r="B21" s="18">
        <v>45609.947916666664</v>
      </c>
      <c r="C21" s="17" t="s">
        <v>132</v>
      </c>
      <c r="D21" s="17" t="s">
        <v>133</v>
      </c>
      <c r="E21" s="17" t="s">
        <v>134</v>
      </c>
      <c r="F21" s="17" t="s">
        <v>135</v>
      </c>
      <c r="G21" s="17" t="s">
        <v>29</v>
      </c>
      <c r="H21" s="17"/>
      <c r="I21" s="17">
        <v>0</v>
      </c>
      <c r="J21" s="17">
        <v>0</v>
      </c>
      <c r="K21" s="17">
        <v>0</v>
      </c>
      <c r="L21" s="17">
        <v>0</v>
      </c>
      <c r="M21" s="17">
        <v>0</v>
      </c>
      <c r="N21" s="17">
        <v>1</v>
      </c>
      <c r="O21" s="17">
        <v>0</v>
      </c>
    </row>
    <row r="22" spans="1:19" ht="18.75">
      <c r="A22" s="17" t="s">
        <v>56</v>
      </c>
      <c r="B22" s="18">
        <v>45614.20208333333</v>
      </c>
      <c r="C22" s="17" t="s">
        <v>142</v>
      </c>
      <c r="D22" s="17" t="s">
        <v>143</v>
      </c>
      <c r="E22" s="17" t="s">
        <v>144</v>
      </c>
      <c r="F22" s="17" t="s">
        <v>135</v>
      </c>
      <c r="G22" s="17" t="s">
        <v>25</v>
      </c>
      <c r="H22" s="17"/>
      <c r="I22" s="17">
        <v>0</v>
      </c>
      <c r="J22" s="17">
        <v>1</v>
      </c>
      <c r="K22" s="17">
        <v>0</v>
      </c>
      <c r="L22" s="17">
        <v>0</v>
      </c>
      <c r="M22" s="17">
        <v>0</v>
      </c>
      <c r="N22" s="17">
        <v>0</v>
      </c>
      <c r="O22" s="17">
        <v>0</v>
      </c>
    </row>
    <row r="23" spans="1:19" ht="18.75">
      <c r="A23" s="17" t="s">
        <v>56</v>
      </c>
      <c r="B23" s="18">
        <v>45636.399305555555</v>
      </c>
      <c r="C23" s="17" t="s">
        <v>170</v>
      </c>
      <c r="D23" s="17" t="s">
        <v>171</v>
      </c>
      <c r="E23" s="17" t="s">
        <v>172</v>
      </c>
      <c r="F23" s="17" t="s">
        <v>119</v>
      </c>
      <c r="G23" s="17" t="s">
        <v>29</v>
      </c>
      <c r="H23" s="17"/>
      <c r="I23" s="17">
        <v>0</v>
      </c>
      <c r="J23" s="17">
        <v>0</v>
      </c>
      <c r="K23" s="17">
        <v>0</v>
      </c>
      <c r="L23" s="17">
        <v>0</v>
      </c>
      <c r="M23" s="17">
        <v>0</v>
      </c>
      <c r="N23" s="17">
        <v>1</v>
      </c>
      <c r="O23" s="17">
        <v>0</v>
      </c>
    </row>
    <row r="24" spans="1:19" ht="18.75">
      <c r="A24" s="17" t="s">
        <v>56</v>
      </c>
      <c r="B24" s="18">
        <v>45642.424305555556</v>
      </c>
      <c r="C24" s="17" t="s">
        <v>179</v>
      </c>
      <c r="D24" s="17" t="s">
        <v>180</v>
      </c>
      <c r="E24" s="17" t="s">
        <v>181</v>
      </c>
      <c r="F24" s="17" t="s">
        <v>135</v>
      </c>
      <c r="G24" s="17" t="s">
        <v>25</v>
      </c>
      <c r="H24" s="17"/>
      <c r="I24" s="17">
        <v>0</v>
      </c>
      <c r="J24" s="17">
        <v>1</v>
      </c>
      <c r="K24" s="17">
        <v>0</v>
      </c>
      <c r="L24" s="17">
        <v>0</v>
      </c>
      <c r="M24" s="17">
        <v>0</v>
      </c>
      <c r="N24" s="17">
        <v>0</v>
      </c>
      <c r="O24" s="17">
        <v>0</v>
      </c>
    </row>
    <row r="25" spans="1:19" ht="18.75">
      <c r="A25" s="17" t="s">
        <v>56</v>
      </c>
      <c r="B25" s="18">
        <v>45642.424305555556</v>
      </c>
      <c r="C25" s="17" t="s">
        <v>179</v>
      </c>
      <c r="D25" s="17" t="s">
        <v>180</v>
      </c>
      <c r="E25" s="17" t="s">
        <v>181</v>
      </c>
      <c r="F25" s="17" t="s">
        <v>135</v>
      </c>
      <c r="G25" s="17" t="s">
        <v>27</v>
      </c>
      <c r="H25" s="17"/>
      <c r="I25" s="17">
        <v>0</v>
      </c>
      <c r="J25" s="17">
        <v>0</v>
      </c>
      <c r="K25" s="17">
        <v>0</v>
      </c>
      <c r="L25" s="17">
        <v>1</v>
      </c>
      <c r="M25" s="17">
        <v>0</v>
      </c>
      <c r="N25" s="17">
        <v>0</v>
      </c>
      <c r="O25" s="17">
        <v>0</v>
      </c>
    </row>
    <row r="26" spans="1:19" ht="18.75">
      <c r="A26" s="17" t="s">
        <v>56</v>
      </c>
      <c r="B26" s="18">
        <v>45649.547222222223</v>
      </c>
      <c r="C26" s="17" t="s">
        <v>187</v>
      </c>
      <c r="D26" s="17" t="s">
        <v>188</v>
      </c>
      <c r="E26" s="17" t="s">
        <v>189</v>
      </c>
      <c r="F26" s="17" t="s">
        <v>119</v>
      </c>
      <c r="G26" s="17" t="s">
        <v>27</v>
      </c>
      <c r="H26" s="17"/>
      <c r="I26" s="17">
        <v>0</v>
      </c>
      <c r="J26" s="17">
        <v>0</v>
      </c>
      <c r="K26" s="17">
        <v>0</v>
      </c>
      <c r="L26" s="17">
        <v>1</v>
      </c>
      <c r="M26" s="17">
        <v>0</v>
      </c>
      <c r="N26" s="17">
        <v>0</v>
      </c>
      <c r="O26" s="17">
        <v>0</v>
      </c>
      <c r="R26" t="s">
        <v>1247</v>
      </c>
    </row>
    <row r="27" spans="1:19" ht="18.75">
      <c r="A27" s="17" t="s">
        <v>56</v>
      </c>
      <c r="B27" s="18">
        <v>45649.547222222223</v>
      </c>
      <c r="C27" s="17" t="s">
        <v>187</v>
      </c>
      <c r="D27" s="17" t="s">
        <v>188</v>
      </c>
      <c r="E27" s="17" t="s">
        <v>189</v>
      </c>
      <c r="F27" s="17" t="s">
        <v>119</v>
      </c>
      <c r="G27" s="17" t="s">
        <v>29</v>
      </c>
      <c r="H27" s="17"/>
      <c r="I27" s="17">
        <v>0</v>
      </c>
      <c r="J27" s="17">
        <v>0</v>
      </c>
      <c r="K27" s="17">
        <v>0</v>
      </c>
      <c r="L27" s="17">
        <v>0</v>
      </c>
      <c r="M27" s="17">
        <v>0</v>
      </c>
      <c r="N27" s="17">
        <v>1</v>
      </c>
      <c r="O27" s="17">
        <v>0</v>
      </c>
    </row>
    <row r="28" spans="1:19" ht="18.75">
      <c r="A28" s="17" t="s">
        <v>56</v>
      </c>
      <c r="B28" s="18">
        <v>45651.704861111109</v>
      </c>
      <c r="C28" s="17" t="s">
        <v>193</v>
      </c>
      <c r="D28" s="17" t="s">
        <v>194</v>
      </c>
      <c r="E28" s="17" t="s">
        <v>195</v>
      </c>
      <c r="F28" s="17" t="s">
        <v>135</v>
      </c>
      <c r="G28" s="17" t="s">
        <v>29</v>
      </c>
      <c r="H28" s="17"/>
      <c r="I28" s="17">
        <v>0</v>
      </c>
      <c r="J28" s="17">
        <v>0</v>
      </c>
      <c r="K28" s="17">
        <v>0</v>
      </c>
      <c r="L28" s="17">
        <v>0</v>
      </c>
      <c r="M28" s="17">
        <v>0</v>
      </c>
      <c r="N28" s="17">
        <v>1</v>
      </c>
      <c r="O28" s="17">
        <v>0</v>
      </c>
    </row>
    <row r="29" spans="1:19" ht="18.75">
      <c r="A29" s="17" t="s">
        <v>56</v>
      </c>
      <c r="B29" s="18">
        <v>45663.580555555556</v>
      </c>
      <c r="C29" s="17" t="s">
        <v>201</v>
      </c>
      <c r="D29" s="17" t="s">
        <v>202</v>
      </c>
      <c r="E29" s="17" t="s">
        <v>203</v>
      </c>
      <c r="F29" s="17" t="s">
        <v>119</v>
      </c>
      <c r="G29" s="17" t="s">
        <v>26</v>
      </c>
      <c r="H29" s="17"/>
      <c r="I29" s="17">
        <v>0</v>
      </c>
      <c r="J29" s="17">
        <v>0</v>
      </c>
      <c r="K29" s="17">
        <v>1</v>
      </c>
      <c r="L29" s="17">
        <v>0</v>
      </c>
      <c r="M29" s="17">
        <v>0</v>
      </c>
      <c r="N29" s="17">
        <v>0</v>
      </c>
      <c r="O29" s="17">
        <v>0</v>
      </c>
    </row>
    <row r="30" spans="1:19" ht="18.75">
      <c r="A30" s="17" t="s">
        <v>56</v>
      </c>
      <c r="B30" s="18">
        <v>45667.436805555553</v>
      </c>
      <c r="C30" s="17" t="s">
        <v>210</v>
      </c>
      <c r="D30" s="17" t="s">
        <v>211</v>
      </c>
      <c r="E30" s="17" t="s">
        <v>212</v>
      </c>
      <c r="F30" s="17" t="s">
        <v>119</v>
      </c>
      <c r="G30" s="17" t="s">
        <v>25</v>
      </c>
      <c r="H30" s="17"/>
      <c r="I30" s="17">
        <v>0</v>
      </c>
      <c r="J30" s="17">
        <v>1</v>
      </c>
      <c r="K30" s="17">
        <v>0</v>
      </c>
      <c r="L30" s="17">
        <v>0</v>
      </c>
      <c r="M30" s="17">
        <v>0</v>
      </c>
      <c r="N30" s="17">
        <v>0</v>
      </c>
      <c r="O30" s="17">
        <v>0</v>
      </c>
    </row>
    <row r="31" spans="1:19" ht="18.75">
      <c r="A31" s="17" t="s">
        <v>56</v>
      </c>
      <c r="B31" s="18">
        <v>45667.436805555553</v>
      </c>
      <c r="C31" s="17" t="s">
        <v>210</v>
      </c>
      <c r="D31" s="17" t="s">
        <v>211</v>
      </c>
      <c r="E31" s="17" t="s">
        <v>212</v>
      </c>
      <c r="F31" s="17" t="s">
        <v>119</v>
      </c>
      <c r="G31" s="17" t="s">
        <v>26</v>
      </c>
      <c r="H31" s="17"/>
      <c r="I31" s="17">
        <v>0</v>
      </c>
      <c r="J31" s="17">
        <v>0</v>
      </c>
      <c r="K31" s="17">
        <v>1</v>
      </c>
      <c r="L31" s="17">
        <v>0</v>
      </c>
      <c r="M31" s="17">
        <v>0</v>
      </c>
      <c r="N31" s="17">
        <v>0</v>
      </c>
      <c r="O31" s="17">
        <v>0</v>
      </c>
    </row>
    <row r="32" spans="1:19" ht="18.75">
      <c r="A32" s="17" t="s">
        <v>56</v>
      </c>
      <c r="B32" s="18">
        <v>45667.436805555553</v>
      </c>
      <c r="C32" s="17" t="s">
        <v>210</v>
      </c>
      <c r="D32" s="17" t="s">
        <v>211</v>
      </c>
      <c r="E32" s="17" t="s">
        <v>212</v>
      </c>
      <c r="F32" s="17" t="s">
        <v>119</v>
      </c>
      <c r="G32" s="17" t="s">
        <v>27</v>
      </c>
      <c r="H32" s="17"/>
      <c r="I32" s="17">
        <v>0</v>
      </c>
      <c r="J32" s="17">
        <v>0</v>
      </c>
      <c r="K32" s="17">
        <v>0</v>
      </c>
      <c r="L32" s="17">
        <v>1</v>
      </c>
      <c r="M32" s="17">
        <v>0</v>
      </c>
      <c r="N32" s="17">
        <v>0</v>
      </c>
      <c r="O32" s="17">
        <v>0</v>
      </c>
    </row>
    <row r="33" spans="1:19" ht="18.75">
      <c r="A33" s="17" t="s">
        <v>56</v>
      </c>
      <c r="B33" s="18">
        <v>45667.436805555553</v>
      </c>
      <c r="C33" s="17" t="s">
        <v>210</v>
      </c>
      <c r="D33" s="17" t="s">
        <v>211</v>
      </c>
      <c r="E33" s="17" t="s">
        <v>212</v>
      </c>
      <c r="F33" s="17" t="s">
        <v>119</v>
      </c>
      <c r="G33" s="17" t="s">
        <v>29</v>
      </c>
      <c r="H33" s="17"/>
      <c r="I33" s="17">
        <v>0</v>
      </c>
      <c r="J33" s="17">
        <v>0</v>
      </c>
      <c r="K33" s="17">
        <v>0</v>
      </c>
      <c r="L33" s="17">
        <v>0</v>
      </c>
      <c r="M33" s="17">
        <v>0</v>
      </c>
      <c r="N33" s="17">
        <v>1</v>
      </c>
      <c r="O33" s="17">
        <v>0</v>
      </c>
      <c r="R33" t="s">
        <v>1248</v>
      </c>
    </row>
    <row r="34" spans="1:19" ht="18.75">
      <c r="A34" s="17" t="s">
        <v>56</v>
      </c>
      <c r="B34" s="18">
        <v>45671.395138888889</v>
      </c>
      <c r="C34" s="17" t="s">
        <v>216</v>
      </c>
      <c r="D34" s="17" t="s">
        <v>217</v>
      </c>
      <c r="E34" s="17" t="s">
        <v>218</v>
      </c>
      <c r="F34" s="17" t="s">
        <v>149</v>
      </c>
      <c r="G34" s="17" t="s">
        <v>26</v>
      </c>
      <c r="H34" s="17"/>
      <c r="I34" s="17">
        <v>0</v>
      </c>
      <c r="J34" s="17">
        <v>0</v>
      </c>
      <c r="K34" s="17">
        <v>1</v>
      </c>
      <c r="L34" s="17">
        <v>0</v>
      </c>
      <c r="M34" s="17">
        <v>0</v>
      </c>
      <c r="N34" s="17">
        <v>0</v>
      </c>
      <c r="O34" s="17">
        <v>0</v>
      </c>
    </row>
    <row r="35" spans="1:19" ht="18.75">
      <c r="A35" s="17" t="s">
        <v>56</v>
      </c>
      <c r="B35" s="18">
        <v>45671.395138888889</v>
      </c>
      <c r="C35" s="17" t="s">
        <v>216</v>
      </c>
      <c r="D35" s="17" t="s">
        <v>217</v>
      </c>
      <c r="E35" s="17" t="s">
        <v>218</v>
      </c>
      <c r="F35" s="17" t="s">
        <v>149</v>
      </c>
      <c r="G35" s="17" t="s">
        <v>29</v>
      </c>
      <c r="H35" s="17"/>
      <c r="I35" s="17">
        <v>0</v>
      </c>
      <c r="J35" s="17">
        <v>0</v>
      </c>
      <c r="K35" s="17">
        <v>0</v>
      </c>
      <c r="L35" s="17">
        <v>0</v>
      </c>
      <c r="M35" s="17">
        <v>0</v>
      </c>
      <c r="N35" s="17">
        <v>1</v>
      </c>
      <c r="O35" s="17">
        <v>0</v>
      </c>
    </row>
    <row r="36" spans="1:19" ht="18.75">
      <c r="A36" s="17" t="s">
        <v>56</v>
      </c>
      <c r="B36" s="18">
        <v>45671.402083333334</v>
      </c>
      <c r="C36" s="17" t="s">
        <v>220</v>
      </c>
      <c r="D36" s="17" t="s">
        <v>221</v>
      </c>
      <c r="E36" s="17" t="s">
        <v>222</v>
      </c>
      <c r="F36" s="17" t="s">
        <v>135</v>
      </c>
      <c r="G36" s="17" t="s">
        <v>29</v>
      </c>
      <c r="H36" s="17"/>
      <c r="I36" s="17">
        <v>0</v>
      </c>
      <c r="J36" s="17">
        <v>0</v>
      </c>
      <c r="K36" s="17">
        <v>0</v>
      </c>
      <c r="L36" s="17">
        <v>0</v>
      </c>
      <c r="M36" s="17">
        <v>0</v>
      </c>
      <c r="N36" s="17">
        <v>1</v>
      </c>
      <c r="O36" s="17">
        <v>0</v>
      </c>
    </row>
    <row r="37" spans="1:19" ht="18.75">
      <c r="A37" s="17" t="s">
        <v>56</v>
      </c>
      <c r="B37" s="18">
        <v>45671.509722222225</v>
      </c>
      <c r="C37" s="17" t="s">
        <v>223</v>
      </c>
      <c r="D37" s="17" t="s">
        <v>224</v>
      </c>
      <c r="E37" s="17" t="s">
        <v>225</v>
      </c>
      <c r="F37" s="17" t="s">
        <v>119</v>
      </c>
      <c r="G37" s="17" t="s">
        <v>27</v>
      </c>
      <c r="H37" s="17"/>
      <c r="I37" s="17">
        <v>0</v>
      </c>
      <c r="J37" s="17">
        <v>0</v>
      </c>
      <c r="K37" s="17">
        <v>0</v>
      </c>
      <c r="L37" s="17">
        <v>1</v>
      </c>
      <c r="M37" s="17">
        <v>0</v>
      </c>
      <c r="N37" s="17">
        <v>0</v>
      </c>
      <c r="O37" s="17">
        <v>0</v>
      </c>
    </row>
    <row r="38" spans="1:19" ht="18.75">
      <c r="A38" s="17" t="s">
        <v>56</v>
      </c>
      <c r="B38" s="18">
        <v>45671.509722222225</v>
      </c>
      <c r="C38" s="17" t="s">
        <v>223</v>
      </c>
      <c r="D38" s="17" t="s">
        <v>224</v>
      </c>
      <c r="E38" s="17" t="s">
        <v>225</v>
      </c>
      <c r="F38" s="17" t="s">
        <v>119</v>
      </c>
      <c r="G38" s="17" t="s">
        <v>29</v>
      </c>
      <c r="H38" s="17"/>
      <c r="I38" s="17">
        <v>0</v>
      </c>
      <c r="J38" s="17">
        <v>0</v>
      </c>
      <c r="K38" s="17">
        <v>0</v>
      </c>
      <c r="L38" s="17">
        <v>0</v>
      </c>
      <c r="M38" s="17">
        <v>0</v>
      </c>
      <c r="N38" s="17">
        <v>1</v>
      </c>
      <c r="O38" s="17">
        <v>0</v>
      </c>
    </row>
    <row r="39" spans="1:19" ht="18.75">
      <c r="A39" s="17" t="s">
        <v>56</v>
      </c>
      <c r="B39" s="18">
        <v>45677.636805555558</v>
      </c>
      <c r="C39" s="17" t="s">
        <v>229</v>
      </c>
      <c r="D39" s="17" t="s">
        <v>230</v>
      </c>
      <c r="E39" s="17" t="s">
        <v>231</v>
      </c>
      <c r="F39" s="17" t="s">
        <v>119</v>
      </c>
      <c r="G39" s="17" t="s">
        <v>25</v>
      </c>
      <c r="H39" s="17"/>
      <c r="I39" s="17">
        <v>0</v>
      </c>
      <c r="J39" s="17">
        <v>1</v>
      </c>
      <c r="K39" s="17">
        <v>0</v>
      </c>
      <c r="L39" s="17">
        <v>0</v>
      </c>
      <c r="M39" s="17">
        <v>0</v>
      </c>
      <c r="N39" s="17">
        <v>0</v>
      </c>
      <c r="O39" s="17">
        <v>0</v>
      </c>
      <c r="R39" t="s">
        <v>1249</v>
      </c>
      <c r="S39" t="s">
        <v>1250</v>
      </c>
    </row>
    <row r="40" spans="1:19" ht="18.75">
      <c r="A40" s="17" t="s">
        <v>56</v>
      </c>
      <c r="B40" s="18">
        <v>45677.636805555558</v>
      </c>
      <c r="C40" s="17" t="s">
        <v>229</v>
      </c>
      <c r="D40" s="17" t="s">
        <v>230</v>
      </c>
      <c r="E40" s="17" t="s">
        <v>231</v>
      </c>
      <c r="F40" s="17" t="s">
        <v>119</v>
      </c>
      <c r="G40" s="17" t="s">
        <v>29</v>
      </c>
      <c r="H40" s="17"/>
      <c r="I40" s="17">
        <v>0</v>
      </c>
      <c r="J40" s="17">
        <v>0</v>
      </c>
      <c r="K40" s="17">
        <v>0</v>
      </c>
      <c r="L40" s="17">
        <v>0</v>
      </c>
      <c r="M40" s="17">
        <v>0</v>
      </c>
      <c r="N40" s="17">
        <v>1</v>
      </c>
      <c r="O40" s="17">
        <v>0</v>
      </c>
    </row>
    <row r="41" spans="1:19" ht="18.75">
      <c r="A41" s="17" t="s">
        <v>56</v>
      </c>
      <c r="B41" s="18">
        <v>45681.386111111111</v>
      </c>
      <c r="C41" s="17" t="s">
        <v>238</v>
      </c>
      <c r="D41" s="17" t="s">
        <v>239</v>
      </c>
      <c r="E41" s="17" t="s">
        <v>240</v>
      </c>
      <c r="F41" s="17" t="s">
        <v>119</v>
      </c>
      <c r="G41" s="17" t="s">
        <v>29</v>
      </c>
      <c r="H41" s="17"/>
      <c r="I41" s="17">
        <v>0</v>
      </c>
      <c r="J41" s="17">
        <v>0</v>
      </c>
      <c r="K41" s="17">
        <v>0</v>
      </c>
      <c r="L41" s="17">
        <v>0</v>
      </c>
      <c r="M41" s="17">
        <v>0</v>
      </c>
      <c r="N41" s="17">
        <v>1</v>
      </c>
      <c r="O41" s="17">
        <v>0</v>
      </c>
    </row>
    <row r="42" spans="1:19" ht="18.75">
      <c r="A42" s="17" t="s">
        <v>56</v>
      </c>
      <c r="B42" s="18">
        <v>45681.574305555558</v>
      </c>
      <c r="C42" s="17" t="s">
        <v>241</v>
      </c>
      <c r="D42" s="17" t="s">
        <v>242</v>
      </c>
      <c r="E42" s="17" t="s">
        <v>243</v>
      </c>
      <c r="F42" s="17" t="s">
        <v>149</v>
      </c>
      <c r="G42" s="17" t="s">
        <v>30</v>
      </c>
      <c r="H42" s="17"/>
      <c r="I42" s="17">
        <v>0</v>
      </c>
      <c r="J42" s="17">
        <v>0</v>
      </c>
      <c r="K42" s="17">
        <v>0</v>
      </c>
      <c r="L42" s="17">
        <v>0</v>
      </c>
      <c r="M42" s="17">
        <v>0</v>
      </c>
      <c r="N42" s="17">
        <v>0</v>
      </c>
      <c r="O42" s="17">
        <v>1</v>
      </c>
    </row>
    <row r="43" spans="1:19" ht="18.75">
      <c r="A43" s="17" t="s">
        <v>56</v>
      </c>
      <c r="B43" s="18">
        <v>45690.593055555553</v>
      </c>
      <c r="C43" s="17" t="s">
        <v>250</v>
      </c>
      <c r="D43" s="17" t="s">
        <v>251</v>
      </c>
      <c r="E43" s="17" t="s">
        <v>252</v>
      </c>
      <c r="F43" s="17" t="s">
        <v>135</v>
      </c>
      <c r="G43" s="17" t="s">
        <v>25</v>
      </c>
      <c r="H43" s="17"/>
      <c r="I43" s="17">
        <v>0</v>
      </c>
      <c r="J43" s="17">
        <v>1</v>
      </c>
      <c r="K43" s="17">
        <v>0</v>
      </c>
      <c r="L43" s="17">
        <v>0</v>
      </c>
      <c r="M43" s="17">
        <v>0</v>
      </c>
      <c r="N43" s="17">
        <v>0</v>
      </c>
      <c r="O43" s="17">
        <v>0</v>
      </c>
    </row>
    <row r="44" spans="1:19" ht="18.75">
      <c r="A44" s="17" t="s">
        <v>56</v>
      </c>
      <c r="B44" s="18">
        <v>45698.726388888892</v>
      </c>
      <c r="C44" s="17" t="s">
        <v>266</v>
      </c>
      <c r="D44" s="17" t="s">
        <v>267</v>
      </c>
      <c r="E44" s="17" t="s">
        <v>268</v>
      </c>
      <c r="F44" s="17" t="s">
        <v>154</v>
      </c>
      <c r="G44" s="17" t="s">
        <v>27</v>
      </c>
      <c r="H44" s="17"/>
      <c r="I44" s="17">
        <v>0</v>
      </c>
      <c r="J44" s="17">
        <v>0</v>
      </c>
      <c r="K44" s="17">
        <v>0</v>
      </c>
      <c r="L44" s="17">
        <v>1</v>
      </c>
      <c r="M44" s="17">
        <v>0</v>
      </c>
      <c r="N44" s="17">
        <v>0</v>
      </c>
      <c r="O44" s="17">
        <v>0</v>
      </c>
    </row>
    <row r="45" spans="1:19" ht="18.75">
      <c r="A45" s="17" t="s">
        <v>56</v>
      </c>
      <c r="B45" s="18">
        <v>45700.686111111114</v>
      </c>
      <c r="C45" s="17" t="s">
        <v>269</v>
      </c>
      <c r="D45" s="17" t="s">
        <v>270</v>
      </c>
      <c r="E45" s="17" t="s">
        <v>271</v>
      </c>
      <c r="F45" s="17" t="s">
        <v>119</v>
      </c>
      <c r="G45" s="17" t="s">
        <v>27</v>
      </c>
      <c r="H45" s="17"/>
      <c r="I45" s="17">
        <v>0</v>
      </c>
      <c r="J45" s="17">
        <v>0</v>
      </c>
      <c r="K45" s="17">
        <v>0</v>
      </c>
      <c r="L45" s="17">
        <v>1</v>
      </c>
      <c r="M45" s="17">
        <v>0</v>
      </c>
      <c r="N45" s="17">
        <v>0</v>
      </c>
      <c r="O45" s="17">
        <v>0</v>
      </c>
    </row>
    <row r="46" spans="1:19" ht="18.75">
      <c r="A46" s="17" t="s">
        <v>56</v>
      </c>
      <c r="B46" s="18">
        <v>45701.637499999997</v>
      </c>
      <c r="C46" s="17" t="s">
        <v>275</v>
      </c>
      <c r="D46" s="17" t="s">
        <v>276</v>
      </c>
      <c r="E46" s="17" t="s">
        <v>277</v>
      </c>
      <c r="F46" s="17" t="s">
        <v>119</v>
      </c>
      <c r="G46" s="17" t="s">
        <v>26</v>
      </c>
      <c r="H46" s="17"/>
      <c r="I46" s="17">
        <v>0</v>
      </c>
      <c r="J46" s="17">
        <v>0</v>
      </c>
      <c r="K46" s="17">
        <v>1</v>
      </c>
      <c r="L46" s="17">
        <v>0</v>
      </c>
      <c r="M46" s="17">
        <v>0</v>
      </c>
      <c r="N46" s="17">
        <v>0</v>
      </c>
      <c r="O46" s="17">
        <v>0</v>
      </c>
    </row>
    <row r="47" spans="1:19" ht="18.75">
      <c r="A47" s="17" t="s">
        <v>56</v>
      </c>
      <c r="B47" s="18">
        <v>45708.772222222222</v>
      </c>
      <c r="C47" s="17" t="s">
        <v>289</v>
      </c>
      <c r="D47" s="17" t="s">
        <v>290</v>
      </c>
      <c r="E47" s="17" t="s">
        <v>291</v>
      </c>
      <c r="F47" s="17" t="s">
        <v>119</v>
      </c>
      <c r="G47" s="17" t="s">
        <v>29</v>
      </c>
      <c r="H47" s="17"/>
      <c r="I47" s="17">
        <v>0</v>
      </c>
      <c r="J47" s="17">
        <v>0</v>
      </c>
      <c r="K47" s="17">
        <v>0</v>
      </c>
      <c r="L47" s="17">
        <v>0</v>
      </c>
      <c r="M47" s="17">
        <v>0</v>
      </c>
      <c r="N47" s="17">
        <v>1</v>
      </c>
      <c r="O47" s="17">
        <v>0</v>
      </c>
    </row>
    <row r="48" spans="1:19" ht="18.75">
      <c r="A48" s="17" t="s">
        <v>56</v>
      </c>
      <c r="B48" s="18">
        <v>45713.731944444444</v>
      </c>
      <c r="C48" s="17" t="s">
        <v>293</v>
      </c>
      <c r="D48" s="17" t="s">
        <v>294</v>
      </c>
      <c r="E48" s="17" t="s">
        <v>295</v>
      </c>
      <c r="F48" s="17" t="s">
        <v>154</v>
      </c>
      <c r="G48" s="17" t="s">
        <v>26</v>
      </c>
      <c r="H48" s="17"/>
      <c r="I48" s="17">
        <v>0</v>
      </c>
      <c r="J48" s="17">
        <v>0</v>
      </c>
      <c r="K48" s="17">
        <v>1</v>
      </c>
      <c r="L48" s="17">
        <v>0</v>
      </c>
      <c r="M48" s="17">
        <v>0</v>
      </c>
      <c r="N48" s="17">
        <v>0</v>
      </c>
      <c r="O48" s="17">
        <v>0</v>
      </c>
    </row>
    <row r="49" spans="1:15" ht="18.75">
      <c r="A49" s="17" t="s">
        <v>56</v>
      </c>
      <c r="B49" s="18">
        <v>45714.627083333333</v>
      </c>
      <c r="C49" s="17" t="s">
        <v>299</v>
      </c>
      <c r="D49" s="17" t="s">
        <v>300</v>
      </c>
      <c r="E49" s="17" t="s">
        <v>301</v>
      </c>
      <c r="F49" s="17" t="s">
        <v>149</v>
      </c>
      <c r="G49" s="17" t="s">
        <v>26</v>
      </c>
      <c r="H49" s="17"/>
      <c r="I49" s="17">
        <v>0</v>
      </c>
      <c r="J49" s="17">
        <v>0</v>
      </c>
      <c r="K49" s="17">
        <v>1</v>
      </c>
      <c r="L49" s="17">
        <v>0</v>
      </c>
      <c r="M49" s="17">
        <v>0</v>
      </c>
      <c r="N49" s="17">
        <v>0</v>
      </c>
      <c r="O49" s="17">
        <v>0</v>
      </c>
    </row>
    <row r="50" spans="1:15" ht="18.75">
      <c r="A50" s="17" t="s">
        <v>56</v>
      </c>
      <c r="B50" s="18">
        <v>45716.688888888886</v>
      </c>
      <c r="C50" s="17" t="s">
        <v>305</v>
      </c>
      <c r="D50" s="17" t="s">
        <v>306</v>
      </c>
      <c r="E50" s="17" t="s">
        <v>307</v>
      </c>
      <c r="F50" s="17" t="s">
        <v>119</v>
      </c>
      <c r="G50" s="17" t="s">
        <v>26</v>
      </c>
      <c r="H50" s="17"/>
      <c r="I50" s="17">
        <v>0</v>
      </c>
      <c r="J50" s="17">
        <v>0</v>
      </c>
      <c r="K50" s="17">
        <v>1</v>
      </c>
      <c r="L50" s="17">
        <v>0</v>
      </c>
      <c r="M50" s="17">
        <v>0</v>
      </c>
      <c r="N50" s="17">
        <v>0</v>
      </c>
      <c r="O50" s="17">
        <v>0</v>
      </c>
    </row>
    <row r="51" spans="1:15" ht="18.75">
      <c r="A51" s="17" t="s">
        <v>56</v>
      </c>
      <c r="B51" s="18">
        <v>45720.538194444445</v>
      </c>
      <c r="C51" s="17" t="s">
        <v>313</v>
      </c>
      <c r="D51" s="17" t="s">
        <v>1251</v>
      </c>
      <c r="E51" s="17" t="s">
        <v>315</v>
      </c>
      <c r="F51" s="17" t="s">
        <v>154</v>
      </c>
      <c r="G51" s="17" t="s">
        <v>26</v>
      </c>
      <c r="H51" s="17"/>
      <c r="I51" s="17">
        <v>0</v>
      </c>
      <c r="J51" s="17">
        <v>0</v>
      </c>
      <c r="K51" s="17">
        <v>1</v>
      </c>
      <c r="L51" s="17">
        <v>0</v>
      </c>
      <c r="M51" s="17">
        <v>0</v>
      </c>
      <c r="N51" s="17">
        <v>0</v>
      </c>
      <c r="O51" s="17">
        <v>0</v>
      </c>
    </row>
    <row r="52" spans="1:15" ht="18.75">
      <c r="A52" s="17" t="s">
        <v>56</v>
      </c>
      <c r="B52" s="18">
        <v>45721.4</v>
      </c>
      <c r="C52" s="17" t="s">
        <v>317</v>
      </c>
      <c r="D52" s="17" t="s">
        <v>318</v>
      </c>
      <c r="E52" s="17" t="s">
        <v>319</v>
      </c>
      <c r="F52" s="17" t="s">
        <v>119</v>
      </c>
      <c r="G52" s="17" t="s">
        <v>27</v>
      </c>
      <c r="H52" s="17"/>
      <c r="I52" s="17">
        <v>0</v>
      </c>
      <c r="J52" s="17">
        <v>0</v>
      </c>
      <c r="K52" s="17">
        <v>0</v>
      </c>
      <c r="L52" s="17">
        <v>1</v>
      </c>
      <c r="M52" s="17">
        <v>0</v>
      </c>
      <c r="N52" s="17">
        <v>0</v>
      </c>
      <c r="O52" s="17">
        <v>0</v>
      </c>
    </row>
    <row r="53" spans="1:15" ht="18.75">
      <c r="A53" s="17" t="s">
        <v>56</v>
      </c>
      <c r="B53" s="18">
        <v>45722.8</v>
      </c>
      <c r="C53" s="17" t="s">
        <v>323</v>
      </c>
      <c r="D53" s="17" t="s">
        <v>324</v>
      </c>
      <c r="E53" s="17" t="s">
        <v>325</v>
      </c>
      <c r="F53" s="17" t="s">
        <v>119</v>
      </c>
      <c r="G53" s="17" t="s">
        <v>27</v>
      </c>
      <c r="H53" s="17"/>
      <c r="I53" s="17">
        <v>0</v>
      </c>
      <c r="J53" s="17">
        <v>0</v>
      </c>
      <c r="K53" s="17">
        <v>0</v>
      </c>
      <c r="L53" s="17">
        <v>1</v>
      </c>
      <c r="M53" s="17">
        <v>0</v>
      </c>
      <c r="N53" s="17">
        <v>0</v>
      </c>
      <c r="O53" s="17">
        <v>0</v>
      </c>
    </row>
    <row r="54" spans="1:15" ht="18.75">
      <c r="A54" s="17" t="s">
        <v>56</v>
      </c>
      <c r="B54" s="18">
        <v>45722.838888888888</v>
      </c>
      <c r="C54" s="17" t="s">
        <v>326</v>
      </c>
      <c r="D54" s="17" t="s">
        <v>327</v>
      </c>
      <c r="E54" s="17" t="s">
        <v>328</v>
      </c>
      <c r="F54" s="17" t="s">
        <v>119</v>
      </c>
      <c r="G54" s="17" t="s">
        <v>30</v>
      </c>
      <c r="H54" s="17"/>
      <c r="I54" s="17">
        <v>0</v>
      </c>
      <c r="J54" s="17">
        <v>0</v>
      </c>
      <c r="K54" s="17">
        <v>0</v>
      </c>
      <c r="L54" s="17">
        <v>0</v>
      </c>
      <c r="M54" s="17">
        <v>0</v>
      </c>
      <c r="N54" s="17">
        <v>0</v>
      </c>
      <c r="O54" s="17">
        <v>1</v>
      </c>
    </row>
    <row r="55" spans="1:15" ht="18.75">
      <c r="A55" s="17" t="s">
        <v>56</v>
      </c>
      <c r="B55" s="18">
        <v>45728.554166666669</v>
      </c>
      <c r="C55" s="17" t="s">
        <v>329</v>
      </c>
      <c r="D55" s="17" t="s">
        <v>330</v>
      </c>
      <c r="E55" s="17" t="s">
        <v>331</v>
      </c>
      <c r="F55" s="17" t="s">
        <v>119</v>
      </c>
      <c r="G55" s="17" t="s">
        <v>26</v>
      </c>
      <c r="H55" s="17"/>
      <c r="I55" s="17">
        <v>0</v>
      </c>
      <c r="J55" s="17">
        <v>0</v>
      </c>
      <c r="K55" s="17">
        <v>1</v>
      </c>
      <c r="L55" s="17">
        <v>0</v>
      </c>
      <c r="M55" s="17">
        <v>0</v>
      </c>
      <c r="N55" s="17">
        <v>0</v>
      </c>
      <c r="O55" s="17">
        <v>0</v>
      </c>
    </row>
    <row r="56" spans="1:15" ht="18.75">
      <c r="A56" s="17" t="s">
        <v>56</v>
      </c>
      <c r="B56" s="18">
        <v>45733.663194444445</v>
      </c>
      <c r="C56" s="17" t="s">
        <v>341</v>
      </c>
      <c r="D56" s="17" t="s">
        <v>342</v>
      </c>
      <c r="E56" s="17" t="s">
        <v>343</v>
      </c>
      <c r="F56" s="17" t="s">
        <v>119</v>
      </c>
      <c r="G56" s="17" t="s">
        <v>30</v>
      </c>
      <c r="H56" s="17"/>
      <c r="I56" s="17">
        <v>0</v>
      </c>
      <c r="J56" s="17">
        <v>0</v>
      </c>
      <c r="K56" s="17">
        <v>0</v>
      </c>
      <c r="L56" s="17">
        <v>0</v>
      </c>
      <c r="M56" s="17">
        <v>0</v>
      </c>
      <c r="N56" s="17">
        <v>0</v>
      </c>
      <c r="O56" s="17">
        <v>1</v>
      </c>
    </row>
    <row r="57" spans="1:15" ht="18.75">
      <c r="A57" s="17" t="s">
        <v>56</v>
      </c>
      <c r="B57" s="18">
        <v>45735.563194444447</v>
      </c>
      <c r="C57" s="17" t="s">
        <v>350</v>
      </c>
      <c r="D57" s="17" t="s">
        <v>351</v>
      </c>
      <c r="E57" s="17" t="s">
        <v>352</v>
      </c>
      <c r="F57" s="17" t="s">
        <v>119</v>
      </c>
      <c r="G57" s="17" t="s">
        <v>26</v>
      </c>
      <c r="H57" s="17"/>
      <c r="I57" s="17">
        <v>0</v>
      </c>
      <c r="J57" s="17">
        <v>0</v>
      </c>
      <c r="K57" s="17">
        <v>1</v>
      </c>
      <c r="L57" s="17">
        <v>0</v>
      </c>
      <c r="M57" s="17">
        <v>0</v>
      </c>
      <c r="N57" s="17">
        <v>0</v>
      </c>
      <c r="O57" s="17">
        <v>0</v>
      </c>
    </row>
    <row r="58" spans="1:15" ht="18.75">
      <c r="A58" s="17" t="s">
        <v>56</v>
      </c>
      <c r="B58" s="18">
        <v>45740.742361111108</v>
      </c>
      <c r="C58" s="17" t="s">
        <v>353</v>
      </c>
      <c r="D58" s="17" t="s">
        <v>354</v>
      </c>
      <c r="E58" s="17" t="s">
        <v>355</v>
      </c>
      <c r="F58" s="17" t="s">
        <v>135</v>
      </c>
      <c r="G58" s="17" t="s">
        <v>26</v>
      </c>
      <c r="H58" s="17"/>
      <c r="I58" s="17">
        <v>0</v>
      </c>
      <c r="J58" s="17">
        <v>0</v>
      </c>
      <c r="K58" s="17">
        <v>1</v>
      </c>
      <c r="L58" s="17">
        <v>0</v>
      </c>
      <c r="M58" s="17">
        <v>0</v>
      </c>
      <c r="N58" s="17">
        <v>0</v>
      </c>
      <c r="O58" s="17">
        <v>0</v>
      </c>
    </row>
    <row r="59" spans="1:15" ht="18.75">
      <c r="A59" s="17" t="s">
        <v>56</v>
      </c>
      <c r="B59" s="18">
        <v>45743.372916666667</v>
      </c>
      <c r="C59" s="17" t="s">
        <v>366</v>
      </c>
      <c r="D59" s="17" t="s">
        <v>367</v>
      </c>
      <c r="E59" s="17" t="s">
        <v>368</v>
      </c>
      <c r="F59" s="17" t="s">
        <v>365</v>
      </c>
      <c r="G59" s="17" t="s">
        <v>25</v>
      </c>
      <c r="H59" s="17"/>
      <c r="I59" s="17">
        <v>0</v>
      </c>
      <c r="J59" s="17">
        <v>1</v>
      </c>
      <c r="K59" s="17">
        <v>0</v>
      </c>
      <c r="L59" s="17">
        <v>0</v>
      </c>
      <c r="M59" s="17">
        <v>0</v>
      </c>
      <c r="N59" s="17">
        <v>0</v>
      </c>
      <c r="O59" s="17">
        <v>0</v>
      </c>
    </row>
    <row r="60" spans="1:15" ht="18.75">
      <c r="A60" s="17" t="s">
        <v>56</v>
      </c>
      <c r="B60" s="18">
        <v>45743.372916666667</v>
      </c>
      <c r="C60" s="17" t="s">
        <v>366</v>
      </c>
      <c r="D60" s="17" t="s">
        <v>367</v>
      </c>
      <c r="E60" s="17" t="s">
        <v>368</v>
      </c>
      <c r="F60" s="17" t="s">
        <v>365</v>
      </c>
      <c r="G60" s="17" t="s">
        <v>29</v>
      </c>
      <c r="H60" s="17"/>
      <c r="I60" s="17">
        <v>0</v>
      </c>
      <c r="J60" s="17">
        <v>0</v>
      </c>
      <c r="K60" s="17">
        <v>0</v>
      </c>
      <c r="L60" s="17">
        <v>0</v>
      </c>
      <c r="M60" s="17">
        <v>0</v>
      </c>
      <c r="N60" s="17">
        <v>1</v>
      </c>
      <c r="O60" s="17">
        <v>0</v>
      </c>
    </row>
    <row r="61" spans="1:15" ht="18.75">
      <c r="A61" s="17" t="s">
        <v>51</v>
      </c>
      <c r="B61" s="18">
        <v>45552.459027777775</v>
      </c>
      <c r="C61" s="17" t="s">
        <v>52</v>
      </c>
      <c r="D61" s="17" t="s">
        <v>53</v>
      </c>
      <c r="E61" s="17" t="s">
        <v>54</v>
      </c>
      <c r="F61" s="17" t="s">
        <v>55</v>
      </c>
      <c r="G61" s="17" t="s">
        <v>26</v>
      </c>
      <c r="H61" s="17"/>
      <c r="I61" s="17">
        <v>0</v>
      </c>
      <c r="J61" s="17">
        <v>0</v>
      </c>
      <c r="K61" s="17">
        <v>1</v>
      </c>
      <c r="L61" s="17">
        <v>0</v>
      </c>
      <c r="M61" s="17">
        <v>0</v>
      </c>
      <c r="N61" s="17">
        <v>0</v>
      </c>
      <c r="O61" s="17">
        <v>0</v>
      </c>
    </row>
    <row r="62" spans="1:15" ht="18.75">
      <c r="A62" s="17" t="s">
        <v>51</v>
      </c>
      <c r="B62" s="18">
        <v>45565.73541666667</v>
      </c>
      <c r="C62" s="17" t="s">
        <v>60</v>
      </c>
      <c r="D62" s="17" t="s">
        <v>61</v>
      </c>
      <c r="E62" s="17" t="s">
        <v>62</v>
      </c>
      <c r="F62" s="17" t="s">
        <v>55</v>
      </c>
      <c r="G62" s="17" t="s">
        <v>25</v>
      </c>
      <c r="H62" s="17"/>
      <c r="I62" s="17">
        <v>0</v>
      </c>
      <c r="J62" s="17">
        <v>1</v>
      </c>
      <c r="K62" s="17">
        <v>0</v>
      </c>
      <c r="L62" s="17">
        <v>0</v>
      </c>
      <c r="M62" s="17">
        <v>0</v>
      </c>
      <c r="N62" s="17">
        <v>0</v>
      </c>
      <c r="O62" s="17">
        <v>0</v>
      </c>
    </row>
    <row r="63" spans="1:15" ht="18.75">
      <c r="A63" s="17" t="s">
        <v>51</v>
      </c>
      <c r="B63" s="18">
        <v>45565.73541666667</v>
      </c>
      <c r="C63" s="17" t="s">
        <v>60</v>
      </c>
      <c r="D63" s="17" t="s">
        <v>61</v>
      </c>
      <c r="E63" s="17" t="s">
        <v>62</v>
      </c>
      <c r="F63" s="17" t="s">
        <v>55</v>
      </c>
      <c r="G63" s="17" t="s">
        <v>26</v>
      </c>
      <c r="H63" s="17"/>
      <c r="I63" s="17">
        <v>0</v>
      </c>
      <c r="J63" s="17">
        <v>0</v>
      </c>
      <c r="K63" s="17">
        <v>1</v>
      </c>
      <c r="L63" s="17">
        <v>0</v>
      </c>
      <c r="M63" s="17">
        <v>0</v>
      </c>
      <c r="N63" s="17">
        <v>0</v>
      </c>
      <c r="O63" s="17">
        <v>0</v>
      </c>
    </row>
    <row r="64" spans="1:15" ht="18.75">
      <c r="A64" s="17" t="s">
        <v>51</v>
      </c>
      <c r="B64" s="18">
        <v>45574.494444444441</v>
      </c>
      <c r="C64" s="17" t="s">
        <v>66</v>
      </c>
      <c r="D64" s="17" t="s">
        <v>67</v>
      </c>
      <c r="E64" s="17" t="s">
        <v>68</v>
      </c>
      <c r="F64" s="17" t="s">
        <v>55</v>
      </c>
      <c r="G64" s="17" t="s">
        <v>29</v>
      </c>
      <c r="H64" s="17"/>
      <c r="I64" s="17">
        <v>0</v>
      </c>
      <c r="J64" s="17">
        <v>0</v>
      </c>
      <c r="K64" s="17">
        <v>0</v>
      </c>
      <c r="L64" s="17">
        <v>0</v>
      </c>
      <c r="M64" s="17">
        <v>0</v>
      </c>
      <c r="N64" s="17">
        <v>1</v>
      </c>
      <c r="O64" s="17">
        <v>0</v>
      </c>
    </row>
    <row r="65" spans="1:19" ht="18.75">
      <c r="A65" s="17" t="s">
        <v>51</v>
      </c>
      <c r="B65" s="18">
        <v>45575.306250000001</v>
      </c>
      <c r="C65" s="17" t="s">
        <v>69</v>
      </c>
      <c r="D65" s="17" t="s">
        <v>70</v>
      </c>
      <c r="E65" s="17" t="s">
        <v>71</v>
      </c>
      <c r="F65" s="17" t="s">
        <v>55</v>
      </c>
      <c r="G65" s="17" t="s">
        <v>26</v>
      </c>
      <c r="H65" s="17"/>
      <c r="I65" s="17">
        <v>0</v>
      </c>
      <c r="J65" s="17">
        <v>0</v>
      </c>
      <c r="K65" s="17">
        <v>1</v>
      </c>
      <c r="L65" s="17">
        <v>0</v>
      </c>
      <c r="M65" s="17">
        <v>0</v>
      </c>
      <c r="N65" s="17">
        <v>0</v>
      </c>
      <c r="O65" s="17">
        <v>0</v>
      </c>
    </row>
    <row r="66" spans="1:19" ht="18.75">
      <c r="A66" s="17" t="s">
        <v>51</v>
      </c>
      <c r="B66" s="18">
        <v>45575.67291666667</v>
      </c>
      <c r="C66" s="17" t="s">
        <v>72</v>
      </c>
      <c r="D66" s="17" t="s">
        <v>73</v>
      </c>
      <c r="E66" s="17" t="s">
        <v>74</v>
      </c>
      <c r="F66" s="17" t="s">
        <v>55</v>
      </c>
      <c r="G66" s="17" t="s">
        <v>26</v>
      </c>
      <c r="H66" s="17"/>
      <c r="I66" s="17">
        <v>0</v>
      </c>
      <c r="J66" s="17">
        <v>0</v>
      </c>
      <c r="K66" s="17">
        <v>1</v>
      </c>
      <c r="L66" s="17">
        <v>0</v>
      </c>
      <c r="M66" s="17">
        <v>0</v>
      </c>
      <c r="N66" s="17">
        <v>0</v>
      </c>
      <c r="O66" s="17">
        <v>0</v>
      </c>
    </row>
    <row r="67" spans="1:19" ht="18.75">
      <c r="A67" s="17" t="s">
        <v>51</v>
      </c>
      <c r="B67" s="18">
        <v>45593.393055555556</v>
      </c>
      <c r="C67" s="17" t="s">
        <v>75</v>
      </c>
      <c r="D67" s="17" t="s">
        <v>76</v>
      </c>
      <c r="E67" s="17" t="s">
        <v>77</v>
      </c>
      <c r="F67" s="17" t="s">
        <v>55</v>
      </c>
      <c r="G67" s="17" t="s">
        <v>26</v>
      </c>
      <c r="H67" s="17"/>
      <c r="I67" s="17">
        <v>0</v>
      </c>
      <c r="J67" s="17">
        <v>0</v>
      </c>
      <c r="K67" s="17">
        <v>1</v>
      </c>
      <c r="L67" s="17">
        <v>0</v>
      </c>
      <c r="M67" s="17">
        <v>0</v>
      </c>
      <c r="N67" s="17">
        <v>0</v>
      </c>
      <c r="O67" s="17">
        <v>0</v>
      </c>
      <c r="R67" s="7" t="s">
        <v>1232</v>
      </c>
      <c r="S67" s="7" t="s">
        <v>1252</v>
      </c>
    </row>
    <row r="68" spans="1:19" ht="18.75">
      <c r="A68" s="17" t="s">
        <v>51</v>
      </c>
      <c r="B68" s="18">
        <v>45593.393055555556</v>
      </c>
      <c r="C68" s="17" t="s">
        <v>75</v>
      </c>
      <c r="D68" s="17" t="s">
        <v>76</v>
      </c>
      <c r="E68" s="17" t="s">
        <v>77</v>
      </c>
      <c r="F68" s="17" t="s">
        <v>55</v>
      </c>
      <c r="G68" s="17" t="s">
        <v>27</v>
      </c>
      <c r="H68" s="17"/>
      <c r="I68" s="17">
        <v>0</v>
      </c>
      <c r="J68" s="17">
        <v>0</v>
      </c>
      <c r="K68" s="17">
        <v>0</v>
      </c>
      <c r="L68" s="17">
        <v>1</v>
      </c>
      <c r="M68" s="17">
        <v>0</v>
      </c>
      <c r="N68" s="17">
        <v>0</v>
      </c>
      <c r="O68" s="17">
        <v>0</v>
      </c>
      <c r="R68" t="s">
        <v>1253</v>
      </c>
    </row>
    <row r="69" spans="1:19" ht="18.75">
      <c r="A69" s="17" t="s">
        <v>51</v>
      </c>
      <c r="B69" s="18">
        <v>45593.393055555556</v>
      </c>
      <c r="C69" s="17" t="s">
        <v>75</v>
      </c>
      <c r="D69" s="17" t="s">
        <v>76</v>
      </c>
      <c r="E69" s="17" t="s">
        <v>77</v>
      </c>
      <c r="F69" s="17" t="s">
        <v>55</v>
      </c>
      <c r="G69" s="17" t="s">
        <v>29</v>
      </c>
      <c r="H69" s="17"/>
      <c r="I69" s="17">
        <v>0</v>
      </c>
      <c r="J69" s="17">
        <v>0</v>
      </c>
      <c r="K69" s="17">
        <v>0</v>
      </c>
      <c r="L69" s="17">
        <v>0</v>
      </c>
      <c r="M69" s="17">
        <v>0</v>
      </c>
      <c r="N69" s="17">
        <v>1</v>
      </c>
      <c r="O69" s="17">
        <v>0</v>
      </c>
    </row>
    <row r="70" spans="1:19" ht="18.75">
      <c r="A70" s="17" t="s">
        <v>51</v>
      </c>
      <c r="B70" s="18">
        <v>45601.619444444441</v>
      </c>
      <c r="C70" s="17" t="s">
        <v>88</v>
      </c>
      <c r="D70" s="17" t="s">
        <v>89</v>
      </c>
      <c r="E70" s="17" t="s">
        <v>90</v>
      </c>
      <c r="F70" s="17" t="s">
        <v>91</v>
      </c>
      <c r="G70" s="17" t="s">
        <v>25</v>
      </c>
      <c r="H70" s="17"/>
      <c r="I70" s="17">
        <v>0</v>
      </c>
      <c r="J70" s="17">
        <v>1</v>
      </c>
      <c r="K70" s="17">
        <v>0</v>
      </c>
      <c r="L70" s="17">
        <v>0</v>
      </c>
      <c r="M70" s="17">
        <v>0</v>
      </c>
      <c r="N70" s="17">
        <v>0</v>
      </c>
      <c r="O70" s="17">
        <v>0</v>
      </c>
    </row>
    <row r="71" spans="1:19" ht="18.75">
      <c r="A71" s="17" t="s">
        <v>51</v>
      </c>
      <c r="B71" s="18">
        <v>45602.648611111108</v>
      </c>
      <c r="C71" s="17" t="s">
        <v>96</v>
      </c>
      <c r="D71" s="17" t="s">
        <v>97</v>
      </c>
      <c r="E71" s="17" t="s">
        <v>98</v>
      </c>
      <c r="F71" s="17" t="s">
        <v>55</v>
      </c>
      <c r="G71" s="17" t="s">
        <v>27</v>
      </c>
      <c r="H71" s="17"/>
      <c r="I71" s="17">
        <v>0</v>
      </c>
      <c r="J71" s="17">
        <v>0</v>
      </c>
      <c r="K71" s="17">
        <v>0</v>
      </c>
      <c r="L71" s="17">
        <v>1</v>
      </c>
      <c r="M71" s="17">
        <v>0</v>
      </c>
      <c r="N71" s="17">
        <v>0</v>
      </c>
      <c r="O71" s="17">
        <v>0</v>
      </c>
    </row>
    <row r="72" spans="1:19" ht="18.75">
      <c r="A72" s="17" t="s">
        <v>51</v>
      </c>
      <c r="B72" s="18">
        <v>45602.648611111108</v>
      </c>
      <c r="C72" s="17" t="s">
        <v>96</v>
      </c>
      <c r="D72" s="17" t="s">
        <v>97</v>
      </c>
      <c r="E72" s="17" t="s">
        <v>98</v>
      </c>
      <c r="F72" s="17" t="s">
        <v>55</v>
      </c>
      <c r="G72" s="17" t="s">
        <v>29</v>
      </c>
      <c r="H72" s="17"/>
      <c r="I72" s="17">
        <v>0</v>
      </c>
      <c r="J72" s="17">
        <v>0</v>
      </c>
      <c r="K72" s="17">
        <v>0</v>
      </c>
      <c r="L72" s="17">
        <v>0</v>
      </c>
      <c r="M72" s="17">
        <v>0</v>
      </c>
      <c r="N72" s="17">
        <v>1</v>
      </c>
      <c r="O72" s="17">
        <v>0</v>
      </c>
      <c r="R72" t="s">
        <v>1254</v>
      </c>
    </row>
    <row r="73" spans="1:19" s="15" customFormat="1" ht="18.75">
      <c r="A73" s="17" t="s">
        <v>51</v>
      </c>
      <c r="B73" s="18">
        <v>45607.436805555553</v>
      </c>
      <c r="C73" s="17" t="s">
        <v>116</v>
      </c>
      <c r="D73" s="17" t="s">
        <v>117</v>
      </c>
      <c r="E73" s="17" t="s">
        <v>118</v>
      </c>
      <c r="F73" s="17" t="s">
        <v>119</v>
      </c>
      <c r="G73" s="17" t="s">
        <v>24</v>
      </c>
      <c r="H73" s="17"/>
      <c r="I73" s="17">
        <v>1</v>
      </c>
      <c r="J73" s="17">
        <v>0</v>
      </c>
      <c r="K73" s="17">
        <v>0</v>
      </c>
      <c r="L73" s="17">
        <v>0</v>
      </c>
      <c r="M73" s="17">
        <v>0</v>
      </c>
      <c r="N73" s="17">
        <v>0</v>
      </c>
      <c r="O73" s="17">
        <v>0</v>
      </c>
    </row>
    <row r="74" spans="1:19" ht="18.75">
      <c r="A74" s="17" t="s">
        <v>51</v>
      </c>
      <c r="B74" s="18">
        <v>45607.436805555553</v>
      </c>
      <c r="C74" s="17" t="s">
        <v>116</v>
      </c>
      <c r="D74" s="17" t="s">
        <v>117</v>
      </c>
      <c r="E74" s="17" t="s">
        <v>118</v>
      </c>
      <c r="F74" s="17" t="s">
        <v>119</v>
      </c>
      <c r="G74" s="17" t="s">
        <v>26</v>
      </c>
      <c r="H74" s="17"/>
      <c r="I74" s="17">
        <v>0</v>
      </c>
      <c r="J74" s="17">
        <v>0</v>
      </c>
      <c r="K74" s="17">
        <v>1</v>
      </c>
      <c r="L74" s="17">
        <v>0</v>
      </c>
      <c r="M74" s="17">
        <v>0</v>
      </c>
      <c r="N74" s="17">
        <v>0</v>
      </c>
      <c r="O74" s="17">
        <v>0</v>
      </c>
      <c r="R74" t="s">
        <v>1253</v>
      </c>
      <c r="S74" t="s">
        <v>1255</v>
      </c>
    </row>
    <row r="75" spans="1:19" ht="18.75">
      <c r="A75" s="17" t="s">
        <v>51</v>
      </c>
      <c r="B75" s="18">
        <v>45609.430555555555</v>
      </c>
      <c r="C75" s="17" t="s">
        <v>127</v>
      </c>
      <c r="D75" s="17" t="s">
        <v>128</v>
      </c>
      <c r="E75" s="17" t="s">
        <v>129</v>
      </c>
      <c r="F75" s="17" t="s">
        <v>119</v>
      </c>
      <c r="G75" s="17" t="s">
        <v>27</v>
      </c>
      <c r="H75" s="17"/>
      <c r="I75" s="17">
        <v>0</v>
      </c>
      <c r="J75" s="17">
        <v>0</v>
      </c>
      <c r="K75" s="17">
        <v>0</v>
      </c>
      <c r="L75" s="17">
        <v>1</v>
      </c>
      <c r="M75" s="17">
        <v>0</v>
      </c>
      <c r="N75" s="17">
        <v>0</v>
      </c>
      <c r="O75" s="17">
        <v>0</v>
      </c>
      <c r="R75" t="s">
        <v>1247</v>
      </c>
    </row>
    <row r="76" spans="1:19" ht="18.75">
      <c r="A76" s="17" t="s">
        <v>51</v>
      </c>
      <c r="B76" s="18">
        <v>45609.430555555555</v>
      </c>
      <c r="C76" s="17" t="s">
        <v>127</v>
      </c>
      <c r="D76" s="17" t="s">
        <v>128</v>
      </c>
      <c r="E76" s="17" t="s">
        <v>129</v>
      </c>
      <c r="F76" s="17" t="s">
        <v>119</v>
      </c>
      <c r="G76" s="17" t="s">
        <v>29</v>
      </c>
      <c r="H76" s="17"/>
      <c r="I76" s="17">
        <v>0</v>
      </c>
      <c r="J76" s="17">
        <v>0</v>
      </c>
      <c r="K76" s="17">
        <v>0</v>
      </c>
      <c r="L76" s="17">
        <v>0</v>
      </c>
      <c r="M76" s="17">
        <v>0</v>
      </c>
      <c r="N76" s="17">
        <v>1</v>
      </c>
      <c r="O76" s="17">
        <v>0</v>
      </c>
    </row>
    <row r="77" spans="1:19" ht="18.75">
      <c r="A77" s="17" t="s">
        <v>51</v>
      </c>
      <c r="B77" s="18">
        <v>45611.751388888886</v>
      </c>
      <c r="C77" s="17" t="s">
        <v>132</v>
      </c>
      <c r="D77" s="17" t="s">
        <v>133</v>
      </c>
      <c r="E77" s="17" t="s">
        <v>134</v>
      </c>
      <c r="F77" s="17" t="s">
        <v>149</v>
      </c>
      <c r="G77" s="17" t="s">
        <v>24</v>
      </c>
      <c r="H77" s="17"/>
      <c r="I77" s="17">
        <v>1</v>
      </c>
      <c r="J77" s="17">
        <v>0</v>
      </c>
      <c r="K77" s="17">
        <v>0</v>
      </c>
      <c r="L77" s="17">
        <v>0</v>
      </c>
      <c r="M77" s="17">
        <v>0</v>
      </c>
      <c r="N77" s="17">
        <v>0</v>
      </c>
      <c r="O77" s="17">
        <v>0</v>
      </c>
      <c r="R77" t="s">
        <v>1247</v>
      </c>
    </row>
    <row r="78" spans="1:19" ht="18.75">
      <c r="A78" s="17" t="s">
        <v>51</v>
      </c>
      <c r="B78" s="18">
        <v>45611.751388888886</v>
      </c>
      <c r="C78" s="17" t="s">
        <v>132</v>
      </c>
      <c r="D78" s="17" t="s">
        <v>133</v>
      </c>
      <c r="E78" s="17" t="s">
        <v>134</v>
      </c>
      <c r="F78" s="17" t="s">
        <v>149</v>
      </c>
      <c r="G78" s="17" t="s">
        <v>26</v>
      </c>
      <c r="H78" s="17"/>
      <c r="I78" s="17">
        <v>0</v>
      </c>
      <c r="J78" s="17">
        <v>0</v>
      </c>
      <c r="K78" s="17">
        <v>1</v>
      </c>
      <c r="L78" s="17">
        <v>0</v>
      </c>
      <c r="M78" s="17">
        <v>0</v>
      </c>
      <c r="N78" s="17">
        <v>0</v>
      </c>
      <c r="O78" s="17">
        <v>0</v>
      </c>
    </row>
    <row r="79" spans="1:19" ht="18.75">
      <c r="A79" s="17" t="s">
        <v>51</v>
      </c>
      <c r="B79" s="18">
        <v>45611.751388888886</v>
      </c>
      <c r="C79" s="17" t="s">
        <v>132</v>
      </c>
      <c r="D79" s="17" t="s">
        <v>133</v>
      </c>
      <c r="E79" s="17" t="s">
        <v>134</v>
      </c>
      <c r="F79" s="17" t="s">
        <v>149</v>
      </c>
      <c r="G79" s="17" t="s">
        <v>29</v>
      </c>
      <c r="H79" s="17"/>
      <c r="I79" s="17">
        <v>0</v>
      </c>
      <c r="J79" s="17">
        <v>0</v>
      </c>
      <c r="K79" s="17">
        <v>0</v>
      </c>
      <c r="L79" s="17">
        <v>0</v>
      </c>
      <c r="M79" s="17">
        <v>0</v>
      </c>
      <c r="N79" s="17">
        <v>1</v>
      </c>
      <c r="O79" s="17">
        <v>0</v>
      </c>
    </row>
    <row r="80" spans="1:19" ht="18.75">
      <c r="A80" s="17" t="s">
        <v>51</v>
      </c>
      <c r="B80" s="18">
        <v>45615.455555555556</v>
      </c>
      <c r="C80" s="17" t="s">
        <v>146</v>
      </c>
      <c r="D80" s="17" t="s">
        <v>147</v>
      </c>
      <c r="E80" s="17" t="s">
        <v>148</v>
      </c>
      <c r="F80" s="17" t="s">
        <v>149</v>
      </c>
      <c r="G80" s="17" t="s">
        <v>28</v>
      </c>
      <c r="H80" s="17"/>
      <c r="I80" s="17">
        <v>0</v>
      </c>
      <c r="J80" s="17">
        <v>0</v>
      </c>
      <c r="K80" s="17">
        <v>0</v>
      </c>
      <c r="L80" s="17">
        <v>0</v>
      </c>
      <c r="M80" s="17">
        <v>1</v>
      </c>
      <c r="N80" s="17">
        <v>0</v>
      </c>
      <c r="O80" s="17">
        <v>0</v>
      </c>
    </row>
    <row r="81" spans="1:19" ht="18.75">
      <c r="A81" s="17" t="s">
        <v>51</v>
      </c>
      <c r="B81" s="18">
        <v>45615.651388888888</v>
      </c>
      <c r="C81" s="17" t="s">
        <v>151</v>
      </c>
      <c r="D81" s="17" t="s">
        <v>152</v>
      </c>
      <c r="E81" s="17" t="s">
        <v>153</v>
      </c>
      <c r="F81" s="17" t="s">
        <v>154</v>
      </c>
      <c r="G81" s="17" t="s">
        <v>28</v>
      </c>
      <c r="H81" s="17"/>
      <c r="I81" s="17">
        <v>0</v>
      </c>
      <c r="J81" s="17">
        <v>0</v>
      </c>
      <c r="K81" s="17">
        <v>0</v>
      </c>
      <c r="L81" s="17">
        <v>0</v>
      </c>
      <c r="M81" s="17">
        <v>1</v>
      </c>
      <c r="N81" s="17">
        <v>0</v>
      </c>
      <c r="O81" s="17">
        <v>0</v>
      </c>
    </row>
    <row r="82" spans="1:19" ht="18.75">
      <c r="A82" s="17" t="s">
        <v>51</v>
      </c>
      <c r="B82" s="18">
        <v>45616.61041666667</v>
      </c>
      <c r="C82" s="17" t="s">
        <v>155</v>
      </c>
      <c r="D82" s="17" t="s">
        <v>156</v>
      </c>
      <c r="E82" s="17" t="s">
        <v>157</v>
      </c>
      <c r="F82" s="17" t="s">
        <v>119</v>
      </c>
      <c r="G82" s="17" t="s">
        <v>29</v>
      </c>
      <c r="H82" s="17"/>
      <c r="I82" s="17">
        <v>0</v>
      </c>
      <c r="J82" s="17">
        <v>0</v>
      </c>
      <c r="K82" s="17">
        <v>0</v>
      </c>
      <c r="L82" s="17">
        <v>0</v>
      </c>
      <c r="M82" s="17">
        <v>0</v>
      </c>
      <c r="N82" s="17">
        <v>1</v>
      </c>
      <c r="O82" s="17">
        <v>0</v>
      </c>
    </row>
    <row r="83" spans="1:19" ht="18.75">
      <c r="A83" s="17" t="s">
        <v>51</v>
      </c>
      <c r="B83" s="18">
        <v>45623.416666666664</v>
      </c>
      <c r="C83" s="17" t="s">
        <v>158</v>
      </c>
      <c r="D83" s="17" t="s">
        <v>159</v>
      </c>
      <c r="E83" s="17" t="s">
        <v>160</v>
      </c>
      <c r="F83" s="17" t="s">
        <v>119</v>
      </c>
      <c r="G83" s="17" t="s">
        <v>25</v>
      </c>
      <c r="H83" s="17"/>
      <c r="I83" s="17">
        <v>0</v>
      </c>
      <c r="J83" s="17">
        <v>1</v>
      </c>
      <c r="K83" s="17">
        <v>0</v>
      </c>
      <c r="L83" s="17">
        <v>0</v>
      </c>
      <c r="M83" s="17">
        <v>0</v>
      </c>
      <c r="N83" s="17">
        <v>0</v>
      </c>
      <c r="O83" s="17">
        <v>0</v>
      </c>
    </row>
    <row r="84" spans="1:19" ht="18.75">
      <c r="A84" s="17" t="s">
        <v>51</v>
      </c>
      <c r="B84" s="18">
        <v>45623.416666666664</v>
      </c>
      <c r="C84" s="17" t="s">
        <v>158</v>
      </c>
      <c r="D84" s="17" t="s">
        <v>159</v>
      </c>
      <c r="E84" s="17" t="s">
        <v>160</v>
      </c>
      <c r="F84" s="17" t="s">
        <v>119</v>
      </c>
      <c r="G84" s="17" t="s">
        <v>27</v>
      </c>
      <c r="H84" s="17"/>
      <c r="I84" s="17">
        <v>0</v>
      </c>
      <c r="J84" s="17">
        <v>0</v>
      </c>
      <c r="K84" s="17">
        <v>0</v>
      </c>
      <c r="L84" s="17">
        <v>1</v>
      </c>
      <c r="M84" s="17">
        <v>0</v>
      </c>
      <c r="N84" s="17">
        <v>0</v>
      </c>
      <c r="O84" s="17">
        <v>0</v>
      </c>
    </row>
    <row r="85" spans="1:19" ht="18.75">
      <c r="A85" s="17" t="s">
        <v>51</v>
      </c>
      <c r="B85" s="18">
        <v>45623.416666666664</v>
      </c>
      <c r="C85" s="17" t="s">
        <v>158</v>
      </c>
      <c r="D85" s="17" t="s">
        <v>159</v>
      </c>
      <c r="E85" s="17" t="s">
        <v>160</v>
      </c>
      <c r="F85" s="17" t="s">
        <v>119</v>
      </c>
      <c r="G85" s="17" t="s">
        <v>29</v>
      </c>
      <c r="H85" s="17"/>
      <c r="I85" s="17">
        <v>0</v>
      </c>
      <c r="J85" s="17">
        <v>0</v>
      </c>
      <c r="K85" s="17">
        <v>0</v>
      </c>
      <c r="L85" s="17">
        <v>0</v>
      </c>
      <c r="M85" s="17">
        <v>0</v>
      </c>
      <c r="N85" s="17">
        <v>1</v>
      </c>
      <c r="O85" s="17">
        <v>0</v>
      </c>
    </row>
    <row r="86" spans="1:19" ht="18.75">
      <c r="A86" s="17" t="s">
        <v>51</v>
      </c>
      <c r="B86" s="18">
        <v>45623.495833333334</v>
      </c>
      <c r="C86" s="17" t="s">
        <v>161</v>
      </c>
      <c r="D86" s="17" t="s">
        <v>162</v>
      </c>
      <c r="E86" s="17" t="s">
        <v>163</v>
      </c>
      <c r="F86" s="17" t="s">
        <v>119</v>
      </c>
      <c r="G86" s="17" t="s">
        <v>29</v>
      </c>
      <c r="H86" s="17"/>
      <c r="I86" s="17">
        <v>0</v>
      </c>
      <c r="J86" s="17">
        <v>0</v>
      </c>
      <c r="K86" s="17">
        <v>0</v>
      </c>
      <c r="L86" s="17">
        <v>0</v>
      </c>
      <c r="M86" s="17">
        <v>0</v>
      </c>
      <c r="N86" s="17">
        <v>1</v>
      </c>
      <c r="O86" s="17">
        <v>0</v>
      </c>
    </row>
    <row r="87" spans="1:19" ht="18.75">
      <c r="A87" s="17" t="s">
        <v>51</v>
      </c>
      <c r="B87" s="18">
        <v>45623.617361111108</v>
      </c>
      <c r="C87" s="17" t="s">
        <v>164</v>
      </c>
      <c r="D87" s="17" t="s">
        <v>165</v>
      </c>
      <c r="E87" s="17" t="s">
        <v>166</v>
      </c>
      <c r="F87" s="17" t="s">
        <v>154</v>
      </c>
      <c r="G87" s="17" t="s">
        <v>26</v>
      </c>
      <c r="H87" s="17"/>
      <c r="I87" s="17">
        <v>0</v>
      </c>
      <c r="J87" s="17">
        <v>0</v>
      </c>
      <c r="K87" s="17">
        <v>1</v>
      </c>
      <c r="L87" s="17">
        <v>0</v>
      </c>
      <c r="M87" s="17">
        <v>0</v>
      </c>
      <c r="N87" s="17">
        <v>0</v>
      </c>
      <c r="O87" s="17">
        <v>0</v>
      </c>
    </row>
    <row r="88" spans="1:19" ht="18.75">
      <c r="A88" s="17" t="s">
        <v>51</v>
      </c>
      <c r="B88" s="18">
        <v>45636.390277777777</v>
      </c>
      <c r="C88" s="17" t="s">
        <v>170</v>
      </c>
      <c r="D88" s="17" t="s">
        <v>171</v>
      </c>
      <c r="E88" s="17" t="s">
        <v>172</v>
      </c>
      <c r="F88" s="17" t="s">
        <v>119</v>
      </c>
      <c r="G88" s="17" t="s">
        <v>29</v>
      </c>
      <c r="H88" s="17"/>
      <c r="I88" s="17">
        <v>0</v>
      </c>
      <c r="J88" s="17">
        <v>0</v>
      </c>
      <c r="K88" s="17">
        <v>0</v>
      </c>
      <c r="L88" s="17">
        <v>0</v>
      </c>
      <c r="M88" s="17">
        <v>0</v>
      </c>
      <c r="N88" s="17">
        <v>1</v>
      </c>
      <c r="O88" s="17">
        <v>0</v>
      </c>
    </row>
    <row r="89" spans="1:19" ht="18.75">
      <c r="A89" s="17" t="s">
        <v>51</v>
      </c>
      <c r="B89" s="18">
        <v>45638.375694444447</v>
      </c>
      <c r="C89" s="17" t="s">
        <v>173</v>
      </c>
      <c r="D89" s="17" t="s">
        <v>174</v>
      </c>
      <c r="E89" s="17" t="s">
        <v>175</v>
      </c>
      <c r="F89" s="17" t="s">
        <v>119</v>
      </c>
      <c r="G89" s="17" t="s">
        <v>29</v>
      </c>
      <c r="H89" s="17"/>
      <c r="I89" s="17">
        <v>0</v>
      </c>
      <c r="J89" s="17">
        <v>0</v>
      </c>
      <c r="K89" s="17">
        <v>0</v>
      </c>
      <c r="L89" s="17">
        <v>0</v>
      </c>
      <c r="M89" s="17">
        <v>0</v>
      </c>
      <c r="N89" s="17">
        <v>1</v>
      </c>
      <c r="O89" s="17">
        <v>0</v>
      </c>
      <c r="S89" s="7" t="s">
        <v>1256</v>
      </c>
    </row>
    <row r="90" spans="1:19" ht="18.75">
      <c r="A90" s="17" t="s">
        <v>51</v>
      </c>
      <c r="B90" s="18">
        <v>45638.496527777781</v>
      </c>
      <c r="C90" s="17" t="s">
        <v>176</v>
      </c>
      <c r="D90" s="17" t="s">
        <v>177</v>
      </c>
      <c r="E90" s="17" t="s">
        <v>178</v>
      </c>
      <c r="F90" s="17" t="s">
        <v>119</v>
      </c>
      <c r="G90" s="17" t="s">
        <v>24</v>
      </c>
      <c r="H90" s="17"/>
      <c r="I90" s="17">
        <v>1</v>
      </c>
      <c r="J90" s="17">
        <v>0</v>
      </c>
      <c r="K90" s="17">
        <v>0</v>
      </c>
      <c r="L90" s="17">
        <v>0</v>
      </c>
      <c r="M90" s="17">
        <v>0</v>
      </c>
      <c r="N90" s="17">
        <v>0</v>
      </c>
      <c r="O90" s="17">
        <v>0</v>
      </c>
    </row>
    <row r="91" spans="1:19" ht="18.75">
      <c r="A91" s="17" t="s">
        <v>51</v>
      </c>
      <c r="B91" s="18">
        <v>45642.803472222222</v>
      </c>
      <c r="C91" s="17" t="s">
        <v>182</v>
      </c>
      <c r="D91" s="17" t="s">
        <v>183</v>
      </c>
      <c r="E91" s="17" t="s">
        <v>183</v>
      </c>
      <c r="F91" s="17" t="s">
        <v>119</v>
      </c>
      <c r="G91" s="17" t="s">
        <v>26</v>
      </c>
      <c r="H91" s="17"/>
      <c r="I91" s="17">
        <v>0</v>
      </c>
      <c r="J91" s="17">
        <v>0</v>
      </c>
      <c r="K91" s="17">
        <v>1</v>
      </c>
      <c r="L91" s="17">
        <v>0</v>
      </c>
      <c r="M91" s="17">
        <v>0</v>
      </c>
      <c r="N91" s="17">
        <v>0</v>
      </c>
      <c r="O91" s="17">
        <v>0</v>
      </c>
    </row>
    <row r="92" spans="1:19" ht="18.75">
      <c r="A92" s="17" t="s">
        <v>51</v>
      </c>
      <c r="B92" s="18">
        <v>45642.804166666669</v>
      </c>
      <c r="C92" s="17" t="s">
        <v>184</v>
      </c>
      <c r="D92" s="17" t="s">
        <v>185</v>
      </c>
      <c r="E92" s="17" t="s">
        <v>186</v>
      </c>
      <c r="F92" s="17" t="s">
        <v>154</v>
      </c>
      <c r="G92" s="17" t="s">
        <v>26</v>
      </c>
      <c r="H92" s="17"/>
      <c r="I92" s="17">
        <v>0</v>
      </c>
      <c r="J92" s="17">
        <v>0</v>
      </c>
      <c r="K92" s="17">
        <v>1</v>
      </c>
      <c r="L92" s="17">
        <v>0</v>
      </c>
      <c r="M92" s="17">
        <v>0</v>
      </c>
      <c r="N92" s="17">
        <v>0</v>
      </c>
      <c r="O92" s="17">
        <v>0</v>
      </c>
    </row>
    <row r="93" spans="1:19" ht="18.75">
      <c r="A93" s="17" t="s">
        <v>51</v>
      </c>
      <c r="B93" s="18">
        <v>45649.707638888889</v>
      </c>
      <c r="C93" s="17" t="s">
        <v>190</v>
      </c>
      <c r="D93" s="17" t="s">
        <v>191</v>
      </c>
      <c r="E93" s="17" t="s">
        <v>192</v>
      </c>
      <c r="F93" s="17" t="s">
        <v>119</v>
      </c>
      <c r="G93" s="17" t="s">
        <v>26</v>
      </c>
      <c r="H93" s="17"/>
      <c r="I93" s="17">
        <v>0</v>
      </c>
      <c r="J93" s="17">
        <v>0</v>
      </c>
      <c r="K93" s="17">
        <v>1</v>
      </c>
      <c r="L93" s="17">
        <v>0</v>
      </c>
      <c r="M93" s="17">
        <v>0</v>
      </c>
      <c r="N93" s="17">
        <v>0</v>
      </c>
      <c r="O93" s="17">
        <v>0</v>
      </c>
    </row>
    <row r="94" spans="1:19" ht="18.75">
      <c r="A94" s="17" t="s">
        <v>51</v>
      </c>
      <c r="B94" s="18">
        <v>45649.707638888889</v>
      </c>
      <c r="C94" s="17" t="s">
        <v>190</v>
      </c>
      <c r="D94" s="17" t="s">
        <v>191</v>
      </c>
      <c r="E94" s="17" t="s">
        <v>192</v>
      </c>
      <c r="F94" s="17" t="s">
        <v>119</v>
      </c>
      <c r="G94" s="17" t="s">
        <v>29</v>
      </c>
      <c r="H94" s="17"/>
      <c r="I94" s="17">
        <v>0</v>
      </c>
      <c r="J94" s="17">
        <v>0</v>
      </c>
      <c r="K94" s="17">
        <v>0</v>
      </c>
      <c r="L94" s="17">
        <v>0</v>
      </c>
      <c r="M94" s="17">
        <v>0</v>
      </c>
      <c r="N94" s="17">
        <v>1</v>
      </c>
      <c r="O94" s="17">
        <v>0</v>
      </c>
      <c r="R94" s="7" t="s">
        <v>1232</v>
      </c>
      <c r="S94" s="7" t="s">
        <v>1257</v>
      </c>
    </row>
    <row r="95" spans="1:19" ht="18.75">
      <c r="A95" s="17" t="s">
        <v>51</v>
      </c>
      <c r="B95" s="18">
        <v>45664.438194444447</v>
      </c>
      <c r="C95" s="17" t="s">
        <v>204</v>
      </c>
      <c r="D95" s="17" t="s">
        <v>205</v>
      </c>
      <c r="E95" s="17" t="s">
        <v>206</v>
      </c>
      <c r="F95" s="17" t="s">
        <v>119</v>
      </c>
      <c r="G95" s="17" t="s">
        <v>28</v>
      </c>
      <c r="H95" s="17"/>
      <c r="I95" s="17">
        <v>0</v>
      </c>
      <c r="J95" s="17">
        <v>0</v>
      </c>
      <c r="K95" s="17">
        <v>0</v>
      </c>
      <c r="L95" s="17">
        <v>0</v>
      </c>
      <c r="M95" s="17">
        <v>1</v>
      </c>
      <c r="N95" s="17">
        <v>0</v>
      </c>
      <c r="O95" s="17">
        <v>0</v>
      </c>
    </row>
    <row r="96" spans="1:19" ht="18.75">
      <c r="A96" s="17" t="s">
        <v>51</v>
      </c>
      <c r="B96" s="18">
        <v>45667.584722222222</v>
      </c>
      <c r="C96" s="17" t="s">
        <v>213</v>
      </c>
      <c r="D96" s="17" t="s">
        <v>214</v>
      </c>
      <c r="E96" s="17" t="s">
        <v>215</v>
      </c>
      <c r="F96" s="17" t="s">
        <v>119</v>
      </c>
      <c r="G96" s="17" t="s">
        <v>29</v>
      </c>
      <c r="H96" s="17"/>
      <c r="I96" s="17">
        <v>0</v>
      </c>
      <c r="J96" s="17">
        <v>0</v>
      </c>
      <c r="K96" s="17">
        <v>0</v>
      </c>
      <c r="L96" s="17">
        <v>0</v>
      </c>
      <c r="M96" s="17">
        <v>0</v>
      </c>
      <c r="N96" s="17">
        <v>1</v>
      </c>
      <c r="O96" s="17">
        <v>0</v>
      </c>
    </row>
    <row r="97" spans="1:15" ht="18.75">
      <c r="A97" s="17" t="s">
        <v>51</v>
      </c>
      <c r="B97" s="18">
        <v>45678.381944444445</v>
      </c>
      <c r="C97" s="17" t="s">
        <v>235</v>
      </c>
      <c r="D97" s="17" t="s">
        <v>236</v>
      </c>
      <c r="E97" s="17" t="s">
        <v>237</v>
      </c>
      <c r="F97" s="17" t="s">
        <v>119</v>
      </c>
      <c r="G97" s="17" t="s">
        <v>28</v>
      </c>
      <c r="H97" s="17"/>
      <c r="I97" s="17">
        <v>0</v>
      </c>
      <c r="J97" s="17">
        <v>0</v>
      </c>
      <c r="K97" s="17">
        <v>0</v>
      </c>
      <c r="L97" s="17">
        <v>0</v>
      </c>
      <c r="M97" s="17">
        <v>1</v>
      </c>
      <c r="N97" s="17">
        <v>0</v>
      </c>
      <c r="O97" s="17">
        <v>0</v>
      </c>
    </row>
    <row r="98" spans="1:15" ht="18.75">
      <c r="A98" s="17" t="s">
        <v>51</v>
      </c>
      <c r="B98" s="18">
        <v>45681.594444444447</v>
      </c>
      <c r="C98" s="17" t="s">
        <v>244</v>
      </c>
      <c r="D98" s="17" t="s">
        <v>245</v>
      </c>
      <c r="E98" s="17" t="s">
        <v>246</v>
      </c>
      <c r="F98" s="17" t="s">
        <v>119</v>
      </c>
      <c r="G98" s="17" t="s">
        <v>27</v>
      </c>
      <c r="H98" s="17"/>
      <c r="I98" s="17">
        <v>0</v>
      </c>
      <c r="J98" s="17">
        <v>0</v>
      </c>
      <c r="K98" s="17">
        <v>0</v>
      </c>
      <c r="L98" s="17">
        <v>1</v>
      </c>
      <c r="M98" s="17">
        <v>0</v>
      </c>
      <c r="N98" s="17">
        <v>0</v>
      </c>
      <c r="O98" s="17">
        <v>0</v>
      </c>
    </row>
    <row r="99" spans="1:15" ht="18.75">
      <c r="A99" s="17" t="s">
        <v>51</v>
      </c>
      <c r="B99" s="18">
        <v>45691.425000000003</v>
      </c>
      <c r="C99" s="17" t="s">
        <v>253</v>
      </c>
      <c r="D99" s="17" t="s">
        <v>1258</v>
      </c>
      <c r="E99" s="17" t="s">
        <v>255</v>
      </c>
      <c r="F99" s="17" t="s">
        <v>135</v>
      </c>
      <c r="G99" s="17" t="s">
        <v>28</v>
      </c>
      <c r="H99" s="17"/>
      <c r="I99" s="17">
        <v>0</v>
      </c>
      <c r="J99" s="17">
        <v>0</v>
      </c>
      <c r="K99" s="17">
        <v>0</v>
      </c>
      <c r="L99" s="17">
        <v>0</v>
      </c>
      <c r="M99" s="17">
        <v>1</v>
      </c>
      <c r="N99" s="17">
        <v>0</v>
      </c>
      <c r="O99" s="17">
        <v>0</v>
      </c>
    </row>
    <row r="100" spans="1:15" ht="18.75">
      <c r="A100" s="17" t="s">
        <v>51</v>
      </c>
      <c r="B100" s="18">
        <v>45691.440972222219</v>
      </c>
      <c r="C100" s="17" t="s">
        <v>257</v>
      </c>
      <c r="D100" s="17" t="s">
        <v>258</v>
      </c>
      <c r="E100" s="17" t="s">
        <v>259</v>
      </c>
      <c r="F100" s="17" t="s">
        <v>135</v>
      </c>
      <c r="G100" s="17" t="s">
        <v>28</v>
      </c>
      <c r="H100" s="17"/>
      <c r="I100" s="17">
        <v>0</v>
      </c>
      <c r="J100" s="17">
        <v>0</v>
      </c>
      <c r="K100" s="17">
        <v>0</v>
      </c>
      <c r="L100" s="17">
        <v>0</v>
      </c>
      <c r="M100" s="17">
        <v>1</v>
      </c>
      <c r="N100" s="17">
        <v>0</v>
      </c>
      <c r="O100" s="17">
        <v>0</v>
      </c>
    </row>
    <row r="101" spans="1:15" s="15" customFormat="1" ht="18.75">
      <c r="A101" s="17" t="s">
        <v>51</v>
      </c>
      <c r="B101" s="18">
        <v>45693.643750000003</v>
      </c>
      <c r="C101" s="17" t="s">
        <v>260</v>
      </c>
      <c r="D101" s="17" t="s">
        <v>261</v>
      </c>
      <c r="E101" s="17" t="s">
        <v>262</v>
      </c>
      <c r="F101" s="17" t="s">
        <v>119</v>
      </c>
      <c r="G101" s="17" t="s">
        <v>26</v>
      </c>
      <c r="H101" s="17"/>
      <c r="I101" s="17">
        <v>0</v>
      </c>
      <c r="J101" s="17">
        <v>0</v>
      </c>
      <c r="K101" s="17">
        <v>1</v>
      </c>
      <c r="L101" s="17">
        <v>0</v>
      </c>
      <c r="M101" s="17">
        <v>0</v>
      </c>
      <c r="N101" s="17">
        <v>0</v>
      </c>
      <c r="O101" s="17">
        <v>0</v>
      </c>
    </row>
    <row r="102" spans="1:15" ht="18.75">
      <c r="A102" s="17" t="s">
        <v>51</v>
      </c>
      <c r="B102" s="18">
        <v>45693.643750000003</v>
      </c>
      <c r="C102" s="17" t="s">
        <v>260</v>
      </c>
      <c r="D102" s="17" t="s">
        <v>261</v>
      </c>
      <c r="E102" s="17" t="s">
        <v>262</v>
      </c>
      <c r="F102" s="17" t="s">
        <v>119</v>
      </c>
      <c r="G102" s="17" t="s">
        <v>27</v>
      </c>
      <c r="H102" s="17"/>
      <c r="I102" s="17">
        <v>0</v>
      </c>
      <c r="J102" s="17">
        <v>0</v>
      </c>
      <c r="K102" s="17">
        <v>0</v>
      </c>
      <c r="L102" s="17">
        <v>1</v>
      </c>
      <c r="M102" s="17">
        <v>0</v>
      </c>
      <c r="N102" s="17">
        <v>0</v>
      </c>
      <c r="O102" s="17">
        <v>0</v>
      </c>
    </row>
    <row r="103" spans="1:15" ht="18.75">
      <c r="A103" s="17" t="s">
        <v>51</v>
      </c>
      <c r="B103" s="18">
        <v>45697.667361111111</v>
      </c>
      <c r="C103" s="17" t="s">
        <v>263</v>
      </c>
      <c r="D103" s="17" t="s">
        <v>264</v>
      </c>
      <c r="E103" s="17" t="s">
        <v>265</v>
      </c>
      <c r="F103" s="17" t="s">
        <v>119</v>
      </c>
      <c r="G103" s="17" t="s">
        <v>26</v>
      </c>
      <c r="H103" s="17"/>
      <c r="I103" s="17">
        <v>0</v>
      </c>
      <c r="J103" s="17">
        <v>0</v>
      </c>
      <c r="K103" s="17">
        <v>1</v>
      </c>
      <c r="L103" s="17">
        <v>0</v>
      </c>
      <c r="M103" s="17">
        <v>0</v>
      </c>
      <c r="N103" s="17">
        <v>0</v>
      </c>
      <c r="O103" s="17">
        <v>0</v>
      </c>
    </row>
    <row r="104" spans="1:15" ht="18.75">
      <c r="A104" s="17" t="s">
        <v>51</v>
      </c>
      <c r="B104" s="18">
        <v>45701.570138888892</v>
      </c>
      <c r="C104" s="17" t="s">
        <v>275</v>
      </c>
      <c r="D104" s="17" t="s">
        <v>276</v>
      </c>
      <c r="E104" s="17" t="s">
        <v>1259</v>
      </c>
      <c r="F104" s="17" t="s">
        <v>119</v>
      </c>
      <c r="G104" s="17" t="s">
        <v>26</v>
      </c>
      <c r="H104" s="17"/>
      <c r="I104" s="17">
        <v>0</v>
      </c>
      <c r="J104" s="17">
        <v>0</v>
      </c>
      <c r="K104" s="17">
        <v>1</v>
      </c>
      <c r="L104" s="17">
        <v>0</v>
      </c>
      <c r="M104" s="17">
        <v>0</v>
      </c>
      <c r="N104" s="17">
        <v>0</v>
      </c>
      <c r="O104" s="17">
        <v>0</v>
      </c>
    </row>
    <row r="105" spans="1:15" s="15" customFormat="1" ht="18.75">
      <c r="A105" s="17" t="s">
        <v>51</v>
      </c>
      <c r="B105" s="18">
        <v>45702.645138888889</v>
      </c>
      <c r="C105" s="17" t="s">
        <v>281</v>
      </c>
      <c r="D105" s="17" t="s">
        <v>282</v>
      </c>
      <c r="E105" s="17" t="s">
        <v>283</v>
      </c>
      <c r="F105" s="17" t="s">
        <v>135</v>
      </c>
      <c r="G105" s="17" t="s">
        <v>24</v>
      </c>
      <c r="H105" s="17"/>
      <c r="I105" s="17">
        <v>1</v>
      </c>
      <c r="J105" s="17">
        <v>0</v>
      </c>
      <c r="K105" s="17">
        <v>0</v>
      </c>
      <c r="L105" s="17">
        <v>0</v>
      </c>
      <c r="M105" s="17">
        <v>0</v>
      </c>
      <c r="N105" s="17">
        <v>0</v>
      </c>
      <c r="O105" s="17">
        <v>0</v>
      </c>
    </row>
    <row r="106" spans="1:15" s="15" customFormat="1" ht="18.75">
      <c r="A106" s="17" t="s">
        <v>51</v>
      </c>
      <c r="B106" s="18">
        <v>45702.645138888889</v>
      </c>
      <c r="C106" s="17" t="s">
        <v>281</v>
      </c>
      <c r="D106" s="17" t="s">
        <v>282</v>
      </c>
      <c r="E106" s="17" t="s">
        <v>283</v>
      </c>
      <c r="F106" s="17" t="s">
        <v>135</v>
      </c>
      <c r="G106" s="17" t="s">
        <v>28</v>
      </c>
      <c r="H106" s="17"/>
      <c r="I106" s="17">
        <v>0</v>
      </c>
      <c r="J106" s="17">
        <v>0</v>
      </c>
      <c r="K106" s="17">
        <v>0</v>
      </c>
      <c r="L106" s="17">
        <v>0</v>
      </c>
      <c r="M106" s="17">
        <v>1</v>
      </c>
      <c r="N106" s="17">
        <v>0</v>
      </c>
      <c r="O106" s="17">
        <v>0</v>
      </c>
    </row>
    <row r="107" spans="1:15" ht="18.75">
      <c r="A107" s="17" t="s">
        <v>51</v>
      </c>
      <c r="B107" s="18">
        <v>45702.645138888889</v>
      </c>
      <c r="C107" s="17" t="s">
        <v>281</v>
      </c>
      <c r="D107" s="17" t="s">
        <v>282</v>
      </c>
      <c r="E107" s="17" t="s">
        <v>283</v>
      </c>
      <c r="F107" s="17" t="s">
        <v>135</v>
      </c>
      <c r="G107" s="17" t="s">
        <v>29</v>
      </c>
      <c r="H107" s="17"/>
      <c r="I107" s="17">
        <v>0</v>
      </c>
      <c r="J107" s="17">
        <v>0</v>
      </c>
      <c r="K107" s="17">
        <v>0</v>
      </c>
      <c r="L107" s="17">
        <v>0</v>
      </c>
      <c r="M107" s="17">
        <v>0</v>
      </c>
      <c r="N107" s="17">
        <v>1</v>
      </c>
      <c r="O107" s="17">
        <v>0</v>
      </c>
    </row>
    <row r="108" spans="1:15" ht="18.75">
      <c r="A108" s="17" t="s">
        <v>51</v>
      </c>
      <c r="B108" s="18">
        <v>45706.452777777777</v>
      </c>
      <c r="C108" s="17" t="s">
        <v>285</v>
      </c>
      <c r="D108" s="17" t="s">
        <v>286</v>
      </c>
      <c r="E108" s="17" t="s">
        <v>287</v>
      </c>
      <c r="F108" s="17" t="s">
        <v>149</v>
      </c>
      <c r="G108" s="17" t="s">
        <v>29</v>
      </c>
      <c r="H108" s="17"/>
      <c r="I108" s="17">
        <v>0</v>
      </c>
      <c r="J108" s="17">
        <v>0</v>
      </c>
      <c r="K108" s="17">
        <v>0</v>
      </c>
      <c r="L108" s="17">
        <v>0</v>
      </c>
      <c r="M108" s="17">
        <v>0</v>
      </c>
      <c r="N108" s="17">
        <v>1</v>
      </c>
      <c r="O108" s="17">
        <v>0</v>
      </c>
    </row>
    <row r="109" spans="1:15" ht="18.75">
      <c r="A109" s="17" t="s">
        <v>51</v>
      </c>
      <c r="B109" s="18">
        <v>45722.552777777775</v>
      </c>
      <c r="C109" s="17" t="s">
        <v>320</v>
      </c>
      <c r="D109" s="17" t="s">
        <v>321</v>
      </c>
      <c r="E109" s="17" t="s">
        <v>322</v>
      </c>
      <c r="F109" s="17" t="s">
        <v>119</v>
      </c>
      <c r="G109" s="17" t="s">
        <v>25</v>
      </c>
      <c r="H109" s="17"/>
      <c r="I109" s="17">
        <v>0</v>
      </c>
      <c r="J109" s="17">
        <v>1</v>
      </c>
      <c r="K109" s="17">
        <v>0</v>
      </c>
      <c r="L109" s="17">
        <v>0</v>
      </c>
      <c r="M109" s="17">
        <v>0</v>
      </c>
      <c r="N109" s="17">
        <v>0</v>
      </c>
      <c r="O109" s="17">
        <v>0</v>
      </c>
    </row>
    <row r="110" spans="1:15" ht="18.75">
      <c r="A110" s="17" t="s">
        <v>51</v>
      </c>
      <c r="B110" s="18">
        <v>45734.582638888889</v>
      </c>
      <c r="C110" s="17" t="s">
        <v>344</v>
      </c>
      <c r="D110" s="17" t="s">
        <v>345</v>
      </c>
      <c r="E110" s="17" t="s">
        <v>346</v>
      </c>
      <c r="F110" s="17" t="s">
        <v>119</v>
      </c>
      <c r="G110" s="17" t="s">
        <v>24</v>
      </c>
      <c r="H110" s="17"/>
      <c r="I110" s="17">
        <v>1</v>
      </c>
      <c r="J110" s="17">
        <v>0</v>
      </c>
      <c r="K110" s="17">
        <v>0</v>
      </c>
      <c r="L110" s="17">
        <v>0</v>
      </c>
      <c r="M110" s="17">
        <v>0</v>
      </c>
      <c r="N110" s="17">
        <v>0</v>
      </c>
      <c r="O110" s="17">
        <v>0</v>
      </c>
    </row>
    <row r="111" spans="1:15" ht="18.75">
      <c r="A111" s="17" t="s">
        <v>51</v>
      </c>
      <c r="B111" s="18">
        <v>45735.395833333336</v>
      </c>
      <c r="C111" s="17" t="s">
        <v>347</v>
      </c>
      <c r="D111" s="17" t="s">
        <v>348</v>
      </c>
      <c r="E111" s="17" t="s">
        <v>349</v>
      </c>
      <c r="F111" s="17" t="s">
        <v>119</v>
      </c>
      <c r="G111" s="17" t="s">
        <v>29</v>
      </c>
      <c r="H111" s="17"/>
      <c r="I111" s="17">
        <v>0</v>
      </c>
      <c r="J111" s="17">
        <v>0</v>
      </c>
      <c r="K111" s="17">
        <v>0</v>
      </c>
      <c r="L111" s="17">
        <v>0</v>
      </c>
      <c r="M111" s="17">
        <v>0</v>
      </c>
      <c r="N111" s="17">
        <v>1</v>
      </c>
      <c r="O111" s="17">
        <v>0</v>
      </c>
    </row>
    <row r="112" spans="1:15" ht="18.75">
      <c r="A112" s="17" t="s">
        <v>51</v>
      </c>
      <c r="B112" s="18">
        <v>45741.665972222225</v>
      </c>
      <c r="C112" s="17" t="s">
        <v>362</v>
      </c>
      <c r="D112" s="17" t="s">
        <v>363</v>
      </c>
      <c r="E112" s="17" t="s">
        <v>364</v>
      </c>
      <c r="F112" s="17" t="s">
        <v>365</v>
      </c>
      <c r="G112" s="17" t="s">
        <v>27</v>
      </c>
      <c r="H112" s="17"/>
      <c r="I112" s="17">
        <v>0</v>
      </c>
      <c r="J112" s="17">
        <v>0</v>
      </c>
      <c r="K112" s="17">
        <v>0</v>
      </c>
      <c r="L112" s="17">
        <v>1</v>
      </c>
      <c r="M112" s="17">
        <v>0</v>
      </c>
      <c r="N112" s="17">
        <v>0</v>
      </c>
      <c r="O112" s="17">
        <v>0</v>
      </c>
    </row>
    <row r="113" spans="1:15" ht="18.75">
      <c r="A113" s="17" t="s">
        <v>51</v>
      </c>
      <c r="B113" s="18">
        <v>45741.665972222225</v>
      </c>
      <c r="C113" s="17" t="s">
        <v>362</v>
      </c>
      <c r="D113" s="17" t="s">
        <v>363</v>
      </c>
      <c r="E113" s="17" t="s">
        <v>364</v>
      </c>
      <c r="F113" s="17" t="s">
        <v>365</v>
      </c>
      <c r="G113" s="17" t="s">
        <v>29</v>
      </c>
      <c r="H113" s="17"/>
      <c r="I113" s="17">
        <v>0</v>
      </c>
      <c r="J113" s="17">
        <v>0</v>
      </c>
      <c r="K113" s="17">
        <v>0</v>
      </c>
      <c r="L113" s="17">
        <v>0</v>
      </c>
      <c r="M113" s="17">
        <v>0</v>
      </c>
      <c r="N113" s="17">
        <v>1</v>
      </c>
      <c r="O113" s="17">
        <v>0</v>
      </c>
    </row>
    <row r="114" spans="1:15" ht="18.75">
      <c r="A114" s="17" t="s">
        <v>51</v>
      </c>
      <c r="B114" s="18">
        <v>45743.392361111109</v>
      </c>
      <c r="C114" s="17" t="s">
        <v>370</v>
      </c>
      <c r="D114" s="17" t="s">
        <v>1260</v>
      </c>
      <c r="E114" s="17" t="s">
        <v>372</v>
      </c>
      <c r="F114" s="17" t="s">
        <v>365</v>
      </c>
      <c r="G114" s="17" t="s">
        <v>28</v>
      </c>
      <c r="H114" s="17"/>
      <c r="I114" s="17">
        <v>0</v>
      </c>
      <c r="J114" s="17">
        <v>0</v>
      </c>
      <c r="K114" s="17">
        <v>0</v>
      </c>
      <c r="L114" s="17">
        <v>0</v>
      </c>
      <c r="M114" s="17">
        <v>1</v>
      </c>
      <c r="N114" s="17">
        <v>0</v>
      </c>
      <c r="O114" s="17">
        <v>0</v>
      </c>
    </row>
    <row r="115" spans="1:15" ht="18.75">
      <c r="A115" s="17" t="s">
        <v>84</v>
      </c>
      <c r="B115" s="18">
        <v>45558.742361111108</v>
      </c>
      <c r="C115" s="17" t="s">
        <v>57</v>
      </c>
      <c r="D115" s="17" t="s">
        <v>58</v>
      </c>
      <c r="E115" s="17" t="s">
        <v>1261</v>
      </c>
      <c r="F115" s="17" t="s">
        <v>55</v>
      </c>
      <c r="G115" s="17" t="s">
        <v>26</v>
      </c>
      <c r="H115" s="17"/>
      <c r="I115" s="17">
        <v>0</v>
      </c>
      <c r="J115" s="17">
        <v>0</v>
      </c>
      <c r="K115" s="17">
        <v>1</v>
      </c>
      <c r="L115" s="17">
        <v>0</v>
      </c>
      <c r="M115" s="17">
        <v>0</v>
      </c>
      <c r="N115" s="17">
        <v>0</v>
      </c>
      <c r="O115" s="17">
        <v>0</v>
      </c>
    </row>
    <row r="116" spans="1:15" ht="18.75">
      <c r="A116" s="17" t="s">
        <v>84</v>
      </c>
      <c r="B116" s="18">
        <v>45561.854166666664</v>
      </c>
      <c r="C116" s="17" t="s">
        <v>63</v>
      </c>
      <c r="D116" s="17" t="s">
        <v>64</v>
      </c>
      <c r="E116" s="17" t="s">
        <v>65</v>
      </c>
      <c r="F116" s="17" t="s">
        <v>55</v>
      </c>
      <c r="G116" s="17" t="s">
        <v>25</v>
      </c>
      <c r="H116" s="17"/>
      <c r="I116" s="17">
        <v>0</v>
      </c>
      <c r="J116" s="17">
        <v>1</v>
      </c>
      <c r="K116" s="17">
        <v>0</v>
      </c>
      <c r="L116" s="17">
        <v>0</v>
      </c>
      <c r="M116" s="17">
        <v>0</v>
      </c>
      <c r="N116" s="17">
        <v>0</v>
      </c>
      <c r="O116" s="17">
        <v>0</v>
      </c>
    </row>
    <row r="117" spans="1:15" ht="18.75">
      <c r="A117" s="17" t="s">
        <v>84</v>
      </c>
      <c r="B117" s="18">
        <v>45561.854166666664</v>
      </c>
      <c r="C117" s="17" t="s">
        <v>63</v>
      </c>
      <c r="D117" s="17" t="s">
        <v>64</v>
      </c>
      <c r="E117" s="17" t="s">
        <v>65</v>
      </c>
      <c r="F117" s="17" t="s">
        <v>55</v>
      </c>
      <c r="G117" s="17" t="s">
        <v>26</v>
      </c>
      <c r="H117" s="17"/>
      <c r="I117" s="17">
        <v>0</v>
      </c>
      <c r="J117" s="17">
        <v>0</v>
      </c>
      <c r="K117" s="17">
        <v>1</v>
      </c>
      <c r="L117" s="17">
        <v>0</v>
      </c>
      <c r="M117" s="17">
        <v>0</v>
      </c>
      <c r="N117" s="17">
        <v>0</v>
      </c>
      <c r="O117" s="17">
        <v>0</v>
      </c>
    </row>
    <row r="118" spans="1:15" ht="18.75">
      <c r="A118" s="17" t="s">
        <v>84</v>
      </c>
      <c r="B118" s="18">
        <v>45597.724999999999</v>
      </c>
      <c r="C118" s="17" t="s">
        <v>85</v>
      </c>
      <c r="D118" s="17" t="s">
        <v>86</v>
      </c>
      <c r="E118" s="17" t="s">
        <v>87</v>
      </c>
      <c r="F118" s="17" t="s">
        <v>55</v>
      </c>
      <c r="G118" s="17" t="s">
        <v>27</v>
      </c>
      <c r="H118" s="17"/>
      <c r="I118" s="17">
        <v>0</v>
      </c>
      <c r="J118" s="17">
        <v>0</v>
      </c>
      <c r="K118" s="17">
        <v>0</v>
      </c>
      <c r="L118" s="17">
        <v>1</v>
      </c>
      <c r="M118" s="17">
        <v>0</v>
      </c>
      <c r="N118" s="17">
        <v>0</v>
      </c>
      <c r="O118" s="17">
        <v>0</v>
      </c>
    </row>
    <row r="119" spans="1:15" ht="18.75">
      <c r="A119" s="17" t="s">
        <v>84</v>
      </c>
      <c r="B119" s="18">
        <v>45597.724999999999</v>
      </c>
      <c r="C119" s="17" t="s">
        <v>85</v>
      </c>
      <c r="D119" s="17" t="s">
        <v>86</v>
      </c>
      <c r="E119" s="17" t="s">
        <v>87</v>
      </c>
      <c r="F119" s="17" t="s">
        <v>55</v>
      </c>
      <c r="G119" s="17" t="s">
        <v>29</v>
      </c>
      <c r="H119" s="17"/>
      <c r="I119" s="17">
        <v>0</v>
      </c>
      <c r="J119" s="17">
        <v>0</v>
      </c>
      <c r="K119" s="17">
        <v>0</v>
      </c>
      <c r="L119" s="17">
        <v>0</v>
      </c>
      <c r="M119" s="17">
        <v>0</v>
      </c>
      <c r="N119" s="17">
        <v>1</v>
      </c>
      <c r="O119" s="17">
        <v>0</v>
      </c>
    </row>
    <row r="120" spans="1:15" ht="18.75">
      <c r="A120" s="17" t="s">
        <v>84</v>
      </c>
      <c r="B120" s="18">
        <v>45602.741666666669</v>
      </c>
      <c r="C120" s="17" t="s">
        <v>105</v>
      </c>
      <c r="D120" s="17" t="s">
        <v>106</v>
      </c>
      <c r="E120" s="17" t="s">
        <v>107</v>
      </c>
      <c r="F120" s="17" t="s">
        <v>91</v>
      </c>
      <c r="G120" s="17" t="s">
        <v>27</v>
      </c>
      <c r="H120" s="17"/>
      <c r="I120" s="17">
        <v>0</v>
      </c>
      <c r="J120" s="17">
        <v>0</v>
      </c>
      <c r="K120" s="17">
        <v>0</v>
      </c>
      <c r="L120" s="17">
        <v>1</v>
      </c>
      <c r="M120" s="17">
        <v>0</v>
      </c>
      <c r="N120" s="17">
        <v>0</v>
      </c>
      <c r="O120" s="17">
        <v>0</v>
      </c>
    </row>
    <row r="121" spans="1:15" ht="18.75">
      <c r="A121" s="17" t="s">
        <v>84</v>
      </c>
      <c r="B121" s="18">
        <v>45602.741666666669</v>
      </c>
      <c r="C121" s="17" t="s">
        <v>105</v>
      </c>
      <c r="D121" s="17" t="s">
        <v>106</v>
      </c>
      <c r="E121" s="17" t="s">
        <v>107</v>
      </c>
      <c r="F121" s="17" t="s">
        <v>91</v>
      </c>
      <c r="G121" s="17" t="s">
        <v>29</v>
      </c>
      <c r="H121" s="17"/>
      <c r="I121" s="17">
        <v>0</v>
      </c>
      <c r="J121" s="17">
        <v>0</v>
      </c>
      <c r="K121" s="17">
        <v>0</v>
      </c>
      <c r="L121" s="17">
        <v>0</v>
      </c>
      <c r="M121" s="17">
        <v>0</v>
      </c>
      <c r="N121" s="17">
        <v>1</v>
      </c>
      <c r="O121" s="17">
        <v>0</v>
      </c>
    </row>
    <row r="122" spans="1:15" ht="18.75">
      <c r="A122" s="17" t="s">
        <v>84</v>
      </c>
      <c r="B122" s="18">
        <v>45603.719444444447</v>
      </c>
      <c r="C122" s="17" t="s">
        <v>113</v>
      </c>
      <c r="D122" s="17" t="s">
        <v>114</v>
      </c>
      <c r="E122" s="17" t="s">
        <v>115</v>
      </c>
      <c r="F122" s="17" t="s">
        <v>55</v>
      </c>
      <c r="G122" s="17" t="s">
        <v>26</v>
      </c>
      <c r="H122" s="17"/>
      <c r="I122" s="17">
        <v>0</v>
      </c>
      <c r="J122" s="17">
        <v>0</v>
      </c>
      <c r="K122" s="17">
        <v>1</v>
      </c>
      <c r="L122" s="17">
        <v>0</v>
      </c>
      <c r="M122" s="17">
        <v>0</v>
      </c>
      <c r="N122" s="17">
        <v>0</v>
      </c>
      <c r="O122" s="17">
        <v>0</v>
      </c>
    </row>
    <row r="123" spans="1:15" ht="18.75">
      <c r="A123" s="17" t="s">
        <v>84</v>
      </c>
      <c r="B123" s="18">
        <v>45603.719444444447</v>
      </c>
      <c r="C123" s="17" t="s">
        <v>113</v>
      </c>
      <c r="D123" s="17" t="s">
        <v>114</v>
      </c>
      <c r="E123" s="17" t="s">
        <v>115</v>
      </c>
      <c r="F123" s="17" t="s">
        <v>55</v>
      </c>
      <c r="G123" s="17" t="s">
        <v>27</v>
      </c>
      <c r="H123" s="17"/>
      <c r="I123" s="17">
        <v>0</v>
      </c>
      <c r="J123" s="17">
        <v>0</v>
      </c>
      <c r="K123" s="17">
        <v>0</v>
      </c>
      <c r="L123" s="17">
        <v>1</v>
      </c>
      <c r="M123" s="17">
        <v>0</v>
      </c>
      <c r="N123" s="17">
        <v>0</v>
      </c>
      <c r="O123" s="17">
        <v>0</v>
      </c>
    </row>
    <row r="124" spans="1:15" ht="18.75">
      <c r="A124" s="17" t="s">
        <v>84</v>
      </c>
      <c r="B124" s="18">
        <v>45603.719444444447</v>
      </c>
      <c r="C124" s="17" t="s">
        <v>113</v>
      </c>
      <c r="D124" s="17" t="s">
        <v>114</v>
      </c>
      <c r="E124" s="17" t="s">
        <v>115</v>
      </c>
      <c r="F124" s="17" t="s">
        <v>55</v>
      </c>
      <c r="G124" s="17" t="s">
        <v>29</v>
      </c>
      <c r="H124" s="17"/>
      <c r="I124" s="17">
        <v>0</v>
      </c>
      <c r="J124" s="17">
        <v>0</v>
      </c>
      <c r="K124" s="17">
        <v>0</v>
      </c>
      <c r="L124" s="17">
        <v>0</v>
      </c>
      <c r="M124" s="17">
        <v>0</v>
      </c>
      <c r="N124" s="17">
        <v>1</v>
      </c>
      <c r="O124" s="17">
        <v>0</v>
      </c>
    </row>
    <row r="125" spans="1:15" ht="18.75">
      <c r="A125" s="17" t="s">
        <v>84</v>
      </c>
      <c r="B125" s="18">
        <v>45607.495138888888</v>
      </c>
      <c r="C125" s="17" t="s">
        <v>120</v>
      </c>
      <c r="D125" s="17" t="s">
        <v>121</v>
      </c>
      <c r="E125" s="17" t="s">
        <v>122</v>
      </c>
      <c r="F125" s="17" t="s">
        <v>123</v>
      </c>
      <c r="G125" s="17" t="s">
        <v>26</v>
      </c>
      <c r="H125" s="17"/>
      <c r="I125" s="17">
        <v>0</v>
      </c>
      <c r="J125" s="17">
        <v>0</v>
      </c>
      <c r="K125" s="17">
        <v>1</v>
      </c>
      <c r="L125" s="17">
        <v>0</v>
      </c>
      <c r="M125" s="17">
        <v>0</v>
      </c>
      <c r="N125" s="17">
        <v>0</v>
      </c>
      <c r="O125" s="17">
        <v>0</v>
      </c>
    </row>
    <row r="126" spans="1:15" ht="18.75">
      <c r="A126" s="17" t="s">
        <v>84</v>
      </c>
      <c r="B126" s="18">
        <v>45607.495138888888</v>
      </c>
      <c r="C126" s="17" t="s">
        <v>120</v>
      </c>
      <c r="D126" s="17" t="s">
        <v>121</v>
      </c>
      <c r="E126" s="17" t="s">
        <v>122</v>
      </c>
      <c r="F126" s="17" t="s">
        <v>123</v>
      </c>
      <c r="G126" s="17" t="s">
        <v>27</v>
      </c>
      <c r="H126" s="17"/>
      <c r="I126" s="17">
        <v>0</v>
      </c>
      <c r="J126" s="17">
        <v>0</v>
      </c>
      <c r="K126" s="17">
        <v>0</v>
      </c>
      <c r="L126" s="17">
        <v>1</v>
      </c>
      <c r="M126" s="17">
        <v>0</v>
      </c>
      <c r="N126" s="17">
        <v>0</v>
      </c>
      <c r="O126" s="17">
        <v>0</v>
      </c>
    </row>
    <row r="127" spans="1:15" ht="18.75">
      <c r="A127" s="17" t="s">
        <v>84</v>
      </c>
      <c r="B127" s="18">
        <v>45608.551388888889</v>
      </c>
      <c r="C127" s="17" t="s">
        <v>124</v>
      </c>
      <c r="D127" s="17" t="s">
        <v>125</v>
      </c>
      <c r="E127" s="17" t="s">
        <v>126</v>
      </c>
      <c r="F127" s="17" t="s">
        <v>123</v>
      </c>
      <c r="G127" s="17" t="s">
        <v>25</v>
      </c>
      <c r="H127" s="17"/>
      <c r="I127" s="17">
        <v>0</v>
      </c>
      <c r="J127" s="17">
        <v>1</v>
      </c>
      <c r="K127" s="17">
        <v>0</v>
      </c>
      <c r="L127" s="17">
        <v>0</v>
      </c>
      <c r="M127" s="17">
        <v>0</v>
      </c>
      <c r="N127" s="17">
        <v>0</v>
      </c>
      <c r="O127" s="17">
        <v>0</v>
      </c>
    </row>
    <row r="128" spans="1:15" ht="18.75">
      <c r="A128" s="17" t="s">
        <v>84</v>
      </c>
      <c r="B128" s="18">
        <v>45608.551388888889</v>
      </c>
      <c r="C128" s="17" t="s">
        <v>124</v>
      </c>
      <c r="D128" s="17" t="s">
        <v>125</v>
      </c>
      <c r="E128" s="17" t="s">
        <v>126</v>
      </c>
      <c r="F128" s="17" t="s">
        <v>123</v>
      </c>
      <c r="G128" s="17" t="s">
        <v>27</v>
      </c>
      <c r="H128" s="17"/>
      <c r="I128" s="17">
        <v>0</v>
      </c>
      <c r="J128" s="17">
        <v>0</v>
      </c>
      <c r="K128" s="17">
        <v>0</v>
      </c>
      <c r="L128" s="17">
        <v>1</v>
      </c>
      <c r="M128" s="17">
        <v>0</v>
      </c>
      <c r="N128" s="17">
        <v>0</v>
      </c>
      <c r="O128" s="17">
        <v>0</v>
      </c>
    </row>
    <row r="129" spans="1:17" s="16" customFormat="1" ht="18.75">
      <c r="A129" s="17" t="s">
        <v>84</v>
      </c>
      <c r="B129" s="18">
        <v>45608.551388888889</v>
      </c>
      <c r="C129" s="17" t="s">
        <v>124</v>
      </c>
      <c r="D129" s="17" t="s">
        <v>125</v>
      </c>
      <c r="E129" s="17" t="s">
        <v>126</v>
      </c>
      <c r="F129" s="17" t="s">
        <v>123</v>
      </c>
      <c r="G129" s="17" t="s">
        <v>29</v>
      </c>
      <c r="H129" s="17"/>
      <c r="I129" s="17">
        <v>0</v>
      </c>
      <c r="J129" s="17">
        <v>0</v>
      </c>
      <c r="K129" s="17">
        <v>0</v>
      </c>
      <c r="L129" s="17">
        <v>0</v>
      </c>
      <c r="M129" s="17">
        <v>0</v>
      </c>
      <c r="N129" s="17">
        <v>1</v>
      </c>
      <c r="O129" s="17">
        <v>0</v>
      </c>
      <c r="P129"/>
      <c r="Q129"/>
    </row>
    <row r="130" spans="1:17" s="16" customFormat="1" ht="18.75">
      <c r="A130" s="17" t="s">
        <v>84</v>
      </c>
      <c r="B130" s="18">
        <v>45609.659722222219</v>
      </c>
      <c r="C130" s="17" t="s">
        <v>130</v>
      </c>
      <c r="D130" s="17" t="s">
        <v>131</v>
      </c>
      <c r="E130" s="17" t="s">
        <v>131</v>
      </c>
      <c r="F130" s="17" t="s">
        <v>123</v>
      </c>
      <c r="G130" s="17" t="s">
        <v>26</v>
      </c>
      <c r="H130" s="17"/>
      <c r="I130" s="17">
        <v>0</v>
      </c>
      <c r="J130" s="17">
        <v>0</v>
      </c>
      <c r="K130" s="17">
        <v>1</v>
      </c>
      <c r="L130" s="17">
        <v>0</v>
      </c>
      <c r="M130" s="17">
        <v>0</v>
      </c>
      <c r="N130" s="17">
        <v>0</v>
      </c>
      <c r="O130" s="17">
        <v>0</v>
      </c>
      <c r="P130"/>
      <c r="Q130"/>
    </row>
    <row r="131" spans="1:17" s="16" customFormat="1" ht="18.75">
      <c r="A131" s="17" t="s">
        <v>84</v>
      </c>
      <c r="B131" s="18">
        <v>45609.661111111112</v>
      </c>
      <c r="C131" s="17" t="s">
        <v>130</v>
      </c>
      <c r="D131" s="17" t="s">
        <v>131</v>
      </c>
      <c r="E131" s="17" t="s">
        <v>131</v>
      </c>
      <c r="F131" s="17" t="s">
        <v>123</v>
      </c>
      <c r="G131" s="17" t="s">
        <v>26</v>
      </c>
      <c r="H131" s="17"/>
      <c r="I131" s="17">
        <v>0</v>
      </c>
      <c r="J131" s="17">
        <v>0</v>
      </c>
      <c r="K131" s="17">
        <v>1</v>
      </c>
      <c r="L131" s="17">
        <v>0</v>
      </c>
      <c r="M131" s="17">
        <v>0</v>
      </c>
      <c r="N131" s="17">
        <v>0</v>
      </c>
      <c r="O131" s="17">
        <v>0</v>
      </c>
      <c r="P131"/>
      <c r="Q131"/>
    </row>
    <row r="132" spans="1:17" s="16" customFormat="1" ht="18.75">
      <c r="A132" s="17" t="s">
        <v>84</v>
      </c>
      <c r="B132" s="18">
        <v>45610.529166666667</v>
      </c>
      <c r="C132" s="17" t="s">
        <v>136</v>
      </c>
      <c r="D132" s="17" t="s">
        <v>137</v>
      </c>
      <c r="E132" s="17" t="s">
        <v>138</v>
      </c>
      <c r="F132" s="17" t="s">
        <v>123</v>
      </c>
      <c r="G132" s="17" t="s">
        <v>27</v>
      </c>
      <c r="H132" s="17"/>
      <c r="I132" s="17">
        <v>0</v>
      </c>
      <c r="J132" s="17">
        <v>0</v>
      </c>
      <c r="K132" s="17">
        <v>0</v>
      </c>
      <c r="L132" s="17">
        <v>1</v>
      </c>
      <c r="M132" s="17">
        <v>0</v>
      </c>
      <c r="N132" s="17">
        <v>0</v>
      </c>
      <c r="O132" s="17">
        <v>0</v>
      </c>
      <c r="P132"/>
      <c r="Q132"/>
    </row>
    <row r="133" spans="1:17" ht="18.75">
      <c r="A133" s="17" t="s">
        <v>84</v>
      </c>
      <c r="B133" s="18">
        <v>45610.529166666667</v>
      </c>
      <c r="C133" s="17" t="s">
        <v>136</v>
      </c>
      <c r="D133" s="17" t="s">
        <v>137</v>
      </c>
      <c r="E133" s="17" t="s">
        <v>138</v>
      </c>
      <c r="F133" s="17" t="s">
        <v>123</v>
      </c>
      <c r="G133" s="17" t="s">
        <v>29</v>
      </c>
      <c r="H133" s="17"/>
      <c r="I133" s="17">
        <v>0</v>
      </c>
      <c r="J133" s="17">
        <v>0</v>
      </c>
      <c r="K133" s="17">
        <v>0</v>
      </c>
      <c r="L133" s="17">
        <v>0</v>
      </c>
      <c r="M133" s="17">
        <v>0</v>
      </c>
      <c r="N133" s="17">
        <v>1</v>
      </c>
      <c r="O133" s="17">
        <v>0</v>
      </c>
    </row>
    <row r="134" spans="1:17" ht="18.75">
      <c r="A134" s="17" t="s">
        <v>84</v>
      </c>
      <c r="B134" s="18">
        <v>45611.640972222223</v>
      </c>
      <c r="C134" s="17" t="s">
        <v>139</v>
      </c>
      <c r="D134" s="17" t="s">
        <v>140</v>
      </c>
      <c r="E134" s="17" t="s">
        <v>141</v>
      </c>
      <c r="F134" s="17" t="s">
        <v>123</v>
      </c>
      <c r="G134" s="17" t="s">
        <v>27</v>
      </c>
      <c r="H134" s="17"/>
      <c r="I134" s="17">
        <v>0</v>
      </c>
      <c r="J134" s="17">
        <v>0</v>
      </c>
      <c r="K134" s="17">
        <v>0</v>
      </c>
      <c r="L134" s="17">
        <v>1</v>
      </c>
      <c r="M134" s="17">
        <v>0</v>
      </c>
      <c r="N134" s="17">
        <v>0</v>
      </c>
      <c r="O134" s="17">
        <v>0</v>
      </c>
    </row>
    <row r="135" spans="1:17" ht="18.75">
      <c r="A135" s="17" t="s">
        <v>84</v>
      </c>
      <c r="B135" s="18">
        <v>45611.640972222223</v>
      </c>
      <c r="C135" s="17" t="s">
        <v>139</v>
      </c>
      <c r="D135" s="17" t="s">
        <v>140</v>
      </c>
      <c r="E135" s="17" t="s">
        <v>141</v>
      </c>
      <c r="F135" s="17" t="s">
        <v>123</v>
      </c>
      <c r="G135" s="17" t="s">
        <v>29</v>
      </c>
      <c r="H135" s="17"/>
      <c r="I135" s="17">
        <v>0</v>
      </c>
      <c r="J135" s="17">
        <v>0</v>
      </c>
      <c r="K135" s="17">
        <v>0</v>
      </c>
      <c r="L135" s="17">
        <v>0</v>
      </c>
      <c r="M135" s="17">
        <v>0</v>
      </c>
      <c r="N135" s="17">
        <v>1</v>
      </c>
      <c r="O135" s="17">
        <v>0</v>
      </c>
    </row>
    <row r="136" spans="1:17" ht="18.75">
      <c r="A136" s="17" t="s">
        <v>84</v>
      </c>
      <c r="B136" s="18">
        <v>45623.475694444445</v>
      </c>
      <c r="C136" s="17" t="s">
        <v>161</v>
      </c>
      <c r="D136" s="17" t="s">
        <v>162</v>
      </c>
      <c r="E136" s="17" t="s">
        <v>1262</v>
      </c>
      <c r="F136" s="17" t="s">
        <v>123</v>
      </c>
      <c r="G136" s="17" t="s">
        <v>29</v>
      </c>
      <c r="H136" s="17"/>
      <c r="I136" s="17">
        <v>0</v>
      </c>
      <c r="J136" s="17">
        <v>0</v>
      </c>
      <c r="K136" s="17">
        <v>0</v>
      </c>
      <c r="L136" s="17">
        <v>0</v>
      </c>
      <c r="M136" s="17">
        <v>0</v>
      </c>
      <c r="N136" s="17">
        <v>1</v>
      </c>
      <c r="O136" s="17">
        <v>0</v>
      </c>
    </row>
    <row r="137" spans="1:17" ht="18.75">
      <c r="A137" s="17" t="s">
        <v>84</v>
      </c>
      <c r="B137" s="18">
        <v>45625.432638888888</v>
      </c>
      <c r="C137" s="17" t="s">
        <v>167</v>
      </c>
      <c r="D137" s="17" t="s">
        <v>168</v>
      </c>
      <c r="E137" s="17" t="s">
        <v>169</v>
      </c>
      <c r="F137" s="17" t="s">
        <v>123</v>
      </c>
      <c r="G137" s="17" t="s">
        <v>27</v>
      </c>
      <c r="H137" s="17"/>
      <c r="I137" s="17">
        <v>0</v>
      </c>
      <c r="J137" s="17">
        <v>0</v>
      </c>
      <c r="K137" s="17">
        <v>0</v>
      </c>
      <c r="L137" s="17">
        <v>1</v>
      </c>
      <c r="M137" s="17">
        <v>0</v>
      </c>
      <c r="N137" s="17">
        <v>0</v>
      </c>
      <c r="O137" s="17">
        <v>0</v>
      </c>
    </row>
    <row r="138" spans="1:17" ht="18.75">
      <c r="A138" s="17" t="s">
        <v>84</v>
      </c>
      <c r="B138" s="18">
        <v>45625.432638888888</v>
      </c>
      <c r="C138" s="17" t="s">
        <v>167</v>
      </c>
      <c r="D138" s="17" t="s">
        <v>168</v>
      </c>
      <c r="E138" s="17" t="s">
        <v>169</v>
      </c>
      <c r="F138" s="17" t="s">
        <v>123</v>
      </c>
      <c r="G138" s="17" t="s">
        <v>29</v>
      </c>
      <c r="H138" s="17"/>
      <c r="I138" s="17">
        <v>0</v>
      </c>
      <c r="J138" s="17">
        <v>0</v>
      </c>
      <c r="K138" s="17">
        <v>0</v>
      </c>
      <c r="L138" s="17">
        <v>0</v>
      </c>
      <c r="M138" s="17">
        <v>0</v>
      </c>
      <c r="N138" s="17">
        <v>1</v>
      </c>
      <c r="O138" s="17">
        <v>0</v>
      </c>
    </row>
    <row r="139" spans="1:17" ht="18.75">
      <c r="A139" s="17" t="s">
        <v>84</v>
      </c>
      <c r="B139" s="18">
        <v>45642.808333333334</v>
      </c>
      <c r="C139" s="17" t="s">
        <v>184</v>
      </c>
      <c r="D139" s="17" t="s">
        <v>185</v>
      </c>
      <c r="E139" s="17" t="s">
        <v>1263</v>
      </c>
      <c r="F139" s="17" t="s">
        <v>199</v>
      </c>
      <c r="G139" s="17" t="s">
        <v>26</v>
      </c>
      <c r="H139" s="17"/>
      <c r="I139" s="17">
        <v>0</v>
      </c>
      <c r="J139" s="17">
        <v>0</v>
      </c>
      <c r="K139" s="17">
        <v>1</v>
      </c>
      <c r="L139" s="17">
        <v>0</v>
      </c>
      <c r="M139" s="17">
        <v>0</v>
      </c>
      <c r="N139" s="17">
        <v>0</v>
      </c>
      <c r="O139" s="17">
        <v>0</v>
      </c>
    </row>
    <row r="140" spans="1:17" ht="18.75">
      <c r="A140" s="17" t="s">
        <v>84</v>
      </c>
      <c r="B140" s="18">
        <v>45653.421527777777</v>
      </c>
      <c r="C140" s="17" t="s">
        <v>196</v>
      </c>
      <c r="D140" s="17" t="s">
        <v>197</v>
      </c>
      <c r="E140" s="17" t="s">
        <v>198</v>
      </c>
      <c r="F140" s="17" t="s">
        <v>199</v>
      </c>
      <c r="G140" s="17" t="s">
        <v>25</v>
      </c>
      <c r="H140" s="17"/>
      <c r="I140" s="17">
        <v>0</v>
      </c>
      <c r="J140" s="17">
        <v>1</v>
      </c>
      <c r="K140" s="17">
        <v>0</v>
      </c>
      <c r="L140" s="17">
        <v>0</v>
      </c>
      <c r="M140" s="17">
        <v>0</v>
      </c>
      <c r="N140" s="17">
        <v>0</v>
      </c>
      <c r="O140" s="17">
        <v>0</v>
      </c>
    </row>
    <row r="141" spans="1:17" ht="18.75">
      <c r="A141" s="17" t="s">
        <v>84</v>
      </c>
      <c r="B141" s="18">
        <v>45666.761805555558</v>
      </c>
      <c r="C141" s="17" t="s">
        <v>207</v>
      </c>
      <c r="D141" s="17" t="s">
        <v>208</v>
      </c>
      <c r="E141" s="17" t="s">
        <v>209</v>
      </c>
      <c r="F141" s="17" t="s">
        <v>199</v>
      </c>
      <c r="G141" s="17" t="s">
        <v>27</v>
      </c>
      <c r="H141" s="17"/>
      <c r="I141" s="17">
        <v>0</v>
      </c>
      <c r="J141" s="17">
        <v>0</v>
      </c>
      <c r="K141" s="17">
        <v>0</v>
      </c>
      <c r="L141" s="17">
        <v>1</v>
      </c>
      <c r="M141" s="17">
        <v>0</v>
      </c>
      <c r="N141" s="17">
        <v>0</v>
      </c>
      <c r="O141" s="17">
        <v>0</v>
      </c>
    </row>
    <row r="142" spans="1:17" ht="18.75">
      <c r="A142" s="17" t="s">
        <v>84</v>
      </c>
      <c r="B142" s="18">
        <v>45666.761805555558</v>
      </c>
      <c r="C142" s="17" t="s">
        <v>207</v>
      </c>
      <c r="D142" s="17" t="s">
        <v>208</v>
      </c>
      <c r="E142" s="17" t="s">
        <v>209</v>
      </c>
      <c r="F142" s="17" t="s">
        <v>199</v>
      </c>
      <c r="G142" s="17" t="s">
        <v>29</v>
      </c>
      <c r="H142" s="17"/>
      <c r="I142" s="17">
        <v>0</v>
      </c>
      <c r="J142" s="17">
        <v>0</v>
      </c>
      <c r="K142" s="17">
        <v>0</v>
      </c>
      <c r="L142" s="17">
        <v>0</v>
      </c>
      <c r="M142" s="17">
        <v>0</v>
      </c>
      <c r="N142" s="17">
        <v>1</v>
      </c>
      <c r="O142" s="17">
        <v>0</v>
      </c>
    </row>
    <row r="143" spans="1:17" ht="18.75">
      <c r="A143" s="17" t="s">
        <v>84</v>
      </c>
      <c r="B143" s="18">
        <v>45673.762499999997</v>
      </c>
      <c r="C143" s="17" t="s">
        <v>226</v>
      </c>
      <c r="D143" s="17" t="s">
        <v>227</v>
      </c>
      <c r="E143" s="17" t="s">
        <v>228</v>
      </c>
      <c r="F143" s="17" t="s">
        <v>123</v>
      </c>
      <c r="G143" s="17" t="s">
        <v>27</v>
      </c>
      <c r="H143" s="17"/>
      <c r="I143" s="17">
        <v>0</v>
      </c>
      <c r="J143" s="17">
        <v>0</v>
      </c>
      <c r="K143" s="17">
        <v>0</v>
      </c>
      <c r="L143" s="17">
        <v>1</v>
      </c>
      <c r="M143" s="17">
        <v>0</v>
      </c>
      <c r="N143" s="17">
        <v>0</v>
      </c>
      <c r="O143" s="17">
        <v>0</v>
      </c>
    </row>
    <row r="144" spans="1:17" ht="18.75">
      <c r="A144" s="17" t="s">
        <v>84</v>
      </c>
      <c r="B144" s="18">
        <v>45673.762499999997</v>
      </c>
      <c r="C144" s="17" t="s">
        <v>226</v>
      </c>
      <c r="D144" s="17" t="s">
        <v>227</v>
      </c>
      <c r="E144" s="17" t="s">
        <v>228</v>
      </c>
      <c r="F144" s="17" t="s">
        <v>123</v>
      </c>
      <c r="G144" s="17" t="s">
        <v>29</v>
      </c>
      <c r="H144" s="17"/>
      <c r="I144" s="17">
        <v>0</v>
      </c>
      <c r="J144" s="17">
        <v>0</v>
      </c>
      <c r="K144" s="17">
        <v>0</v>
      </c>
      <c r="L144" s="17">
        <v>0</v>
      </c>
      <c r="M144" s="17">
        <v>0</v>
      </c>
      <c r="N144" s="17">
        <v>1</v>
      </c>
      <c r="O144" s="17">
        <v>0</v>
      </c>
    </row>
    <row r="145" spans="1:15" ht="18.75">
      <c r="A145" s="17" t="s">
        <v>84</v>
      </c>
      <c r="B145" s="18">
        <v>45677.90625</v>
      </c>
      <c r="C145" s="17" t="s">
        <v>232</v>
      </c>
      <c r="D145" s="17" t="s">
        <v>233</v>
      </c>
      <c r="E145" s="17" t="s">
        <v>234</v>
      </c>
      <c r="F145" s="17" t="s">
        <v>123</v>
      </c>
      <c r="G145" s="17" t="s">
        <v>26</v>
      </c>
      <c r="H145" s="17"/>
      <c r="I145" s="17">
        <v>0</v>
      </c>
      <c r="J145" s="17">
        <v>0</v>
      </c>
      <c r="K145" s="17">
        <v>1</v>
      </c>
      <c r="L145" s="17">
        <v>0</v>
      </c>
      <c r="M145" s="17">
        <v>0</v>
      </c>
      <c r="N145" s="17">
        <v>0</v>
      </c>
      <c r="O145" s="17">
        <v>0</v>
      </c>
    </row>
    <row r="146" spans="1:15" ht="18.75">
      <c r="A146" s="17" t="s">
        <v>84</v>
      </c>
      <c r="B146" s="18">
        <v>45678.380555555559</v>
      </c>
      <c r="C146" s="17" t="s">
        <v>235</v>
      </c>
      <c r="D146" s="17" t="s">
        <v>236</v>
      </c>
      <c r="E146" s="17" t="s">
        <v>237</v>
      </c>
      <c r="F146" s="17" t="s">
        <v>123</v>
      </c>
      <c r="G146" s="17" t="s">
        <v>28</v>
      </c>
      <c r="H146" s="17"/>
      <c r="I146" s="17">
        <v>0</v>
      </c>
      <c r="J146" s="17">
        <v>0</v>
      </c>
      <c r="K146" s="17">
        <v>0</v>
      </c>
      <c r="L146" s="17">
        <v>0</v>
      </c>
      <c r="M146" s="17">
        <v>1</v>
      </c>
      <c r="N146" s="17">
        <v>0</v>
      </c>
      <c r="O146" s="17">
        <v>0</v>
      </c>
    </row>
    <row r="147" spans="1:15" ht="18.75">
      <c r="A147" s="17" t="s">
        <v>84</v>
      </c>
      <c r="B147" s="18">
        <v>45684.747916666667</v>
      </c>
      <c r="C147" s="17" t="s">
        <v>247</v>
      </c>
      <c r="D147" s="17" t="s">
        <v>248</v>
      </c>
      <c r="E147" s="17" t="s">
        <v>249</v>
      </c>
      <c r="F147" s="17" t="s">
        <v>123</v>
      </c>
      <c r="G147" s="17" t="s">
        <v>27</v>
      </c>
      <c r="H147" s="17"/>
      <c r="I147" s="17">
        <v>0</v>
      </c>
      <c r="J147" s="17">
        <v>0</v>
      </c>
      <c r="K147" s="17">
        <v>0</v>
      </c>
      <c r="L147" s="17">
        <v>1</v>
      </c>
      <c r="M147" s="17">
        <v>0</v>
      </c>
      <c r="N147" s="17">
        <v>0</v>
      </c>
      <c r="O147" s="17">
        <v>0</v>
      </c>
    </row>
    <row r="148" spans="1:15" ht="18.75">
      <c r="A148" s="17" t="s">
        <v>84</v>
      </c>
      <c r="B148" s="18">
        <v>45701.554166666669</v>
      </c>
      <c r="C148" s="17" t="s">
        <v>272</v>
      </c>
      <c r="D148" s="17" t="s">
        <v>273</v>
      </c>
      <c r="E148" s="17" t="s">
        <v>274</v>
      </c>
      <c r="F148" s="17" t="s">
        <v>123</v>
      </c>
      <c r="G148" s="17" t="s">
        <v>25</v>
      </c>
      <c r="H148" s="17"/>
      <c r="I148" s="17">
        <v>0</v>
      </c>
      <c r="J148" s="17">
        <v>1</v>
      </c>
      <c r="K148" s="17">
        <v>0</v>
      </c>
      <c r="L148" s="17">
        <v>0</v>
      </c>
      <c r="M148" s="17">
        <v>0</v>
      </c>
      <c r="N148" s="17">
        <v>0</v>
      </c>
      <c r="O148" s="17">
        <v>0</v>
      </c>
    </row>
    <row r="149" spans="1:15" ht="18.75">
      <c r="A149" s="17" t="s">
        <v>84</v>
      </c>
      <c r="B149" s="18">
        <v>45701.554166666669</v>
      </c>
      <c r="C149" s="17" t="s">
        <v>272</v>
      </c>
      <c r="D149" s="17" t="s">
        <v>273</v>
      </c>
      <c r="E149" s="17" t="s">
        <v>274</v>
      </c>
      <c r="F149" s="17" t="s">
        <v>123</v>
      </c>
      <c r="G149" s="17" t="s">
        <v>29</v>
      </c>
      <c r="H149" s="17"/>
      <c r="I149" s="17">
        <v>0</v>
      </c>
      <c r="J149" s="17">
        <v>0</v>
      </c>
      <c r="K149" s="17">
        <v>0</v>
      </c>
      <c r="L149" s="17">
        <v>0</v>
      </c>
      <c r="M149" s="17">
        <v>0</v>
      </c>
      <c r="N149" s="17">
        <v>1</v>
      </c>
      <c r="O149" s="17">
        <v>0</v>
      </c>
    </row>
    <row r="150" spans="1:15" ht="18.75">
      <c r="A150" s="17" t="s">
        <v>84</v>
      </c>
      <c r="B150" s="18">
        <v>45702.621527777781</v>
      </c>
      <c r="C150" s="17" t="s">
        <v>278</v>
      </c>
      <c r="D150" s="17" t="s">
        <v>279</v>
      </c>
      <c r="E150" s="17" t="s">
        <v>280</v>
      </c>
      <c r="F150" s="17" t="s">
        <v>154</v>
      </c>
      <c r="G150" s="17" t="s">
        <v>27</v>
      </c>
      <c r="H150" s="17"/>
      <c r="I150" s="17">
        <v>0</v>
      </c>
      <c r="J150" s="17">
        <v>0</v>
      </c>
      <c r="K150" s="17">
        <v>0</v>
      </c>
      <c r="L150" s="17">
        <v>1</v>
      </c>
      <c r="M150" s="17">
        <v>0</v>
      </c>
      <c r="N150" s="17">
        <v>0</v>
      </c>
      <c r="O150" s="17">
        <v>0</v>
      </c>
    </row>
    <row r="151" spans="1:15" ht="18.75">
      <c r="A151" s="17" t="s">
        <v>84</v>
      </c>
      <c r="B151" s="18">
        <v>45706.450694444444</v>
      </c>
      <c r="C151" s="17" t="s">
        <v>285</v>
      </c>
      <c r="D151" s="17" t="s">
        <v>286</v>
      </c>
      <c r="E151" s="17" t="s">
        <v>287</v>
      </c>
      <c r="F151" s="17" t="s">
        <v>199</v>
      </c>
      <c r="G151" s="17" t="s">
        <v>29</v>
      </c>
      <c r="H151" s="17"/>
      <c r="I151" s="17">
        <v>0</v>
      </c>
      <c r="J151" s="17">
        <v>0</v>
      </c>
      <c r="K151" s="17">
        <v>0</v>
      </c>
      <c r="L151" s="17">
        <v>0</v>
      </c>
      <c r="M151" s="17">
        <v>0</v>
      </c>
      <c r="N151" s="17">
        <v>1</v>
      </c>
      <c r="O151" s="17">
        <v>0</v>
      </c>
    </row>
    <row r="152" spans="1:15" ht="18.75">
      <c r="A152" s="17" t="s">
        <v>84</v>
      </c>
      <c r="B152" s="18">
        <v>45714.60833333333</v>
      </c>
      <c r="C152" s="17" t="s">
        <v>296</v>
      </c>
      <c r="D152" s="17" t="s">
        <v>297</v>
      </c>
      <c r="E152" s="17" t="s">
        <v>298</v>
      </c>
      <c r="F152" s="17" t="s">
        <v>154</v>
      </c>
      <c r="G152" s="17" t="s">
        <v>25</v>
      </c>
      <c r="H152" s="17"/>
      <c r="I152" s="17">
        <v>0</v>
      </c>
      <c r="J152" s="17">
        <v>1</v>
      </c>
      <c r="K152" s="17">
        <v>0</v>
      </c>
      <c r="L152" s="17">
        <v>0</v>
      </c>
      <c r="M152" s="17">
        <v>0</v>
      </c>
      <c r="N152" s="17">
        <v>0</v>
      </c>
      <c r="O152" s="17">
        <v>0</v>
      </c>
    </row>
    <row r="153" spans="1:15" ht="18.75">
      <c r="A153" s="17" t="s">
        <v>84</v>
      </c>
      <c r="B153" s="18">
        <v>45716.454861111109</v>
      </c>
      <c r="C153" s="17" t="s">
        <v>302</v>
      </c>
      <c r="D153" s="17" t="s">
        <v>303</v>
      </c>
      <c r="E153" s="17" t="s">
        <v>304</v>
      </c>
      <c r="F153" s="17" t="s">
        <v>123</v>
      </c>
      <c r="G153" s="17" t="s">
        <v>29</v>
      </c>
      <c r="H153" s="17"/>
      <c r="I153" s="17">
        <v>0</v>
      </c>
      <c r="J153" s="17">
        <v>0</v>
      </c>
      <c r="K153" s="17">
        <v>0</v>
      </c>
      <c r="L153" s="17">
        <v>0</v>
      </c>
      <c r="M153" s="17">
        <v>0</v>
      </c>
      <c r="N153" s="17">
        <v>1</v>
      </c>
      <c r="O153" s="17">
        <v>0</v>
      </c>
    </row>
    <row r="154" spans="1:15" ht="18.75">
      <c r="A154" s="17" t="s">
        <v>84</v>
      </c>
      <c r="B154" s="18">
        <v>45717.401388888888</v>
      </c>
      <c r="C154" s="17" t="s">
        <v>309</v>
      </c>
      <c r="D154" s="17" t="s">
        <v>310</v>
      </c>
      <c r="E154" s="17" t="s">
        <v>311</v>
      </c>
      <c r="F154" s="17" t="s">
        <v>154</v>
      </c>
      <c r="G154" s="17" t="s">
        <v>29</v>
      </c>
      <c r="H154" s="17"/>
      <c r="I154" s="17">
        <v>0</v>
      </c>
      <c r="J154" s="17">
        <v>0</v>
      </c>
      <c r="K154" s="17">
        <v>0</v>
      </c>
      <c r="L154" s="17">
        <v>0</v>
      </c>
      <c r="M154" s="17">
        <v>0</v>
      </c>
      <c r="N154" s="17">
        <v>1</v>
      </c>
      <c r="O154" s="17">
        <v>0</v>
      </c>
    </row>
    <row r="155" spans="1:15" ht="18.75">
      <c r="A155" s="17" t="s">
        <v>84</v>
      </c>
      <c r="B155" s="18">
        <v>45722.552083333336</v>
      </c>
      <c r="C155" s="17" t="s">
        <v>320</v>
      </c>
      <c r="D155" s="17" t="s">
        <v>321</v>
      </c>
      <c r="E155" s="17" t="s">
        <v>322</v>
      </c>
      <c r="F155" s="17" t="s">
        <v>123</v>
      </c>
      <c r="G155" s="17" t="s">
        <v>25</v>
      </c>
      <c r="H155" s="17"/>
      <c r="I155" s="17">
        <v>0</v>
      </c>
      <c r="J155" s="17">
        <v>1</v>
      </c>
      <c r="K155" s="17">
        <v>0</v>
      </c>
      <c r="L155" s="17">
        <v>0</v>
      </c>
      <c r="M155" s="17">
        <v>0</v>
      </c>
      <c r="N155" s="17">
        <v>0</v>
      </c>
      <c r="O155" s="17">
        <v>0</v>
      </c>
    </row>
    <row r="156" spans="1:15" ht="18.75">
      <c r="A156" s="17" t="s">
        <v>84</v>
      </c>
      <c r="B156" s="18">
        <v>45728.552083333336</v>
      </c>
      <c r="C156" s="17" t="s">
        <v>329</v>
      </c>
      <c r="D156" s="17" t="s">
        <v>330</v>
      </c>
      <c r="E156" s="17" t="s">
        <v>331</v>
      </c>
      <c r="F156" s="17" t="s">
        <v>123</v>
      </c>
      <c r="G156" s="17" t="s">
        <v>26</v>
      </c>
      <c r="H156" s="17"/>
      <c r="I156" s="17">
        <v>0</v>
      </c>
      <c r="J156" s="17">
        <v>0</v>
      </c>
      <c r="K156" s="17">
        <v>1</v>
      </c>
      <c r="L156" s="17">
        <v>0</v>
      </c>
      <c r="M156" s="17">
        <v>0</v>
      </c>
      <c r="N156" s="17">
        <v>0</v>
      </c>
      <c r="O156" s="17">
        <v>0</v>
      </c>
    </row>
    <row r="157" spans="1:15" ht="18.75">
      <c r="A157" s="17" t="s">
        <v>84</v>
      </c>
      <c r="B157" s="18">
        <v>45729.474999999999</v>
      </c>
      <c r="C157" s="17" t="s">
        <v>332</v>
      </c>
      <c r="D157" s="17" t="s">
        <v>333</v>
      </c>
      <c r="E157" s="17" t="s">
        <v>334</v>
      </c>
      <c r="F157" s="17" t="s">
        <v>154</v>
      </c>
      <c r="G157" s="17" t="s">
        <v>29</v>
      </c>
      <c r="H157" s="17"/>
      <c r="I157" s="17">
        <v>0</v>
      </c>
      <c r="J157" s="17">
        <v>0</v>
      </c>
      <c r="K157" s="17">
        <v>0</v>
      </c>
      <c r="L157" s="17">
        <v>0</v>
      </c>
      <c r="M157" s="17">
        <v>0</v>
      </c>
      <c r="N157" s="17">
        <v>1</v>
      </c>
      <c r="O157" s="17">
        <v>0</v>
      </c>
    </row>
    <row r="158" spans="1:15" ht="18.75">
      <c r="A158" s="17" t="s">
        <v>84</v>
      </c>
      <c r="B158" s="18">
        <v>45730.484722222223</v>
      </c>
      <c r="C158" s="17" t="s">
        <v>335</v>
      </c>
      <c r="D158" s="17" t="s">
        <v>336</v>
      </c>
      <c r="E158" s="17" t="s">
        <v>337</v>
      </c>
      <c r="F158" s="17" t="s">
        <v>123</v>
      </c>
      <c r="G158" s="17" t="s">
        <v>29</v>
      </c>
      <c r="H158" s="17"/>
      <c r="I158" s="17">
        <v>0</v>
      </c>
      <c r="J158" s="17">
        <v>0</v>
      </c>
      <c r="K158" s="17">
        <v>0</v>
      </c>
      <c r="L158" s="17">
        <v>0</v>
      </c>
      <c r="M158" s="17">
        <v>0</v>
      </c>
      <c r="N158" s="17">
        <v>1</v>
      </c>
      <c r="O158" s="17">
        <v>0</v>
      </c>
    </row>
    <row r="159" spans="1:15" ht="18.75">
      <c r="A159" s="17" t="s">
        <v>84</v>
      </c>
      <c r="B159" s="18">
        <v>45730.676388888889</v>
      </c>
      <c r="C159" s="17" t="s">
        <v>338</v>
      </c>
      <c r="D159" s="17" t="s">
        <v>339</v>
      </c>
      <c r="E159" s="17" t="s">
        <v>340</v>
      </c>
      <c r="F159" s="17" t="s">
        <v>123</v>
      </c>
      <c r="G159" s="17" t="s">
        <v>27</v>
      </c>
      <c r="H159" s="17"/>
      <c r="I159" s="17">
        <v>0</v>
      </c>
      <c r="J159" s="17">
        <v>0</v>
      </c>
      <c r="K159" s="17">
        <v>0</v>
      </c>
      <c r="L159" s="17">
        <v>1</v>
      </c>
      <c r="M159" s="17">
        <v>0</v>
      </c>
      <c r="N159" s="17">
        <v>0</v>
      </c>
      <c r="O159" s="17">
        <v>0</v>
      </c>
    </row>
    <row r="160" spans="1:15" ht="18.75">
      <c r="A160" s="17" t="s">
        <v>84</v>
      </c>
      <c r="B160" s="18">
        <v>45740.864583333336</v>
      </c>
      <c r="C160" s="17" t="s">
        <v>357</v>
      </c>
      <c r="D160" s="17" t="s">
        <v>358</v>
      </c>
      <c r="E160" s="17" t="s">
        <v>359</v>
      </c>
      <c r="F160" s="17" t="s">
        <v>360</v>
      </c>
      <c r="G160" s="17" t="s">
        <v>26</v>
      </c>
      <c r="H160" s="17"/>
      <c r="I160" s="17">
        <v>0</v>
      </c>
      <c r="J160" s="17">
        <v>0</v>
      </c>
      <c r="K160" s="17">
        <v>1</v>
      </c>
      <c r="L160" s="17">
        <v>0</v>
      </c>
      <c r="M160" s="17">
        <v>0</v>
      </c>
      <c r="N160" s="17">
        <v>0</v>
      </c>
      <c r="O160" s="17">
        <v>0</v>
      </c>
    </row>
    <row r="161" spans="1:15" ht="18.75">
      <c r="A161" s="17" t="s">
        <v>84</v>
      </c>
      <c r="B161" s="18">
        <v>45742.772222222222</v>
      </c>
      <c r="C161" s="17" t="s">
        <v>366</v>
      </c>
      <c r="D161" s="17" t="s">
        <v>367</v>
      </c>
      <c r="E161" s="17" t="s">
        <v>368</v>
      </c>
      <c r="F161" s="17" t="s">
        <v>420</v>
      </c>
      <c r="G161" s="17" t="s">
        <v>25</v>
      </c>
      <c r="H161" s="17"/>
      <c r="I161" s="17">
        <v>0</v>
      </c>
      <c r="J161" s="17">
        <v>1</v>
      </c>
      <c r="K161" s="17">
        <v>0</v>
      </c>
      <c r="L161" s="17">
        <v>0</v>
      </c>
      <c r="M161" s="17">
        <v>0</v>
      </c>
      <c r="N161" s="17">
        <v>0</v>
      </c>
      <c r="O161" s="17">
        <v>0</v>
      </c>
    </row>
    <row r="162" spans="1:15" ht="18.75">
      <c r="A162" s="17" t="s">
        <v>84</v>
      </c>
      <c r="B162" s="18">
        <v>45742.772222222222</v>
      </c>
      <c r="C162" s="17" t="s">
        <v>366</v>
      </c>
      <c r="D162" s="17" t="s">
        <v>367</v>
      </c>
      <c r="E162" s="17" t="s">
        <v>368</v>
      </c>
      <c r="F162" s="17" t="s">
        <v>420</v>
      </c>
      <c r="G162" s="17" t="s">
        <v>29</v>
      </c>
      <c r="H162" s="17"/>
      <c r="I162" s="17">
        <v>0</v>
      </c>
      <c r="J162" s="17">
        <v>0</v>
      </c>
      <c r="K162" s="17">
        <v>0</v>
      </c>
      <c r="L162" s="17">
        <v>0</v>
      </c>
      <c r="M162" s="17">
        <v>0</v>
      </c>
      <c r="N162" s="17">
        <v>1</v>
      </c>
      <c r="O162" s="17">
        <v>0</v>
      </c>
    </row>
    <row r="163" spans="1:15" ht="18.75">
      <c r="A163" s="21" t="s">
        <v>56</v>
      </c>
      <c r="B163" s="18">
        <v>45748.65902777778</v>
      </c>
      <c r="C163" s="17" t="s">
        <v>374</v>
      </c>
      <c r="D163" s="17" t="s">
        <v>375</v>
      </c>
      <c r="E163" s="17" t="s">
        <v>376</v>
      </c>
      <c r="F163" s="17" t="s">
        <v>365</v>
      </c>
      <c r="G163" s="17" t="s">
        <v>25</v>
      </c>
      <c r="H163" s="17"/>
      <c r="I163" s="17">
        <v>0</v>
      </c>
      <c r="J163" s="17">
        <v>1</v>
      </c>
      <c r="K163" s="17">
        <v>0</v>
      </c>
      <c r="L163" s="17">
        <v>0</v>
      </c>
      <c r="M163" s="17">
        <v>0</v>
      </c>
      <c r="N163" s="17">
        <v>0</v>
      </c>
      <c r="O163" s="17">
        <v>0</v>
      </c>
    </row>
    <row r="164" spans="1:15" ht="18.75">
      <c r="A164" s="17" t="s">
        <v>56</v>
      </c>
      <c r="B164" s="18">
        <v>45748.65902777778</v>
      </c>
      <c r="C164" s="17" t="s">
        <v>374</v>
      </c>
      <c r="D164" s="17" t="s">
        <v>375</v>
      </c>
      <c r="E164" s="17" t="s">
        <v>376</v>
      </c>
      <c r="F164" s="17" t="s">
        <v>365</v>
      </c>
      <c r="G164" s="17" t="s">
        <v>26</v>
      </c>
      <c r="H164" s="17"/>
      <c r="I164" s="17">
        <v>0</v>
      </c>
      <c r="J164" s="17">
        <v>0</v>
      </c>
      <c r="K164" s="17">
        <v>1</v>
      </c>
      <c r="L164" s="17">
        <v>0</v>
      </c>
      <c r="M164" s="17">
        <v>0</v>
      </c>
      <c r="N164" s="17">
        <v>0</v>
      </c>
      <c r="O164" s="17">
        <v>0</v>
      </c>
    </row>
    <row r="165" spans="1:15" ht="18.75">
      <c r="A165" s="17" t="s">
        <v>56</v>
      </c>
      <c r="B165" s="18">
        <v>45748.65902777778</v>
      </c>
      <c r="C165" s="17" t="s">
        <v>374</v>
      </c>
      <c r="D165" s="17" t="s">
        <v>375</v>
      </c>
      <c r="E165" s="17" t="s">
        <v>376</v>
      </c>
      <c r="F165" s="17" t="s">
        <v>365</v>
      </c>
      <c r="G165" s="17" t="s">
        <v>27</v>
      </c>
      <c r="H165" s="17"/>
      <c r="I165" s="17">
        <v>0</v>
      </c>
      <c r="J165" s="17">
        <v>0</v>
      </c>
      <c r="K165" s="17">
        <v>0</v>
      </c>
      <c r="L165" s="17">
        <v>1</v>
      </c>
      <c r="M165" s="17">
        <v>0</v>
      </c>
      <c r="N165" s="17">
        <v>0</v>
      </c>
      <c r="O165" s="17">
        <v>0</v>
      </c>
    </row>
    <row r="166" spans="1:15" ht="18.75">
      <c r="A166" s="17" t="s">
        <v>56</v>
      </c>
      <c r="B166" s="18">
        <v>45750.649305555555</v>
      </c>
      <c r="C166" s="17" t="s">
        <v>391</v>
      </c>
      <c r="D166" s="17" t="s">
        <v>392</v>
      </c>
      <c r="E166" s="17" t="s">
        <v>393</v>
      </c>
      <c r="F166" s="17" t="s">
        <v>365</v>
      </c>
      <c r="G166" s="17" t="s">
        <v>26</v>
      </c>
      <c r="H166" s="17"/>
      <c r="I166" s="17">
        <v>0</v>
      </c>
      <c r="J166" s="17">
        <v>0</v>
      </c>
      <c r="K166" s="17">
        <v>1</v>
      </c>
      <c r="L166" s="17">
        <v>0</v>
      </c>
      <c r="M166" s="17">
        <v>0</v>
      </c>
      <c r="N166" s="17">
        <v>0</v>
      </c>
      <c r="O166" s="17">
        <v>0</v>
      </c>
    </row>
    <row r="167" spans="1:15" ht="18.75">
      <c r="A167" s="17" t="s">
        <v>56</v>
      </c>
      <c r="B167" s="18">
        <v>45758.563888888886</v>
      </c>
      <c r="C167" s="17" t="s">
        <v>1264</v>
      </c>
      <c r="D167" s="17" t="s">
        <v>333</v>
      </c>
      <c r="E167" s="17" t="s">
        <v>1265</v>
      </c>
      <c r="F167" s="17" t="s">
        <v>365</v>
      </c>
      <c r="G167" s="17" t="s">
        <v>26</v>
      </c>
      <c r="H167" s="17"/>
      <c r="I167" s="17">
        <v>0</v>
      </c>
      <c r="J167" s="17">
        <v>0</v>
      </c>
      <c r="K167" s="17">
        <v>1</v>
      </c>
      <c r="L167" s="17">
        <v>0</v>
      </c>
      <c r="M167" s="17">
        <v>0</v>
      </c>
      <c r="N167" s="17">
        <v>0</v>
      </c>
      <c r="O167" s="17">
        <v>0</v>
      </c>
    </row>
    <row r="168" spans="1:15" ht="18.75">
      <c r="A168" s="17" t="s">
        <v>56</v>
      </c>
      <c r="B168" s="18">
        <v>45758.564583333333</v>
      </c>
      <c r="C168" s="17" t="s">
        <v>398</v>
      </c>
      <c r="D168" s="17" t="s">
        <v>399</v>
      </c>
      <c r="E168" s="17" t="s">
        <v>400</v>
      </c>
      <c r="F168" s="17" t="s">
        <v>365</v>
      </c>
      <c r="G168" s="17" t="s">
        <v>27</v>
      </c>
      <c r="H168" s="17"/>
      <c r="I168" s="17">
        <v>0</v>
      </c>
      <c r="J168" s="17">
        <v>0</v>
      </c>
      <c r="K168" s="17">
        <v>0</v>
      </c>
      <c r="L168" s="17">
        <v>1</v>
      </c>
      <c r="M168" s="17">
        <v>0</v>
      </c>
      <c r="N168" s="17">
        <v>0</v>
      </c>
      <c r="O168" s="17">
        <v>0</v>
      </c>
    </row>
    <row r="169" spans="1:15" ht="18.75">
      <c r="A169" s="17" t="s">
        <v>56</v>
      </c>
      <c r="B169" s="18">
        <v>45762.424305555556</v>
      </c>
      <c r="C169" s="17" t="s">
        <v>405</v>
      </c>
      <c r="D169" s="17" t="s">
        <v>406</v>
      </c>
      <c r="E169" s="17" t="s">
        <v>407</v>
      </c>
      <c r="F169" s="17" t="s">
        <v>365</v>
      </c>
      <c r="G169" s="17" t="s">
        <v>25</v>
      </c>
      <c r="H169" s="17"/>
      <c r="I169" s="17">
        <v>0</v>
      </c>
      <c r="J169" s="17">
        <v>1</v>
      </c>
      <c r="K169" s="17">
        <v>0</v>
      </c>
      <c r="L169" s="17">
        <v>0</v>
      </c>
      <c r="M169" s="17">
        <v>0</v>
      </c>
      <c r="N169" s="17">
        <v>0</v>
      </c>
      <c r="O169" s="17">
        <v>0</v>
      </c>
    </row>
    <row r="170" spans="1:15" ht="18.75">
      <c r="A170" s="17" t="s">
        <v>56</v>
      </c>
      <c r="B170" s="18">
        <v>45762.424305555556</v>
      </c>
      <c r="C170" s="17" t="s">
        <v>405</v>
      </c>
      <c r="D170" s="17" t="s">
        <v>406</v>
      </c>
      <c r="E170" s="17" t="s">
        <v>407</v>
      </c>
      <c r="F170" s="17" t="s">
        <v>365</v>
      </c>
      <c r="G170" s="17" t="s">
        <v>26</v>
      </c>
      <c r="H170" s="17"/>
      <c r="I170" s="17">
        <v>0</v>
      </c>
      <c r="J170" s="17">
        <v>0</v>
      </c>
      <c r="K170" s="17">
        <v>1</v>
      </c>
      <c r="L170" s="17">
        <v>0</v>
      </c>
      <c r="M170" s="17">
        <v>0</v>
      </c>
      <c r="N170" s="17">
        <v>0</v>
      </c>
      <c r="O170" s="17">
        <v>0</v>
      </c>
    </row>
    <row r="171" spans="1:15" ht="18.75">
      <c r="A171" s="17" t="s">
        <v>56</v>
      </c>
      <c r="B171" s="18">
        <v>45762.424305555556</v>
      </c>
      <c r="C171" s="17" t="s">
        <v>405</v>
      </c>
      <c r="D171" s="17" t="s">
        <v>406</v>
      </c>
      <c r="E171" s="17" t="s">
        <v>407</v>
      </c>
      <c r="F171" s="17" t="s">
        <v>365</v>
      </c>
      <c r="G171" s="17" t="s">
        <v>27</v>
      </c>
      <c r="H171" s="17"/>
      <c r="I171" s="17">
        <v>0</v>
      </c>
      <c r="J171" s="17">
        <v>0</v>
      </c>
      <c r="K171" s="17">
        <v>0</v>
      </c>
      <c r="L171" s="17">
        <v>1</v>
      </c>
      <c r="M171" s="17">
        <v>0</v>
      </c>
      <c r="N171" s="17">
        <v>0</v>
      </c>
      <c r="O171" s="17">
        <v>0</v>
      </c>
    </row>
    <row r="172" spans="1:15" ht="18.75">
      <c r="A172" s="17" t="s">
        <v>56</v>
      </c>
      <c r="B172" s="18">
        <v>45762.68472222222</v>
      </c>
      <c r="C172" s="17" t="s">
        <v>408</v>
      </c>
      <c r="D172" s="17" t="s">
        <v>409</v>
      </c>
      <c r="E172" s="17" t="s">
        <v>410</v>
      </c>
      <c r="F172" s="17" t="s">
        <v>365</v>
      </c>
      <c r="G172" s="17" t="s">
        <v>25</v>
      </c>
      <c r="H172" s="17"/>
      <c r="I172" s="17">
        <v>0</v>
      </c>
      <c r="J172" s="17">
        <v>1</v>
      </c>
      <c r="K172" s="17">
        <v>0</v>
      </c>
      <c r="L172" s="17">
        <v>0</v>
      </c>
      <c r="M172" s="17">
        <v>0</v>
      </c>
      <c r="N172" s="17">
        <v>0</v>
      </c>
      <c r="O172" s="17">
        <v>0</v>
      </c>
    </row>
    <row r="173" spans="1:15" ht="18.75">
      <c r="A173" s="17" t="s">
        <v>56</v>
      </c>
      <c r="B173" s="18">
        <v>45762.68472222222</v>
      </c>
      <c r="C173" s="17" t="s">
        <v>408</v>
      </c>
      <c r="D173" s="17" t="s">
        <v>409</v>
      </c>
      <c r="E173" s="17" t="s">
        <v>410</v>
      </c>
      <c r="F173" s="17" t="s">
        <v>365</v>
      </c>
      <c r="G173" s="17" t="s">
        <v>27</v>
      </c>
      <c r="H173" s="17"/>
      <c r="I173" s="17">
        <v>0</v>
      </c>
      <c r="J173" s="17">
        <v>0</v>
      </c>
      <c r="K173" s="17">
        <v>0</v>
      </c>
      <c r="L173" s="17">
        <v>1</v>
      </c>
      <c r="M173" s="17">
        <v>0</v>
      </c>
      <c r="N173" s="17">
        <v>0</v>
      </c>
      <c r="O173" s="17">
        <v>0</v>
      </c>
    </row>
    <row r="174" spans="1:15" ht="18.75">
      <c r="A174" s="17" t="s">
        <v>56</v>
      </c>
      <c r="B174" s="18">
        <v>45762.68472222222</v>
      </c>
      <c r="C174" s="17" t="s">
        <v>408</v>
      </c>
      <c r="D174" s="17" t="s">
        <v>409</v>
      </c>
      <c r="E174" s="17" t="s">
        <v>410</v>
      </c>
      <c r="F174" s="17" t="s">
        <v>365</v>
      </c>
      <c r="G174" s="17" t="s">
        <v>29</v>
      </c>
      <c r="H174" s="17"/>
      <c r="I174" s="17">
        <v>0</v>
      </c>
      <c r="J174" s="17">
        <v>0</v>
      </c>
      <c r="K174" s="17">
        <v>0</v>
      </c>
      <c r="L174" s="17">
        <v>0</v>
      </c>
      <c r="M174" s="17">
        <v>0</v>
      </c>
      <c r="N174" s="17">
        <v>1</v>
      </c>
      <c r="O174" s="17">
        <v>0</v>
      </c>
    </row>
    <row r="175" spans="1:15" ht="18.75">
      <c r="A175" s="17" t="s">
        <v>56</v>
      </c>
      <c r="B175" s="18">
        <v>45763.477777777778</v>
      </c>
      <c r="C175" s="17" t="s">
        <v>411</v>
      </c>
      <c r="D175" s="17" t="s">
        <v>412</v>
      </c>
      <c r="E175" s="17" t="s">
        <v>413</v>
      </c>
      <c r="F175" s="17" t="s">
        <v>365</v>
      </c>
      <c r="G175" s="17" t="s">
        <v>29</v>
      </c>
      <c r="H175" s="17"/>
      <c r="I175" s="17">
        <v>0</v>
      </c>
      <c r="J175" s="17">
        <v>0</v>
      </c>
      <c r="K175" s="17">
        <v>0</v>
      </c>
      <c r="L175" s="17">
        <v>0</v>
      </c>
      <c r="M175" s="17">
        <v>0</v>
      </c>
      <c r="N175" s="17">
        <v>1</v>
      </c>
      <c r="O175" s="17">
        <v>0</v>
      </c>
    </row>
    <row r="176" spans="1:15" ht="18.75">
      <c r="A176" s="17" t="s">
        <v>56</v>
      </c>
      <c r="B176" s="18">
        <v>45763.935416666667</v>
      </c>
      <c r="C176" s="17" t="s">
        <v>414</v>
      </c>
      <c r="D176" s="17" t="s">
        <v>415</v>
      </c>
      <c r="E176" s="17" t="s">
        <v>416</v>
      </c>
      <c r="F176" s="17" t="s">
        <v>365</v>
      </c>
      <c r="G176" s="17" t="s">
        <v>29</v>
      </c>
      <c r="H176" s="17"/>
      <c r="I176" s="17">
        <v>0</v>
      </c>
      <c r="J176" s="17">
        <v>0</v>
      </c>
      <c r="K176" s="17">
        <v>0</v>
      </c>
      <c r="L176" s="17">
        <v>0</v>
      </c>
      <c r="M176" s="17">
        <v>0</v>
      </c>
      <c r="N176" s="17">
        <v>1</v>
      </c>
      <c r="O176" s="17">
        <v>0</v>
      </c>
    </row>
    <row r="177" spans="1:15" ht="18.75">
      <c r="A177" s="17" t="s">
        <v>56</v>
      </c>
      <c r="B177" s="18">
        <v>45765.621527777781</v>
      </c>
      <c r="C177" s="17" t="s">
        <v>425</v>
      </c>
      <c r="D177" s="17" t="s">
        <v>426</v>
      </c>
      <c r="E177" s="17" t="s">
        <v>427</v>
      </c>
      <c r="F177" s="17" t="s">
        <v>365</v>
      </c>
      <c r="G177" s="17" t="s">
        <v>27</v>
      </c>
      <c r="H177" s="17"/>
      <c r="I177" s="17">
        <v>0</v>
      </c>
      <c r="J177" s="17">
        <v>0</v>
      </c>
      <c r="K177" s="17">
        <v>0</v>
      </c>
      <c r="L177" s="17">
        <v>1</v>
      </c>
      <c r="M177" s="17">
        <v>0</v>
      </c>
      <c r="N177" s="17">
        <v>0</v>
      </c>
      <c r="O177" s="17">
        <v>0</v>
      </c>
    </row>
    <row r="178" spans="1:15" ht="18.75">
      <c r="A178" s="17" t="s">
        <v>56</v>
      </c>
      <c r="B178" s="18">
        <v>45771.48333333333</v>
      </c>
      <c r="C178" s="17" t="s">
        <v>437</v>
      </c>
      <c r="D178" s="17" t="s">
        <v>438</v>
      </c>
      <c r="E178" s="17" t="s">
        <v>439</v>
      </c>
      <c r="F178" s="17" t="s">
        <v>365</v>
      </c>
      <c r="G178" s="17" t="s">
        <v>27</v>
      </c>
      <c r="H178" s="17"/>
      <c r="I178" s="17">
        <v>0</v>
      </c>
      <c r="J178" s="17">
        <v>0</v>
      </c>
      <c r="K178" s="17">
        <v>0</v>
      </c>
      <c r="L178" s="17">
        <v>1</v>
      </c>
      <c r="M178" s="17">
        <v>0</v>
      </c>
      <c r="N178" s="17">
        <v>0</v>
      </c>
      <c r="O178" s="17">
        <v>0</v>
      </c>
    </row>
    <row r="179" spans="1:15" ht="18.75">
      <c r="A179" s="17" t="s">
        <v>51</v>
      </c>
      <c r="B179" s="18">
        <v>45749.54791666667</v>
      </c>
      <c r="C179" s="17" t="s">
        <v>377</v>
      </c>
      <c r="D179" s="17" t="s">
        <v>378</v>
      </c>
      <c r="E179" s="17" t="s">
        <v>379</v>
      </c>
      <c r="F179" s="17" t="s">
        <v>380</v>
      </c>
      <c r="G179" s="17" t="s">
        <v>27</v>
      </c>
      <c r="H179" s="17"/>
      <c r="I179" s="17">
        <v>0</v>
      </c>
      <c r="J179" s="17">
        <v>0</v>
      </c>
      <c r="K179" s="17">
        <v>0</v>
      </c>
      <c r="L179" s="17">
        <v>1</v>
      </c>
      <c r="M179" s="17">
        <v>0</v>
      </c>
      <c r="N179" s="17">
        <v>0</v>
      </c>
      <c r="O179" s="17">
        <v>0</v>
      </c>
    </row>
    <row r="180" spans="1:15" ht="18.75">
      <c r="A180" s="17" t="s">
        <v>51</v>
      </c>
      <c r="B180" s="18">
        <v>45749.563194444447</v>
      </c>
      <c r="C180" s="17" t="s">
        <v>381</v>
      </c>
      <c r="D180" s="17" t="s">
        <v>382</v>
      </c>
      <c r="E180" s="17" t="s">
        <v>383</v>
      </c>
      <c r="F180" s="17" t="s">
        <v>380</v>
      </c>
      <c r="G180" s="17" t="s">
        <v>27</v>
      </c>
      <c r="H180" s="17"/>
      <c r="I180" s="17">
        <v>0</v>
      </c>
      <c r="J180" s="17">
        <v>0</v>
      </c>
      <c r="K180" s="17">
        <v>0</v>
      </c>
      <c r="L180" s="17">
        <v>1</v>
      </c>
      <c r="M180" s="17">
        <v>0</v>
      </c>
      <c r="N180" s="17">
        <v>0</v>
      </c>
      <c r="O180" s="17">
        <v>0</v>
      </c>
    </row>
    <row r="181" spans="1:15" ht="18.75">
      <c r="A181" s="17" t="s">
        <v>51</v>
      </c>
      <c r="B181" s="18">
        <v>45749.571527777778</v>
      </c>
      <c r="C181" s="17" t="s">
        <v>384</v>
      </c>
      <c r="D181" s="17" t="s">
        <v>385</v>
      </c>
      <c r="E181" s="17" t="s">
        <v>386</v>
      </c>
      <c r="F181" s="17" t="s">
        <v>365</v>
      </c>
      <c r="G181" s="17" t="s">
        <v>27</v>
      </c>
      <c r="H181" s="17"/>
      <c r="I181" s="17">
        <v>0</v>
      </c>
      <c r="J181" s="17">
        <v>0</v>
      </c>
      <c r="K181" s="17">
        <v>0</v>
      </c>
      <c r="L181" s="17">
        <v>1</v>
      </c>
      <c r="M181" s="17">
        <v>0</v>
      </c>
      <c r="N181" s="17">
        <v>0</v>
      </c>
      <c r="O181" s="17">
        <v>0</v>
      </c>
    </row>
    <row r="182" spans="1:15" ht="18.75">
      <c r="A182" s="17" t="s">
        <v>51</v>
      </c>
      <c r="B182" s="18">
        <v>45749.732638888891</v>
      </c>
      <c r="C182" s="17" t="s">
        <v>388</v>
      </c>
      <c r="D182" s="17" t="s">
        <v>389</v>
      </c>
      <c r="E182" s="17" t="s">
        <v>390</v>
      </c>
      <c r="F182" s="17" t="s">
        <v>365</v>
      </c>
      <c r="G182" s="17" t="s">
        <v>27</v>
      </c>
      <c r="H182" s="17"/>
      <c r="I182" s="17">
        <v>0</v>
      </c>
      <c r="J182" s="17">
        <v>0</v>
      </c>
      <c r="K182" s="17">
        <v>0</v>
      </c>
      <c r="L182" s="17">
        <v>1</v>
      </c>
      <c r="M182" s="17">
        <v>0</v>
      </c>
      <c r="N182" s="17">
        <v>0</v>
      </c>
      <c r="O182" s="17">
        <v>0</v>
      </c>
    </row>
    <row r="183" spans="1:15" ht="18.75">
      <c r="A183" s="17" t="s">
        <v>51</v>
      </c>
      <c r="B183" s="18">
        <v>45758.635416666664</v>
      </c>
      <c r="C183" s="17" t="s">
        <v>401</v>
      </c>
      <c r="D183" s="17" t="s">
        <v>402</v>
      </c>
      <c r="E183" s="17" t="s">
        <v>403</v>
      </c>
      <c r="F183" s="17" t="s">
        <v>135</v>
      </c>
      <c r="G183" s="17" t="s">
        <v>26</v>
      </c>
      <c r="H183" s="17"/>
      <c r="I183" s="17">
        <v>0</v>
      </c>
      <c r="J183" s="17">
        <v>0</v>
      </c>
      <c r="K183" s="17">
        <v>1</v>
      </c>
      <c r="L183" s="17">
        <v>0</v>
      </c>
      <c r="M183" s="17">
        <v>0</v>
      </c>
      <c r="N183" s="17">
        <v>0</v>
      </c>
      <c r="O183" s="17">
        <v>0</v>
      </c>
    </row>
    <row r="184" spans="1:15" ht="18.75">
      <c r="A184" s="17" t="s">
        <v>51</v>
      </c>
      <c r="B184" s="18">
        <v>45758.635416666664</v>
      </c>
      <c r="C184" s="17" t="s">
        <v>401</v>
      </c>
      <c r="D184" s="17" t="s">
        <v>402</v>
      </c>
      <c r="E184" s="17" t="s">
        <v>403</v>
      </c>
      <c r="F184" s="17" t="s">
        <v>135</v>
      </c>
      <c r="G184" s="17" t="s">
        <v>28</v>
      </c>
      <c r="H184" s="17"/>
      <c r="I184" s="17">
        <v>0</v>
      </c>
      <c r="J184" s="17">
        <v>0</v>
      </c>
      <c r="K184" s="17">
        <v>0</v>
      </c>
      <c r="L184" s="17">
        <v>0</v>
      </c>
      <c r="M184" s="17">
        <v>1</v>
      </c>
      <c r="N184" s="17">
        <v>0</v>
      </c>
      <c r="O184" s="17">
        <v>0</v>
      </c>
    </row>
    <row r="185" spans="1:15" ht="18.75">
      <c r="A185" s="17" t="s">
        <v>51</v>
      </c>
      <c r="B185" s="18">
        <v>45758.635416666664</v>
      </c>
      <c r="C185" s="17" t="s">
        <v>401</v>
      </c>
      <c r="D185" s="17" t="s">
        <v>402</v>
      </c>
      <c r="E185" s="17" t="s">
        <v>403</v>
      </c>
      <c r="F185" s="17" t="s">
        <v>135</v>
      </c>
      <c r="G185" s="17" t="s">
        <v>29</v>
      </c>
      <c r="H185" s="17"/>
      <c r="I185" s="17">
        <v>0</v>
      </c>
      <c r="J185" s="17">
        <v>0</v>
      </c>
      <c r="K185" s="17">
        <v>0</v>
      </c>
      <c r="L185" s="17">
        <v>0</v>
      </c>
      <c r="M185" s="17">
        <v>0</v>
      </c>
      <c r="N185" s="17">
        <v>1</v>
      </c>
      <c r="O185" s="17">
        <v>0</v>
      </c>
    </row>
    <row r="186" spans="1:15" ht="18.75">
      <c r="A186" s="17" t="s">
        <v>51</v>
      </c>
      <c r="B186" s="18">
        <v>45762.500694444447</v>
      </c>
      <c r="C186" s="17" t="s">
        <v>405</v>
      </c>
      <c r="D186" s="17" t="s">
        <v>406</v>
      </c>
      <c r="E186" s="17" t="s">
        <v>407</v>
      </c>
      <c r="F186" s="17" t="s">
        <v>365</v>
      </c>
      <c r="G186" s="17" t="s">
        <v>25</v>
      </c>
      <c r="H186" s="17"/>
      <c r="I186" s="17">
        <v>0</v>
      </c>
      <c r="J186" s="17">
        <v>1</v>
      </c>
      <c r="K186" s="17">
        <v>0</v>
      </c>
      <c r="L186" s="17">
        <v>0</v>
      </c>
      <c r="M186" s="17">
        <v>0</v>
      </c>
      <c r="N186" s="17">
        <v>0</v>
      </c>
      <c r="O186" s="17">
        <v>0</v>
      </c>
    </row>
    <row r="187" spans="1:15" ht="18.75">
      <c r="A187" s="17" t="s">
        <v>51</v>
      </c>
      <c r="B187" s="18">
        <v>45762.500694444447</v>
      </c>
      <c r="C187" s="17" t="s">
        <v>405</v>
      </c>
      <c r="D187" s="17" t="s">
        <v>406</v>
      </c>
      <c r="E187" s="17" t="s">
        <v>407</v>
      </c>
      <c r="F187" s="17" t="s">
        <v>365</v>
      </c>
      <c r="G187" s="17" t="s">
        <v>26</v>
      </c>
      <c r="H187" s="17"/>
      <c r="I187" s="17">
        <v>0</v>
      </c>
      <c r="J187" s="17">
        <v>0</v>
      </c>
      <c r="K187" s="17">
        <v>1</v>
      </c>
      <c r="L187" s="17">
        <v>0</v>
      </c>
      <c r="M187" s="17">
        <v>0</v>
      </c>
      <c r="N187" s="17">
        <v>0</v>
      </c>
      <c r="O187" s="17">
        <v>0</v>
      </c>
    </row>
    <row r="188" spans="1:15" ht="18.75">
      <c r="A188" s="17" t="s">
        <v>51</v>
      </c>
      <c r="B188" s="18">
        <v>45762.500694444447</v>
      </c>
      <c r="C188" s="17" t="s">
        <v>405</v>
      </c>
      <c r="D188" s="17" t="s">
        <v>406</v>
      </c>
      <c r="E188" s="17" t="s">
        <v>407</v>
      </c>
      <c r="F188" s="17" t="s">
        <v>365</v>
      </c>
      <c r="G188" s="17" t="s">
        <v>27</v>
      </c>
      <c r="H188" s="17"/>
      <c r="I188" s="17">
        <v>0</v>
      </c>
      <c r="J188" s="17">
        <v>0</v>
      </c>
      <c r="K188" s="17">
        <v>0</v>
      </c>
      <c r="L188" s="17">
        <v>1</v>
      </c>
      <c r="M188" s="17">
        <v>0</v>
      </c>
      <c r="N188" s="17">
        <v>0</v>
      </c>
      <c r="O188" s="17">
        <v>0</v>
      </c>
    </row>
    <row r="189" spans="1:15" ht="18.75">
      <c r="A189" s="17" t="s">
        <v>51</v>
      </c>
      <c r="B189" s="18">
        <v>45764.806944444441</v>
      </c>
      <c r="C189" s="17" t="s">
        <v>421</v>
      </c>
      <c r="D189" s="17" t="s">
        <v>422</v>
      </c>
      <c r="E189" s="17" t="s">
        <v>423</v>
      </c>
      <c r="F189" s="17" t="s">
        <v>135</v>
      </c>
      <c r="G189" s="17" t="s">
        <v>28</v>
      </c>
      <c r="H189" s="17"/>
      <c r="I189" s="17">
        <v>0</v>
      </c>
      <c r="J189" s="17">
        <v>0</v>
      </c>
      <c r="K189" s="17">
        <v>0</v>
      </c>
      <c r="L189" s="17">
        <v>0</v>
      </c>
      <c r="M189" s="17">
        <v>1</v>
      </c>
      <c r="N189" s="17">
        <v>0</v>
      </c>
      <c r="O189" s="17">
        <v>0</v>
      </c>
    </row>
    <row r="190" spans="1:15" ht="18.75">
      <c r="A190" s="17" t="s">
        <v>84</v>
      </c>
      <c r="B190" s="18">
        <v>45757.501388888886</v>
      </c>
      <c r="C190" s="17" t="s">
        <v>395</v>
      </c>
      <c r="D190" s="17" t="s">
        <v>396</v>
      </c>
      <c r="E190" s="17" t="s">
        <v>397</v>
      </c>
      <c r="F190" s="17" t="s">
        <v>380</v>
      </c>
      <c r="G190" s="17" t="s">
        <v>25</v>
      </c>
      <c r="H190" s="17"/>
      <c r="I190" s="17">
        <v>0</v>
      </c>
      <c r="J190" s="17">
        <v>1</v>
      </c>
      <c r="K190" s="17">
        <v>0</v>
      </c>
      <c r="L190" s="17">
        <v>0</v>
      </c>
      <c r="M190" s="17">
        <v>0</v>
      </c>
      <c r="N190" s="17">
        <v>0</v>
      </c>
      <c r="O190" s="17">
        <v>0</v>
      </c>
    </row>
    <row r="191" spans="1:15" ht="18.75">
      <c r="A191" s="17" t="s">
        <v>84</v>
      </c>
      <c r="B191" s="18">
        <v>45757.501388888886</v>
      </c>
      <c r="C191" s="17" t="s">
        <v>395</v>
      </c>
      <c r="D191" s="17" t="s">
        <v>396</v>
      </c>
      <c r="E191" s="17" t="s">
        <v>397</v>
      </c>
      <c r="F191" s="17" t="s">
        <v>380</v>
      </c>
      <c r="G191" s="17" t="s">
        <v>27</v>
      </c>
      <c r="H191" s="17"/>
      <c r="I191" s="17">
        <v>0</v>
      </c>
      <c r="J191" s="17">
        <v>0</v>
      </c>
      <c r="K191" s="17">
        <v>0</v>
      </c>
      <c r="L191" s="17">
        <v>1</v>
      </c>
      <c r="M191" s="17">
        <v>0</v>
      </c>
      <c r="N191" s="17">
        <v>0</v>
      </c>
      <c r="O191" s="17">
        <v>0</v>
      </c>
    </row>
    <row r="192" spans="1:15" ht="18.75">
      <c r="A192" s="17" t="s">
        <v>84</v>
      </c>
      <c r="B192" s="18">
        <v>45764.40902777778</v>
      </c>
      <c r="C192" s="17" t="s">
        <v>417</v>
      </c>
      <c r="D192" s="17" t="s">
        <v>418</v>
      </c>
      <c r="E192" s="17" t="s">
        <v>419</v>
      </c>
      <c r="F192" s="17" t="s">
        <v>420</v>
      </c>
      <c r="G192" s="17" t="s">
        <v>27</v>
      </c>
      <c r="H192" s="17"/>
      <c r="I192" s="17">
        <v>0</v>
      </c>
      <c r="J192" s="17">
        <v>0</v>
      </c>
      <c r="K192" s="17">
        <v>0</v>
      </c>
      <c r="L192" s="17">
        <v>1</v>
      </c>
      <c r="M192" s="17">
        <v>0</v>
      </c>
      <c r="N192" s="17">
        <v>0</v>
      </c>
      <c r="O192" s="17">
        <v>0</v>
      </c>
    </row>
    <row r="193" spans="1:15" ht="18.75">
      <c r="A193" s="17" t="s">
        <v>84</v>
      </c>
      <c r="B193" s="18">
        <v>45768.52847222222</v>
      </c>
      <c r="C193" s="17" t="s">
        <v>428</v>
      </c>
      <c r="D193" s="17" t="s">
        <v>429</v>
      </c>
      <c r="E193" s="17" t="s">
        <v>430</v>
      </c>
      <c r="F193" s="17" t="s">
        <v>420</v>
      </c>
      <c r="G193" s="17" t="s">
        <v>26</v>
      </c>
      <c r="H193" s="17"/>
      <c r="I193" s="17">
        <v>0</v>
      </c>
      <c r="J193" s="17">
        <v>0</v>
      </c>
      <c r="K193" s="17">
        <v>1</v>
      </c>
      <c r="L193" s="17">
        <v>0</v>
      </c>
      <c r="M193" s="17">
        <v>0</v>
      </c>
      <c r="N193" s="17">
        <v>0</v>
      </c>
      <c r="O193" s="17">
        <v>0</v>
      </c>
    </row>
    <row r="194" spans="1:15" ht="18.75">
      <c r="A194" s="17" t="s">
        <v>84</v>
      </c>
      <c r="B194" s="18">
        <v>45768.52847222222</v>
      </c>
      <c r="C194" s="17" t="s">
        <v>428</v>
      </c>
      <c r="D194" s="17" t="s">
        <v>429</v>
      </c>
      <c r="E194" s="17" t="s">
        <v>430</v>
      </c>
      <c r="F194" s="17" t="s">
        <v>420</v>
      </c>
      <c r="G194" s="17" t="s">
        <v>27</v>
      </c>
      <c r="H194" s="17"/>
      <c r="I194" s="17">
        <v>0</v>
      </c>
      <c r="J194" s="17">
        <v>0</v>
      </c>
      <c r="K194" s="17">
        <v>0</v>
      </c>
      <c r="L194" s="17">
        <v>1</v>
      </c>
      <c r="M194" s="17">
        <v>0</v>
      </c>
      <c r="N194" s="17">
        <v>0</v>
      </c>
      <c r="O194" s="17">
        <v>0</v>
      </c>
    </row>
    <row r="195" spans="1:15" ht="18.75">
      <c r="A195" s="17" t="s">
        <v>84</v>
      </c>
      <c r="B195" s="18">
        <v>45768.52847222222</v>
      </c>
      <c r="C195" s="17" t="s">
        <v>428</v>
      </c>
      <c r="D195" s="17" t="s">
        <v>429</v>
      </c>
      <c r="E195" s="17" t="s">
        <v>430</v>
      </c>
      <c r="F195" s="17" t="s">
        <v>420</v>
      </c>
      <c r="G195" s="17" t="s">
        <v>29</v>
      </c>
      <c r="H195" s="17"/>
      <c r="I195" s="17">
        <v>0</v>
      </c>
      <c r="J195" s="17">
        <v>0</v>
      </c>
      <c r="K195" s="17">
        <v>0</v>
      </c>
      <c r="L195" s="17">
        <v>0</v>
      </c>
      <c r="M195" s="17">
        <v>0</v>
      </c>
      <c r="N195" s="17">
        <v>1</v>
      </c>
      <c r="O195" s="17">
        <v>0</v>
      </c>
    </row>
    <row r="196" spans="1:15" ht="18.75">
      <c r="A196" s="17" t="s">
        <v>84</v>
      </c>
      <c r="B196" s="18">
        <v>45769.453472222223</v>
      </c>
      <c r="C196" s="17" t="s">
        <v>431</v>
      </c>
      <c r="D196" s="17" t="s">
        <v>432</v>
      </c>
      <c r="E196" s="17" t="s">
        <v>433</v>
      </c>
      <c r="F196" s="17" t="s">
        <v>420</v>
      </c>
      <c r="G196" s="17" t="s">
        <v>24</v>
      </c>
      <c r="H196" s="17"/>
      <c r="I196" s="17">
        <v>1</v>
      </c>
      <c r="J196" s="17">
        <v>0</v>
      </c>
      <c r="K196" s="17">
        <v>0</v>
      </c>
      <c r="L196" s="17">
        <v>0</v>
      </c>
      <c r="M196" s="17">
        <v>0</v>
      </c>
      <c r="N196" s="17">
        <v>0</v>
      </c>
      <c r="O196" s="17">
        <v>0</v>
      </c>
    </row>
    <row r="197" spans="1:15" ht="18.75">
      <c r="A197" s="17" t="s">
        <v>84</v>
      </c>
      <c r="B197" s="18">
        <v>45769.453472222223</v>
      </c>
      <c r="C197" s="17" t="s">
        <v>431</v>
      </c>
      <c r="D197" s="17" t="s">
        <v>432</v>
      </c>
      <c r="E197" s="17" t="s">
        <v>433</v>
      </c>
      <c r="F197" s="17" t="s">
        <v>420</v>
      </c>
      <c r="G197" s="17" t="s">
        <v>27</v>
      </c>
      <c r="H197" s="17"/>
      <c r="I197" s="17">
        <v>0</v>
      </c>
      <c r="J197" s="17">
        <v>0</v>
      </c>
      <c r="K197" s="17">
        <v>0</v>
      </c>
      <c r="L197" s="17">
        <v>1</v>
      </c>
      <c r="M197" s="17">
        <v>0</v>
      </c>
      <c r="N197" s="17">
        <v>0</v>
      </c>
      <c r="O197" s="17">
        <v>0</v>
      </c>
    </row>
    <row r="198" spans="1:15" ht="18.75">
      <c r="A198" s="17" t="s">
        <v>84</v>
      </c>
      <c r="B198" s="18">
        <v>45770.572222222225</v>
      </c>
      <c r="C198" s="17" t="s">
        <v>434</v>
      </c>
      <c r="D198" s="17" t="s">
        <v>435</v>
      </c>
      <c r="E198" s="17" t="s">
        <v>436</v>
      </c>
      <c r="F198" s="17" t="s">
        <v>420</v>
      </c>
      <c r="G198" s="17" t="s">
        <v>25</v>
      </c>
      <c r="H198" s="17"/>
      <c r="I198" s="17">
        <v>0</v>
      </c>
      <c r="J198" s="17">
        <v>1</v>
      </c>
      <c r="K198" s="17">
        <v>0</v>
      </c>
      <c r="L198" s="17">
        <v>0</v>
      </c>
      <c r="M198" s="17">
        <v>0</v>
      </c>
      <c r="N198" s="17">
        <v>0</v>
      </c>
      <c r="O198" s="17">
        <v>0</v>
      </c>
    </row>
    <row r="199" spans="1:15" ht="15.75" customHeight="1">
      <c r="A199" s="17" t="s">
        <v>84</v>
      </c>
      <c r="B199" s="18">
        <v>45770.572222222225</v>
      </c>
      <c r="C199" s="17" t="s">
        <v>434</v>
      </c>
      <c r="D199" s="17" t="s">
        <v>435</v>
      </c>
      <c r="E199" s="17" t="s">
        <v>436</v>
      </c>
      <c r="F199" s="17" t="s">
        <v>420</v>
      </c>
      <c r="G199" s="17" t="s">
        <v>26</v>
      </c>
      <c r="H199" s="17"/>
      <c r="I199" s="17">
        <v>0</v>
      </c>
      <c r="J199" s="17">
        <v>0</v>
      </c>
      <c r="K199" s="17">
        <v>1</v>
      </c>
      <c r="L199" s="17">
        <v>0</v>
      </c>
      <c r="M199" s="17">
        <v>0</v>
      </c>
      <c r="N199" s="17">
        <v>0</v>
      </c>
      <c r="O199">
        <v>0</v>
      </c>
    </row>
    <row r="200" spans="1:15" ht="15.75" customHeight="1">
      <c r="A200" s="17" t="s">
        <v>84</v>
      </c>
      <c r="B200" s="18">
        <v>45770.572222222225</v>
      </c>
      <c r="C200" s="17" t="s">
        <v>434</v>
      </c>
      <c r="D200" s="17" t="s">
        <v>435</v>
      </c>
      <c r="E200" s="17" t="s">
        <v>436</v>
      </c>
      <c r="F200" s="17" t="s">
        <v>420</v>
      </c>
      <c r="G200" s="17" t="s">
        <v>27</v>
      </c>
      <c r="H200" s="17"/>
      <c r="I200" s="17">
        <v>0</v>
      </c>
      <c r="J200" s="17">
        <v>0</v>
      </c>
      <c r="K200" s="17">
        <v>0</v>
      </c>
      <c r="L200" s="17">
        <v>1</v>
      </c>
      <c r="M200" s="17">
        <v>0</v>
      </c>
      <c r="N200" s="17">
        <v>0</v>
      </c>
      <c r="O200">
        <v>0</v>
      </c>
    </row>
    <row r="201" spans="1:15" ht="15.75" customHeight="1">
      <c r="A201" s="17" t="s">
        <v>84</v>
      </c>
      <c r="B201" s="18">
        <v>45771.468055555553</v>
      </c>
      <c r="C201" s="17" t="s">
        <v>437</v>
      </c>
      <c r="D201" s="17" t="s">
        <v>438</v>
      </c>
      <c r="E201" s="17" t="s">
        <v>439</v>
      </c>
      <c r="F201" s="17" t="s">
        <v>420</v>
      </c>
      <c r="G201" s="17" t="s">
        <v>27</v>
      </c>
      <c r="H201" s="17"/>
      <c r="I201" s="17">
        <v>0</v>
      </c>
      <c r="J201" s="17">
        <v>0</v>
      </c>
      <c r="K201" s="17">
        <v>0</v>
      </c>
      <c r="L201" s="17">
        <v>1</v>
      </c>
      <c r="M201" s="17">
        <v>0</v>
      </c>
      <c r="N201" s="17">
        <v>0</v>
      </c>
      <c r="O201">
        <v>0</v>
      </c>
    </row>
    <row r="202" spans="1:15" ht="15.75" customHeight="1">
      <c r="A202" s="17" t="s">
        <v>56</v>
      </c>
      <c r="B202" s="18">
        <v>45778.938888888886</v>
      </c>
      <c r="C202" s="17" t="s">
        <v>440</v>
      </c>
      <c r="D202" s="17" t="s">
        <v>441</v>
      </c>
      <c r="E202" s="17" t="s">
        <v>442</v>
      </c>
      <c r="F202" s="17" t="s">
        <v>365</v>
      </c>
      <c r="G202" s="17" t="s">
        <v>30</v>
      </c>
      <c r="H202">
        <v>0</v>
      </c>
      <c r="I202">
        <v>0</v>
      </c>
      <c r="J202" s="17">
        <v>0</v>
      </c>
      <c r="K202" s="17">
        <v>0</v>
      </c>
      <c r="L202" s="17">
        <v>0</v>
      </c>
      <c r="M202">
        <v>0</v>
      </c>
      <c r="N202" s="17">
        <v>0</v>
      </c>
      <c r="O202" s="17">
        <v>1</v>
      </c>
    </row>
    <row r="203" spans="1:15" ht="15.75" customHeight="1">
      <c r="A203" s="17" t="s">
        <v>56</v>
      </c>
      <c r="B203" s="18">
        <v>45786.479861111111</v>
      </c>
      <c r="C203" s="17" t="s">
        <v>454</v>
      </c>
      <c r="D203" s="17" t="s">
        <v>455</v>
      </c>
      <c r="E203" s="17" t="s">
        <v>456</v>
      </c>
      <c r="F203" s="17" t="s">
        <v>365</v>
      </c>
      <c r="G203" s="17" t="s">
        <v>26</v>
      </c>
      <c r="H203">
        <v>0</v>
      </c>
      <c r="I203">
        <v>0</v>
      </c>
      <c r="J203" s="17">
        <v>0</v>
      </c>
      <c r="K203" s="17">
        <v>1</v>
      </c>
      <c r="L203" s="17">
        <v>0</v>
      </c>
      <c r="M203">
        <v>0</v>
      </c>
      <c r="N203" s="17">
        <v>0</v>
      </c>
      <c r="O203" s="17">
        <v>0</v>
      </c>
    </row>
    <row r="204" spans="1:15" ht="15.75" customHeight="1">
      <c r="A204" s="17" t="s">
        <v>56</v>
      </c>
      <c r="B204" s="18">
        <v>45786.479861111111</v>
      </c>
      <c r="C204" s="17" t="s">
        <v>454</v>
      </c>
      <c r="D204" s="17" t="s">
        <v>455</v>
      </c>
      <c r="E204" s="17" t="s">
        <v>456</v>
      </c>
      <c r="F204" s="17" t="s">
        <v>365</v>
      </c>
      <c r="G204" s="17" t="s">
        <v>30</v>
      </c>
      <c r="H204">
        <v>0</v>
      </c>
      <c r="I204">
        <v>0</v>
      </c>
      <c r="J204" s="17">
        <v>0</v>
      </c>
      <c r="K204" s="17">
        <v>0</v>
      </c>
      <c r="L204" s="17">
        <v>0</v>
      </c>
      <c r="M204">
        <v>0</v>
      </c>
      <c r="N204" s="17">
        <v>0</v>
      </c>
      <c r="O204" s="17">
        <v>1</v>
      </c>
    </row>
    <row r="205" spans="1:15" ht="15.75" customHeight="1">
      <c r="A205" s="17" t="s">
        <v>56</v>
      </c>
      <c r="B205" s="18">
        <v>45787.504861111112</v>
      </c>
      <c r="C205" s="17" t="s">
        <v>457</v>
      </c>
      <c r="D205" s="17" t="s">
        <v>458</v>
      </c>
      <c r="E205" s="17" t="s">
        <v>459</v>
      </c>
      <c r="F205" s="17" t="s">
        <v>365</v>
      </c>
      <c r="G205" s="17" t="s">
        <v>26</v>
      </c>
      <c r="H205">
        <v>0</v>
      </c>
      <c r="I205">
        <v>0</v>
      </c>
      <c r="J205" s="17">
        <v>0</v>
      </c>
      <c r="K205" s="17">
        <v>1</v>
      </c>
      <c r="L205" s="17">
        <v>0</v>
      </c>
      <c r="M205">
        <v>0</v>
      </c>
      <c r="N205" s="17">
        <v>0</v>
      </c>
      <c r="O205" s="17">
        <v>0</v>
      </c>
    </row>
    <row r="206" spans="1:15" ht="15.75" customHeight="1">
      <c r="A206" s="17" t="s">
        <v>56</v>
      </c>
      <c r="B206" s="18">
        <v>45798.42083333333</v>
      </c>
      <c r="C206" s="17" t="s">
        <v>470</v>
      </c>
      <c r="D206" s="17" t="s">
        <v>471</v>
      </c>
      <c r="E206" s="17" t="s">
        <v>472</v>
      </c>
      <c r="F206" s="17" t="s">
        <v>473</v>
      </c>
      <c r="G206" s="17" t="s">
        <v>30</v>
      </c>
      <c r="H206">
        <v>0</v>
      </c>
      <c r="I206">
        <v>0</v>
      </c>
      <c r="J206" s="17">
        <v>0</v>
      </c>
      <c r="K206" s="17">
        <v>0</v>
      </c>
      <c r="L206" s="17">
        <v>0</v>
      </c>
      <c r="M206">
        <v>0</v>
      </c>
      <c r="N206" s="17">
        <v>0</v>
      </c>
      <c r="O206" s="17">
        <v>1</v>
      </c>
    </row>
    <row r="207" spans="1:15" ht="15.75" customHeight="1">
      <c r="A207" s="17" t="s">
        <v>51</v>
      </c>
      <c r="B207" s="18">
        <v>45779.341666666667</v>
      </c>
      <c r="C207" s="17" t="s">
        <v>443</v>
      </c>
      <c r="D207" s="17" t="s">
        <v>444</v>
      </c>
      <c r="E207" s="17" t="s">
        <v>445</v>
      </c>
      <c r="F207" s="17" t="s">
        <v>380</v>
      </c>
      <c r="G207" s="17" t="s">
        <v>27</v>
      </c>
      <c r="H207">
        <v>0</v>
      </c>
      <c r="I207">
        <v>0</v>
      </c>
      <c r="J207" s="17">
        <v>0</v>
      </c>
      <c r="K207" s="17">
        <v>0</v>
      </c>
      <c r="L207" s="17">
        <v>1</v>
      </c>
      <c r="M207">
        <v>0</v>
      </c>
      <c r="N207" s="17">
        <v>0</v>
      </c>
      <c r="O207" s="17">
        <v>0</v>
      </c>
    </row>
    <row r="208" spans="1:15" ht="15.75" customHeight="1">
      <c r="A208" s="17" t="s">
        <v>51</v>
      </c>
      <c r="B208" s="18">
        <v>45799.554861111108</v>
      </c>
      <c r="C208" s="17" t="s">
        <v>475</v>
      </c>
      <c r="D208" s="17" t="s">
        <v>476</v>
      </c>
      <c r="E208" s="17" t="s">
        <v>477</v>
      </c>
      <c r="F208" s="17" t="s">
        <v>365</v>
      </c>
      <c r="G208" s="17" t="s">
        <v>27</v>
      </c>
      <c r="H208">
        <v>0</v>
      </c>
      <c r="I208">
        <v>0</v>
      </c>
      <c r="J208" s="17">
        <v>0</v>
      </c>
      <c r="K208" s="17">
        <v>0</v>
      </c>
      <c r="L208" s="17">
        <v>1</v>
      </c>
      <c r="M208">
        <v>0</v>
      </c>
      <c r="N208" s="17">
        <v>0</v>
      </c>
      <c r="O208" s="17">
        <v>0</v>
      </c>
    </row>
    <row r="209" spans="1:15" ht="15.75" customHeight="1">
      <c r="A209" s="17" t="s">
        <v>51</v>
      </c>
      <c r="B209" s="18">
        <v>45799.663888888892</v>
      </c>
      <c r="C209" s="17" t="s">
        <v>478</v>
      </c>
      <c r="D209" s="17" t="s">
        <v>479</v>
      </c>
      <c r="E209" s="17" t="s">
        <v>480</v>
      </c>
      <c r="F209" s="17" t="s">
        <v>380</v>
      </c>
      <c r="G209" s="17" t="s">
        <v>26</v>
      </c>
      <c r="H209">
        <v>0</v>
      </c>
      <c r="I209">
        <v>0</v>
      </c>
      <c r="J209" s="17">
        <v>0</v>
      </c>
      <c r="K209" s="17">
        <v>1</v>
      </c>
      <c r="L209" s="17">
        <v>0</v>
      </c>
      <c r="M209">
        <v>0</v>
      </c>
      <c r="N209" s="17">
        <v>0</v>
      </c>
      <c r="O209" s="17">
        <v>0</v>
      </c>
    </row>
    <row r="210" spans="1:15" ht="15.75" customHeight="1">
      <c r="A210" s="17" t="s">
        <v>84</v>
      </c>
      <c r="B210" s="18">
        <v>45779.436111111114</v>
      </c>
      <c r="C210" s="17" t="s">
        <v>447</v>
      </c>
      <c r="D210" s="17" t="s">
        <v>1266</v>
      </c>
      <c r="E210" s="17" t="s">
        <v>449</v>
      </c>
      <c r="F210" s="17" t="s">
        <v>420</v>
      </c>
      <c r="G210" s="17" t="s">
        <v>27</v>
      </c>
      <c r="H210">
        <v>0</v>
      </c>
      <c r="I210">
        <v>0</v>
      </c>
      <c r="J210" s="17">
        <v>0</v>
      </c>
      <c r="K210" s="17">
        <v>0</v>
      </c>
      <c r="L210" s="17">
        <v>1</v>
      </c>
      <c r="M210">
        <v>0</v>
      </c>
      <c r="N210" s="17">
        <v>0</v>
      </c>
      <c r="O210" s="17">
        <v>0</v>
      </c>
    </row>
    <row r="211" spans="1:15" ht="15.75" customHeight="1">
      <c r="A211" s="17" t="s">
        <v>84</v>
      </c>
      <c r="B211" s="18">
        <v>45786.463888888888</v>
      </c>
      <c r="C211" s="17" t="s">
        <v>451</v>
      </c>
      <c r="D211" s="17" t="s">
        <v>452</v>
      </c>
      <c r="E211" s="17" t="s">
        <v>453</v>
      </c>
      <c r="F211" s="17" t="s">
        <v>420</v>
      </c>
      <c r="G211" s="17" t="s">
        <v>27</v>
      </c>
      <c r="H211">
        <v>0</v>
      </c>
      <c r="I211">
        <v>0</v>
      </c>
      <c r="J211" s="17">
        <v>0</v>
      </c>
      <c r="K211" s="17">
        <v>0</v>
      </c>
      <c r="L211" s="17">
        <v>1</v>
      </c>
      <c r="M211">
        <v>0</v>
      </c>
      <c r="N211" s="17">
        <v>0</v>
      </c>
      <c r="O211" s="17">
        <v>0</v>
      </c>
    </row>
    <row r="212" spans="1:15" ht="15.75" customHeight="1">
      <c r="A212" s="17" t="s">
        <v>84</v>
      </c>
      <c r="B212" s="18">
        <v>45789.537499999999</v>
      </c>
      <c r="C212" s="17" t="s">
        <v>460</v>
      </c>
      <c r="D212" s="17" t="s">
        <v>461</v>
      </c>
      <c r="E212" s="17" t="s">
        <v>462</v>
      </c>
      <c r="F212" s="17" t="s">
        <v>420</v>
      </c>
      <c r="G212" s="17" t="s">
        <v>25</v>
      </c>
      <c r="H212">
        <v>0</v>
      </c>
      <c r="I212">
        <v>0</v>
      </c>
      <c r="J212" s="17">
        <v>1</v>
      </c>
      <c r="K212" s="17">
        <v>0</v>
      </c>
      <c r="L212" s="17">
        <v>0</v>
      </c>
      <c r="M212">
        <v>0</v>
      </c>
      <c r="N212" s="17">
        <v>0</v>
      </c>
      <c r="O212" s="17">
        <v>0</v>
      </c>
    </row>
    <row r="213" spans="1:15" ht="15.75" customHeight="1">
      <c r="A213" s="17" t="s">
        <v>84</v>
      </c>
      <c r="B213" s="18">
        <v>45789.537499999999</v>
      </c>
      <c r="C213" s="17" t="s">
        <v>460</v>
      </c>
      <c r="D213" s="17" t="s">
        <v>461</v>
      </c>
      <c r="E213" s="17" t="s">
        <v>462</v>
      </c>
      <c r="F213" s="17" t="s">
        <v>420</v>
      </c>
      <c r="G213" s="17" t="s">
        <v>29</v>
      </c>
      <c r="H213">
        <v>0</v>
      </c>
      <c r="I213">
        <v>0</v>
      </c>
      <c r="J213" s="17">
        <v>0</v>
      </c>
      <c r="K213" s="17">
        <v>0</v>
      </c>
      <c r="L213" s="17">
        <v>0</v>
      </c>
      <c r="M213">
        <v>0</v>
      </c>
      <c r="N213" s="17">
        <v>1</v>
      </c>
      <c r="O213" s="17">
        <v>0</v>
      </c>
    </row>
    <row r="214" spans="1:15" ht="15.75" customHeight="1">
      <c r="A214" s="17" t="s">
        <v>84</v>
      </c>
      <c r="B214" s="18">
        <v>45790.672222222223</v>
      </c>
      <c r="C214" s="17" t="s">
        <v>454</v>
      </c>
      <c r="D214" s="17" t="s">
        <v>455</v>
      </c>
      <c r="E214" s="17" t="s">
        <v>463</v>
      </c>
      <c r="F214" s="17" t="s">
        <v>420</v>
      </c>
      <c r="G214" s="17" t="s">
        <v>26</v>
      </c>
      <c r="H214">
        <v>0</v>
      </c>
      <c r="I214">
        <v>0</v>
      </c>
      <c r="J214" s="17">
        <v>0</v>
      </c>
      <c r="K214" s="17">
        <v>1</v>
      </c>
      <c r="L214" s="17">
        <v>0</v>
      </c>
      <c r="M214">
        <v>0</v>
      </c>
      <c r="N214" s="17">
        <v>0</v>
      </c>
      <c r="O214" s="17">
        <v>0</v>
      </c>
    </row>
    <row r="215" spans="1:15" ht="15.75" customHeight="1">
      <c r="A215" s="17" t="s">
        <v>84</v>
      </c>
      <c r="B215" s="18">
        <v>45790.672222222223</v>
      </c>
      <c r="C215" s="17" t="s">
        <v>454</v>
      </c>
      <c r="D215" s="17" t="s">
        <v>455</v>
      </c>
      <c r="E215" s="17" t="s">
        <v>463</v>
      </c>
      <c r="F215" s="17" t="s">
        <v>420</v>
      </c>
      <c r="G215" s="17" t="s">
        <v>30</v>
      </c>
      <c r="H215">
        <v>0</v>
      </c>
      <c r="I215">
        <v>0</v>
      </c>
      <c r="J215" s="17">
        <v>0</v>
      </c>
      <c r="K215" s="17">
        <v>0</v>
      </c>
      <c r="L215" s="17">
        <v>0</v>
      </c>
      <c r="M215">
        <v>0</v>
      </c>
      <c r="N215" s="17">
        <v>0</v>
      </c>
      <c r="O215" s="17">
        <v>1</v>
      </c>
    </row>
    <row r="216" spans="1:15" ht="15.75" customHeight="1">
      <c r="A216" s="17" t="s">
        <v>84</v>
      </c>
      <c r="B216" s="18">
        <v>45793.740277777775</v>
      </c>
      <c r="C216" s="17" t="s">
        <v>464</v>
      </c>
      <c r="D216" s="17" t="s">
        <v>465</v>
      </c>
      <c r="E216" s="17" t="s">
        <v>466</v>
      </c>
      <c r="F216" s="17" t="s">
        <v>420</v>
      </c>
      <c r="G216" s="17" t="s">
        <v>25</v>
      </c>
      <c r="H216">
        <v>0</v>
      </c>
      <c r="I216">
        <v>0</v>
      </c>
      <c r="J216" s="17">
        <v>1</v>
      </c>
      <c r="K216" s="17">
        <v>0</v>
      </c>
      <c r="L216" s="17">
        <v>0</v>
      </c>
      <c r="M216">
        <v>0</v>
      </c>
      <c r="N216" s="17">
        <v>0</v>
      </c>
      <c r="O216" s="17">
        <v>0</v>
      </c>
    </row>
    <row r="217" spans="1:15" ht="15.75" customHeight="1">
      <c r="A217" s="17" t="s">
        <v>84</v>
      </c>
      <c r="B217" s="18">
        <v>45796.598611111112</v>
      </c>
      <c r="C217" s="17" t="s">
        <v>467</v>
      </c>
      <c r="D217" s="17" t="s">
        <v>468</v>
      </c>
      <c r="E217" s="17" t="s">
        <v>469</v>
      </c>
      <c r="F217" s="17" t="s">
        <v>420</v>
      </c>
      <c r="G217" s="17" t="s">
        <v>26</v>
      </c>
      <c r="H217">
        <v>0</v>
      </c>
      <c r="I217">
        <v>0</v>
      </c>
      <c r="J217" s="17">
        <v>0</v>
      </c>
      <c r="K217" s="17">
        <v>1</v>
      </c>
      <c r="L217" s="17">
        <v>0</v>
      </c>
      <c r="M217">
        <v>0</v>
      </c>
      <c r="N217" s="17">
        <v>0</v>
      </c>
      <c r="O217" s="17">
        <v>0</v>
      </c>
    </row>
    <row r="218" spans="1:15" ht="15.75" customHeight="1">
      <c r="A218" s="17" t="s">
        <v>84</v>
      </c>
      <c r="B218" s="18">
        <v>45800.482638888891</v>
      </c>
      <c r="C218" s="17" t="s">
        <v>482</v>
      </c>
      <c r="D218" s="17" t="s">
        <v>483</v>
      </c>
      <c r="E218" s="17" t="s">
        <v>483</v>
      </c>
      <c r="F218" s="17" t="s">
        <v>420</v>
      </c>
      <c r="G218" s="17" t="s">
        <v>24</v>
      </c>
      <c r="H218">
        <v>0</v>
      </c>
      <c r="I218" s="17">
        <v>1</v>
      </c>
      <c r="J218" s="17">
        <v>0</v>
      </c>
      <c r="K218" s="17">
        <v>0</v>
      </c>
      <c r="L218" s="17">
        <v>0</v>
      </c>
      <c r="M218" s="17">
        <v>0</v>
      </c>
      <c r="N218" s="17">
        <v>0</v>
      </c>
      <c r="O218" s="17">
        <v>0</v>
      </c>
    </row>
    <row r="219" spans="1:15" ht="15.75" customHeight="1">
      <c r="A219" s="17" t="s">
        <v>84</v>
      </c>
      <c r="B219" s="18">
        <v>45800.482638888891</v>
      </c>
      <c r="C219" s="17" t="s">
        <v>482</v>
      </c>
      <c r="D219" s="17" t="s">
        <v>483</v>
      </c>
      <c r="E219" s="17" t="s">
        <v>483</v>
      </c>
      <c r="F219" s="17" t="s">
        <v>420</v>
      </c>
      <c r="G219" s="17" t="s">
        <v>25</v>
      </c>
      <c r="H219">
        <v>0</v>
      </c>
      <c r="I219" s="17">
        <v>0</v>
      </c>
      <c r="J219" s="17">
        <v>1</v>
      </c>
      <c r="K219" s="17">
        <v>0</v>
      </c>
      <c r="L219" s="17">
        <v>0</v>
      </c>
      <c r="M219" s="17">
        <v>0</v>
      </c>
      <c r="N219" s="17">
        <v>0</v>
      </c>
      <c r="O219" s="17">
        <v>0</v>
      </c>
    </row>
    <row r="220" spans="1:15" ht="15.75" customHeight="1">
      <c r="A220" s="17" t="s">
        <v>84</v>
      </c>
      <c r="B220" s="18">
        <v>45800.482638888891</v>
      </c>
      <c r="C220" s="17" t="s">
        <v>482</v>
      </c>
      <c r="D220" s="17" t="s">
        <v>483</v>
      </c>
      <c r="E220" s="17" t="s">
        <v>483</v>
      </c>
      <c r="F220" s="17" t="s">
        <v>420</v>
      </c>
      <c r="G220" s="17" t="s">
        <v>26</v>
      </c>
      <c r="H220">
        <v>0</v>
      </c>
      <c r="I220" s="17">
        <v>0</v>
      </c>
      <c r="J220" s="17">
        <v>0</v>
      </c>
      <c r="K220" s="17">
        <v>1</v>
      </c>
      <c r="L220" s="17">
        <v>0</v>
      </c>
      <c r="M220" s="17">
        <v>0</v>
      </c>
      <c r="N220" s="17">
        <v>0</v>
      </c>
      <c r="O220" s="17">
        <v>0</v>
      </c>
    </row>
    <row r="221" spans="1:15" ht="15.75" customHeight="1">
      <c r="A221" s="17" t="s">
        <v>84</v>
      </c>
      <c r="B221" s="18">
        <v>45800.482638888891</v>
      </c>
      <c r="C221" s="17" t="s">
        <v>482</v>
      </c>
      <c r="D221" s="17" t="s">
        <v>483</v>
      </c>
      <c r="E221" s="17" t="s">
        <v>483</v>
      </c>
      <c r="F221" s="17" t="s">
        <v>420</v>
      </c>
      <c r="G221" s="17" t="s">
        <v>28</v>
      </c>
      <c r="H221">
        <v>0</v>
      </c>
      <c r="I221" s="17">
        <v>0</v>
      </c>
      <c r="J221" s="17">
        <v>0</v>
      </c>
      <c r="K221" s="17">
        <v>0</v>
      </c>
      <c r="L221" s="17">
        <v>0</v>
      </c>
      <c r="M221" s="17">
        <v>1</v>
      </c>
      <c r="N221" s="17">
        <v>0</v>
      </c>
      <c r="O221" s="17">
        <v>0</v>
      </c>
    </row>
    <row r="222" spans="1:15" ht="15.75" customHeight="1">
      <c r="A222" s="17" t="s">
        <v>56</v>
      </c>
      <c r="B222" s="18">
        <v>45813.289583333331</v>
      </c>
      <c r="C222" s="17" t="s">
        <v>493</v>
      </c>
      <c r="D222" s="17" t="s">
        <v>494</v>
      </c>
      <c r="E222" s="17" t="s">
        <v>495</v>
      </c>
      <c r="F222" s="17" t="s">
        <v>473</v>
      </c>
      <c r="G222" s="17" t="s">
        <v>25</v>
      </c>
      <c r="H222" s="17">
        <v>0</v>
      </c>
      <c r="I222">
        <v>0</v>
      </c>
      <c r="J222" s="17">
        <v>1</v>
      </c>
      <c r="K222" s="17">
        <v>0</v>
      </c>
      <c r="L222" s="17">
        <v>0</v>
      </c>
      <c r="M222">
        <v>0</v>
      </c>
      <c r="N222" s="17">
        <v>0</v>
      </c>
      <c r="O222" s="17">
        <v>0</v>
      </c>
    </row>
    <row r="223" spans="1:15" ht="15.75" customHeight="1">
      <c r="A223" s="17" t="s">
        <v>56</v>
      </c>
      <c r="B223" s="18">
        <v>45813.289583333331</v>
      </c>
      <c r="C223" s="17" t="s">
        <v>493</v>
      </c>
      <c r="D223" s="17" t="s">
        <v>494</v>
      </c>
      <c r="E223" s="17" t="s">
        <v>495</v>
      </c>
      <c r="F223" s="17" t="s">
        <v>473</v>
      </c>
      <c r="G223" s="17" t="s">
        <v>27</v>
      </c>
      <c r="H223" s="17">
        <v>0</v>
      </c>
      <c r="I223">
        <v>0</v>
      </c>
      <c r="J223" s="17">
        <v>0</v>
      </c>
      <c r="K223" s="17">
        <v>0</v>
      </c>
      <c r="L223" s="17">
        <v>1</v>
      </c>
      <c r="M223">
        <v>0</v>
      </c>
      <c r="N223" s="17">
        <v>0</v>
      </c>
      <c r="O223" s="17">
        <v>0</v>
      </c>
    </row>
    <row r="224" spans="1:15" ht="15.75" customHeight="1">
      <c r="A224" s="17" t="s">
        <v>56</v>
      </c>
      <c r="B224" s="18">
        <v>45814.675000000003</v>
      </c>
      <c r="C224" s="17" t="s">
        <v>500</v>
      </c>
      <c r="D224" s="17" t="s">
        <v>501</v>
      </c>
      <c r="E224" s="17" t="s">
        <v>502</v>
      </c>
      <c r="F224" s="17" t="s">
        <v>365</v>
      </c>
      <c r="G224" s="17" t="s">
        <v>23</v>
      </c>
      <c r="H224" s="17">
        <v>1</v>
      </c>
      <c r="I224">
        <v>0</v>
      </c>
      <c r="J224" s="17">
        <v>0</v>
      </c>
      <c r="K224" s="17">
        <v>0</v>
      </c>
      <c r="L224" s="17">
        <v>0</v>
      </c>
      <c r="M224">
        <v>0</v>
      </c>
      <c r="N224" s="17">
        <v>0</v>
      </c>
      <c r="O224" s="17">
        <v>0</v>
      </c>
    </row>
    <row r="225" spans="1:15" ht="15.75" customHeight="1">
      <c r="A225" s="17" t="s">
        <v>56</v>
      </c>
      <c r="B225" s="18">
        <v>45814.675000000003</v>
      </c>
      <c r="C225" s="17" t="s">
        <v>500</v>
      </c>
      <c r="D225" s="17" t="s">
        <v>501</v>
      </c>
      <c r="E225" s="17" t="s">
        <v>502</v>
      </c>
      <c r="F225" s="17" t="s">
        <v>365</v>
      </c>
      <c r="G225" s="17" t="s">
        <v>29</v>
      </c>
      <c r="H225" s="17">
        <v>0</v>
      </c>
      <c r="I225">
        <v>0</v>
      </c>
      <c r="J225" s="17">
        <v>0</v>
      </c>
      <c r="K225" s="17">
        <v>0</v>
      </c>
      <c r="L225" s="17">
        <v>0</v>
      </c>
      <c r="M225">
        <v>0</v>
      </c>
      <c r="N225" s="17">
        <v>1</v>
      </c>
      <c r="O225" s="17">
        <v>0</v>
      </c>
    </row>
    <row r="226" spans="1:15" ht="15.75" customHeight="1">
      <c r="A226" s="17" t="s">
        <v>51</v>
      </c>
      <c r="B226" s="18">
        <v>45811.657638888886</v>
      </c>
      <c r="C226" s="17" t="s">
        <v>487</v>
      </c>
      <c r="D226" s="17" t="s">
        <v>488</v>
      </c>
      <c r="E226" s="17" t="s">
        <v>489</v>
      </c>
      <c r="F226" s="17" t="s">
        <v>365</v>
      </c>
      <c r="G226" s="17" t="s">
        <v>27</v>
      </c>
      <c r="H226" s="17">
        <v>0</v>
      </c>
      <c r="I226">
        <v>0</v>
      </c>
      <c r="J226" s="17">
        <v>0</v>
      </c>
      <c r="K226" s="17">
        <v>0</v>
      </c>
      <c r="L226" s="17">
        <v>1</v>
      </c>
      <c r="M226">
        <v>0</v>
      </c>
      <c r="N226" s="17">
        <v>0</v>
      </c>
      <c r="O226" s="17">
        <v>0</v>
      </c>
    </row>
    <row r="227" spans="1:15" ht="15.75" customHeight="1">
      <c r="A227" s="17" t="s">
        <v>51</v>
      </c>
      <c r="B227" s="18">
        <v>45812.500694444447</v>
      </c>
      <c r="C227" s="17" t="s">
        <v>490</v>
      </c>
      <c r="D227" s="17" t="s">
        <v>491</v>
      </c>
      <c r="E227" s="17" t="s">
        <v>492</v>
      </c>
      <c r="F227" s="17" t="s">
        <v>365</v>
      </c>
      <c r="G227" s="17" t="s">
        <v>27</v>
      </c>
      <c r="H227" s="17">
        <v>0</v>
      </c>
      <c r="I227">
        <v>0</v>
      </c>
      <c r="J227" s="17">
        <v>0</v>
      </c>
      <c r="K227" s="17">
        <v>0</v>
      </c>
      <c r="L227" s="17">
        <v>1</v>
      </c>
      <c r="M227">
        <v>0</v>
      </c>
      <c r="N227" s="17">
        <v>0</v>
      </c>
      <c r="O227" s="17">
        <v>0</v>
      </c>
    </row>
    <row r="228" spans="1:15" ht="15.75" customHeight="1">
      <c r="A228" s="17" t="s">
        <v>51</v>
      </c>
      <c r="B228" s="18">
        <v>45814.461111111108</v>
      </c>
      <c r="C228" s="17" t="s">
        <v>497</v>
      </c>
      <c r="D228" s="17" t="s">
        <v>498</v>
      </c>
      <c r="E228" s="17" t="s">
        <v>499</v>
      </c>
      <c r="F228" s="17" t="s">
        <v>365</v>
      </c>
      <c r="G228" s="17" t="s">
        <v>26</v>
      </c>
      <c r="H228" s="17">
        <v>0</v>
      </c>
      <c r="I228">
        <v>0</v>
      </c>
      <c r="J228" s="17">
        <v>0</v>
      </c>
      <c r="K228" s="17">
        <v>1</v>
      </c>
      <c r="L228" s="17">
        <v>0</v>
      </c>
      <c r="M228">
        <v>0</v>
      </c>
      <c r="N228" s="17">
        <v>0</v>
      </c>
      <c r="O228" s="17">
        <v>0</v>
      </c>
    </row>
    <row r="229" spans="1:15" ht="15.75" customHeight="1">
      <c r="A229" s="17" t="s">
        <v>51</v>
      </c>
      <c r="B229" s="18">
        <v>45816.375</v>
      </c>
      <c r="C229" s="17" t="s">
        <v>503</v>
      </c>
      <c r="D229" s="17" t="s">
        <v>504</v>
      </c>
      <c r="E229" s="17" t="s">
        <v>505</v>
      </c>
      <c r="F229" s="17" t="s">
        <v>365</v>
      </c>
      <c r="G229" s="17" t="s">
        <v>26</v>
      </c>
      <c r="H229" s="17">
        <v>0</v>
      </c>
      <c r="I229">
        <v>0</v>
      </c>
      <c r="J229" s="17">
        <v>0</v>
      </c>
      <c r="K229" s="17">
        <v>1</v>
      </c>
      <c r="L229" s="17">
        <v>0</v>
      </c>
      <c r="M229">
        <v>0</v>
      </c>
      <c r="N229" s="17">
        <v>0</v>
      </c>
      <c r="O229" s="17">
        <v>0</v>
      </c>
    </row>
    <row r="230" spans="1:15" ht="15.75" customHeight="1">
      <c r="A230" s="17" t="s">
        <v>51</v>
      </c>
      <c r="B230" s="18">
        <v>45816.929861111108</v>
      </c>
      <c r="C230" s="17" t="s">
        <v>507</v>
      </c>
      <c r="D230" s="17" t="s">
        <v>508</v>
      </c>
      <c r="E230" s="17" t="s">
        <v>509</v>
      </c>
      <c r="F230" s="17" t="s">
        <v>365</v>
      </c>
      <c r="G230" s="17" t="s">
        <v>26</v>
      </c>
      <c r="H230" s="17">
        <v>0</v>
      </c>
      <c r="I230">
        <v>0</v>
      </c>
      <c r="J230" s="17">
        <v>0</v>
      </c>
      <c r="K230" s="17">
        <v>1</v>
      </c>
      <c r="L230" s="17">
        <v>0</v>
      </c>
      <c r="M230">
        <v>0</v>
      </c>
      <c r="N230" s="17">
        <v>0</v>
      </c>
      <c r="O230" s="17">
        <v>0</v>
      </c>
    </row>
    <row r="231" spans="1:15" ht="15.75" customHeight="1">
      <c r="A231" s="17" t="s">
        <v>51</v>
      </c>
      <c r="B231" s="18">
        <v>45816.929861111108</v>
      </c>
      <c r="C231" s="17" t="s">
        <v>507</v>
      </c>
      <c r="D231" s="17" t="s">
        <v>508</v>
      </c>
      <c r="E231" s="17" t="s">
        <v>509</v>
      </c>
      <c r="F231" s="17" t="s">
        <v>365</v>
      </c>
      <c r="G231" s="17" t="s">
        <v>30</v>
      </c>
      <c r="H231" s="17">
        <v>0</v>
      </c>
      <c r="I231">
        <v>0</v>
      </c>
      <c r="J231" s="17">
        <v>0</v>
      </c>
      <c r="K231" s="17">
        <v>0</v>
      </c>
      <c r="L231" s="17">
        <v>0</v>
      </c>
      <c r="M231">
        <v>0</v>
      </c>
      <c r="N231" s="17">
        <v>0</v>
      </c>
      <c r="O231" s="17">
        <v>1</v>
      </c>
    </row>
    <row r="232" spans="1:15" ht="15.75" customHeight="1">
      <c r="A232" s="17" t="s">
        <v>84</v>
      </c>
      <c r="B232" s="18">
        <v>45810.443749999999</v>
      </c>
      <c r="C232" s="17" t="s">
        <v>484</v>
      </c>
      <c r="D232" s="17" t="s">
        <v>485</v>
      </c>
      <c r="E232" s="17" t="s">
        <v>486</v>
      </c>
      <c r="F232" s="17" t="s">
        <v>420</v>
      </c>
      <c r="G232" s="17" t="s">
        <v>27</v>
      </c>
      <c r="H232" s="17">
        <v>0</v>
      </c>
      <c r="I232">
        <v>0</v>
      </c>
      <c r="J232" s="17">
        <v>0</v>
      </c>
      <c r="K232" s="17">
        <v>0</v>
      </c>
      <c r="L232" s="17">
        <v>1</v>
      </c>
      <c r="M232">
        <v>0</v>
      </c>
      <c r="N232" s="17">
        <v>0</v>
      </c>
      <c r="O232" s="17">
        <v>0</v>
      </c>
    </row>
    <row r="233" spans="1:15" ht="15.75" customHeight="1">
      <c r="A233" s="17" t="s">
        <v>84</v>
      </c>
      <c r="B233" s="18">
        <v>45814.459027777775</v>
      </c>
      <c r="C233" s="17" t="s">
        <v>497</v>
      </c>
      <c r="D233" s="17" t="s">
        <v>498</v>
      </c>
      <c r="E233" s="17" t="s">
        <v>499</v>
      </c>
      <c r="F233" s="17" t="s">
        <v>420</v>
      </c>
      <c r="G233" s="17" t="s">
        <v>26</v>
      </c>
      <c r="H233" s="17">
        <v>0</v>
      </c>
      <c r="I233">
        <v>0</v>
      </c>
      <c r="J233" s="17">
        <v>0</v>
      </c>
      <c r="K233" s="17">
        <v>1</v>
      </c>
      <c r="L233" s="17">
        <v>0</v>
      </c>
      <c r="M233">
        <v>0</v>
      </c>
      <c r="N233" s="17">
        <v>0</v>
      </c>
      <c r="O233" s="17">
        <v>0</v>
      </c>
    </row>
    <row r="234" spans="1:15" ht="15.75" customHeight="1">
      <c r="A234" s="17" t="s">
        <v>84</v>
      </c>
      <c r="B234" s="18">
        <v>45819.536805555559</v>
      </c>
      <c r="C234" s="17" t="s">
        <v>510</v>
      </c>
      <c r="D234" s="17" t="s">
        <v>511</v>
      </c>
      <c r="E234" s="17" t="s">
        <v>512</v>
      </c>
      <c r="F234" s="17" t="s">
        <v>420</v>
      </c>
      <c r="G234" s="17" t="s">
        <v>26</v>
      </c>
      <c r="H234" s="17">
        <v>0</v>
      </c>
      <c r="I234">
        <v>0</v>
      </c>
      <c r="J234" s="17">
        <v>0</v>
      </c>
      <c r="K234" s="17">
        <v>1</v>
      </c>
      <c r="L234" s="17">
        <v>0</v>
      </c>
      <c r="M234">
        <v>0</v>
      </c>
      <c r="N234" s="17">
        <v>0</v>
      </c>
      <c r="O234" s="17">
        <v>0</v>
      </c>
    </row>
    <row r="235" spans="1:15" ht="15.75" customHeight="1">
      <c r="A235" s="17" t="s">
        <v>84</v>
      </c>
      <c r="B235" s="18">
        <v>45819.536805555559</v>
      </c>
      <c r="C235" s="17" t="s">
        <v>510</v>
      </c>
      <c r="D235" s="17" t="s">
        <v>511</v>
      </c>
      <c r="E235" s="17" t="s">
        <v>512</v>
      </c>
      <c r="F235" s="17" t="s">
        <v>420</v>
      </c>
      <c r="G235" s="17" t="s">
        <v>27</v>
      </c>
      <c r="H235" s="17">
        <v>0</v>
      </c>
      <c r="I235">
        <v>0</v>
      </c>
      <c r="J235" s="17">
        <v>0</v>
      </c>
      <c r="K235" s="17">
        <v>0</v>
      </c>
      <c r="L235" s="17">
        <v>1</v>
      </c>
      <c r="M235">
        <v>0</v>
      </c>
      <c r="N235" s="17">
        <v>0</v>
      </c>
      <c r="O235" s="17">
        <v>0</v>
      </c>
    </row>
    <row r="236" spans="1:15" ht="15.75" customHeight="1">
      <c r="A236" s="17" t="s">
        <v>84</v>
      </c>
      <c r="B236" s="18">
        <v>45821.441666666666</v>
      </c>
      <c r="C236" s="17" t="s">
        <v>513</v>
      </c>
      <c r="D236" s="17" t="s">
        <v>514</v>
      </c>
      <c r="E236" s="17" t="s">
        <v>515</v>
      </c>
      <c r="F236" s="17" t="s">
        <v>420</v>
      </c>
      <c r="G236" s="17" t="s">
        <v>26</v>
      </c>
      <c r="H236" s="17">
        <v>0</v>
      </c>
      <c r="I236">
        <v>0</v>
      </c>
      <c r="J236" s="17">
        <v>0</v>
      </c>
      <c r="K236" s="17">
        <v>1</v>
      </c>
      <c r="L236" s="17">
        <v>0</v>
      </c>
      <c r="M236">
        <v>0</v>
      </c>
      <c r="N236" s="17">
        <v>0</v>
      </c>
      <c r="O236" s="17">
        <v>0</v>
      </c>
    </row>
    <row r="237" spans="1:15" ht="15.75" customHeight="1">
      <c r="A237" s="17" t="s">
        <v>84</v>
      </c>
      <c r="B237" s="18">
        <v>45821.441666666666</v>
      </c>
      <c r="C237" s="17" t="s">
        <v>513</v>
      </c>
      <c r="D237" s="17" t="s">
        <v>514</v>
      </c>
      <c r="E237" s="17" t="s">
        <v>515</v>
      </c>
      <c r="F237" s="17" t="s">
        <v>420</v>
      </c>
      <c r="G237" s="17" t="s">
        <v>27</v>
      </c>
      <c r="H237" s="17">
        <v>0</v>
      </c>
      <c r="I237">
        <v>0</v>
      </c>
      <c r="J237" s="17">
        <v>0</v>
      </c>
      <c r="K237" s="17">
        <v>0</v>
      </c>
      <c r="L237" s="17">
        <v>1</v>
      </c>
      <c r="M237">
        <v>0</v>
      </c>
      <c r="N237" s="17">
        <v>0</v>
      </c>
      <c r="O237" s="17">
        <v>0</v>
      </c>
    </row>
    <row r="238" spans="1:15" ht="15.75" customHeight="1">
      <c r="A238" s="17" t="s">
        <v>56</v>
      </c>
      <c r="B238" s="18">
        <v>45832.563194444447</v>
      </c>
      <c r="C238" s="17" t="s">
        <v>529</v>
      </c>
      <c r="D238" s="17" t="s">
        <v>530</v>
      </c>
      <c r="E238" s="17" t="s">
        <v>532</v>
      </c>
      <c r="F238" s="17" t="s">
        <v>365</v>
      </c>
      <c r="G238" s="17" t="s">
        <v>25</v>
      </c>
      <c r="H238">
        <v>0</v>
      </c>
      <c r="I238">
        <v>0</v>
      </c>
      <c r="J238" s="17">
        <v>1</v>
      </c>
      <c r="K238" s="17">
        <v>0</v>
      </c>
      <c r="L238" s="17">
        <v>0</v>
      </c>
      <c r="M238">
        <v>0</v>
      </c>
      <c r="N238" s="17">
        <v>0</v>
      </c>
      <c r="O238">
        <v>0</v>
      </c>
    </row>
    <row r="239" spans="1:15" ht="15.75" customHeight="1">
      <c r="A239" s="17" t="s">
        <v>51</v>
      </c>
      <c r="B239" s="18">
        <v>45826.597916666666</v>
      </c>
      <c r="C239" s="17" t="s">
        <v>523</v>
      </c>
      <c r="D239" s="17" t="s">
        <v>524</v>
      </c>
      <c r="E239" s="17" t="s">
        <v>525</v>
      </c>
      <c r="F239" s="17" t="s">
        <v>365</v>
      </c>
      <c r="G239" s="17" t="s">
        <v>25</v>
      </c>
      <c r="H239">
        <v>0</v>
      </c>
      <c r="I239">
        <v>0</v>
      </c>
      <c r="J239" s="17">
        <v>1</v>
      </c>
      <c r="K239" s="17">
        <v>0</v>
      </c>
      <c r="L239" s="17">
        <v>0</v>
      </c>
      <c r="M239">
        <v>0</v>
      </c>
      <c r="N239" s="17">
        <v>0</v>
      </c>
      <c r="O239">
        <v>0</v>
      </c>
    </row>
    <row r="240" spans="1:15" ht="15.75" customHeight="1">
      <c r="A240" s="17" t="s">
        <v>51</v>
      </c>
      <c r="B240" s="18">
        <v>45826.597916666666</v>
      </c>
      <c r="C240" s="17" t="s">
        <v>523</v>
      </c>
      <c r="D240" s="17" t="s">
        <v>524</v>
      </c>
      <c r="E240" s="17" t="s">
        <v>525</v>
      </c>
      <c r="F240" s="17" t="s">
        <v>365</v>
      </c>
      <c r="G240" s="17" t="s">
        <v>26</v>
      </c>
      <c r="H240">
        <v>0</v>
      </c>
      <c r="I240">
        <v>0</v>
      </c>
      <c r="J240" s="17">
        <v>0</v>
      </c>
      <c r="K240" s="17">
        <v>1</v>
      </c>
      <c r="L240" s="17">
        <v>0</v>
      </c>
      <c r="M240">
        <v>0</v>
      </c>
      <c r="N240" s="17">
        <v>0</v>
      </c>
      <c r="O240">
        <v>0</v>
      </c>
    </row>
    <row r="241" spans="1:15" ht="15.75" customHeight="1">
      <c r="A241" s="17" t="s">
        <v>84</v>
      </c>
      <c r="B241" s="18">
        <v>45824.613194444442</v>
      </c>
      <c r="C241" s="17" t="s">
        <v>516</v>
      </c>
      <c r="D241" s="17" t="s">
        <v>517</v>
      </c>
      <c r="E241" s="17" t="s">
        <v>518</v>
      </c>
      <c r="F241" s="17" t="s">
        <v>135</v>
      </c>
      <c r="G241" s="17" t="s">
        <v>25</v>
      </c>
      <c r="H241">
        <v>0</v>
      </c>
      <c r="I241">
        <v>0</v>
      </c>
      <c r="J241" s="17">
        <v>1</v>
      </c>
      <c r="K241" s="17">
        <v>0</v>
      </c>
      <c r="L241" s="17">
        <v>0</v>
      </c>
      <c r="M241">
        <v>0</v>
      </c>
      <c r="N241" s="17">
        <v>0</v>
      </c>
      <c r="O241">
        <v>0</v>
      </c>
    </row>
    <row r="242" spans="1:15" ht="15.75" customHeight="1">
      <c r="A242" s="17" t="s">
        <v>84</v>
      </c>
      <c r="B242" s="18">
        <v>45825.546527777777</v>
      </c>
      <c r="C242" s="17" t="s">
        <v>520</v>
      </c>
      <c r="D242" s="17" t="s">
        <v>521</v>
      </c>
      <c r="E242" s="17" t="s">
        <v>522</v>
      </c>
      <c r="F242" s="17" t="s">
        <v>420</v>
      </c>
      <c r="G242" s="17" t="s">
        <v>27</v>
      </c>
      <c r="H242">
        <v>0</v>
      </c>
      <c r="I242">
        <v>0</v>
      </c>
      <c r="J242" s="17">
        <v>0</v>
      </c>
      <c r="K242" s="17">
        <v>0</v>
      </c>
      <c r="L242" s="17">
        <v>1</v>
      </c>
      <c r="M242">
        <v>0</v>
      </c>
      <c r="N242" s="17">
        <v>0</v>
      </c>
      <c r="O242">
        <v>0</v>
      </c>
    </row>
    <row r="243" spans="1:15" ht="15.75" customHeight="1">
      <c r="A243" s="17" t="s">
        <v>84</v>
      </c>
      <c r="B243" s="18">
        <v>45828.61041666667</v>
      </c>
      <c r="C243" s="17" t="s">
        <v>526</v>
      </c>
      <c r="D243" s="17" t="s">
        <v>527</v>
      </c>
      <c r="E243" s="17" t="s">
        <v>528</v>
      </c>
      <c r="F243" s="17" t="s">
        <v>420</v>
      </c>
      <c r="G243" s="17" t="s">
        <v>29</v>
      </c>
      <c r="H243">
        <v>0</v>
      </c>
      <c r="I243">
        <v>0</v>
      </c>
      <c r="J243" s="17">
        <v>0</v>
      </c>
      <c r="K243" s="17">
        <v>0</v>
      </c>
      <c r="L243" s="17">
        <v>0</v>
      </c>
      <c r="M243">
        <v>0</v>
      </c>
      <c r="N243" s="17">
        <v>1</v>
      </c>
      <c r="O243">
        <v>0</v>
      </c>
    </row>
    <row r="244" spans="1:15" ht="15.75" customHeight="1">
      <c r="A244" s="17" t="s">
        <v>84</v>
      </c>
      <c r="B244" s="18">
        <v>45832.549305555556</v>
      </c>
      <c r="C244" s="17" t="s">
        <v>529</v>
      </c>
      <c r="D244" s="17" t="s">
        <v>530</v>
      </c>
      <c r="E244" s="17" t="s">
        <v>531</v>
      </c>
      <c r="F244" s="17" t="s">
        <v>420</v>
      </c>
      <c r="G244" s="17" t="s">
        <v>25</v>
      </c>
      <c r="H244">
        <v>0</v>
      </c>
      <c r="I244">
        <v>0</v>
      </c>
      <c r="J244" s="17">
        <v>1</v>
      </c>
      <c r="K244" s="17">
        <v>0</v>
      </c>
      <c r="L244" s="17">
        <v>0</v>
      </c>
      <c r="M244">
        <v>0</v>
      </c>
      <c r="N244" s="17">
        <v>0</v>
      </c>
      <c r="O244">
        <v>0</v>
      </c>
    </row>
    <row r="245" spans="1:15" ht="15.75" customHeight="1">
      <c r="A245" t="s">
        <v>1267</v>
      </c>
    </row>
  </sheetData>
  <autoFilter ref="A1:O245" xr:uid="{7BA83BA4-D72D-4EA9-A39E-12122B2710D1}"/>
  <phoneticPr fontId="18"/>
  <conditionalFormatting sqref="D1:D237 D245:D1048576">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23D6E-E30E-46B2-B3A2-90B3C65C2499}">
  <dimension ref="B1:C5"/>
  <sheetViews>
    <sheetView workbookViewId="0">
      <selection activeCell="C3" sqref="C3"/>
    </sheetView>
  </sheetViews>
  <sheetFormatPr defaultRowHeight="18.75"/>
  <cols>
    <col min="3" max="3" width="9.75" bestFit="1" customWidth="1"/>
  </cols>
  <sheetData>
    <row r="1" spans="2:3">
      <c r="C1" t="s">
        <v>1268</v>
      </c>
    </row>
    <row r="2" spans="2:3">
      <c r="C2" s="8">
        <v>45717</v>
      </c>
    </row>
    <row r="3" spans="2:3">
      <c r="B3" t="s">
        <v>1269</v>
      </c>
    </row>
    <row r="4" spans="2:3">
      <c r="B4" t="s">
        <v>1270</v>
      </c>
    </row>
    <row r="5" spans="2:3">
      <c r="B5" t="s">
        <v>1271</v>
      </c>
    </row>
  </sheetData>
  <phoneticPr fontId="1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5B125-4BC9-42E9-A843-31B3E829B9DC}">
  <dimension ref="A1:E1352"/>
  <sheetViews>
    <sheetView workbookViewId="0">
      <pane ySplit="1" topLeftCell="A13" activePane="bottomLeft" state="frozen"/>
      <selection pane="bottomLeft" activeCell="G13" sqref="G13"/>
    </sheetView>
  </sheetViews>
  <sheetFormatPr defaultRowHeight="18.75"/>
  <cols>
    <col min="1" max="1" width="29.625" customWidth="1"/>
    <col min="2" max="2" width="25.75" customWidth="1"/>
    <col min="3" max="3" width="22.375" customWidth="1"/>
    <col min="4" max="4" width="38" customWidth="1"/>
    <col min="5" max="5" width="18.125" customWidth="1"/>
  </cols>
  <sheetData>
    <row r="1" spans="1:5">
      <c r="A1" s="82" t="s">
        <v>1272</v>
      </c>
      <c r="B1" s="83"/>
      <c r="C1" s="79" t="s">
        <v>1273</v>
      </c>
      <c r="D1" s="79" t="s">
        <v>1274</v>
      </c>
      <c r="E1" s="79" t="s">
        <v>1275</v>
      </c>
    </row>
    <row r="2" spans="1:5">
      <c r="A2" s="80" t="s">
        <v>1276</v>
      </c>
      <c r="B2" s="81"/>
      <c r="C2" s="78" t="s">
        <v>1277</v>
      </c>
      <c r="D2" s="78" t="s">
        <v>1278</v>
      </c>
      <c r="E2" s="37">
        <v>45446</v>
      </c>
    </row>
    <row r="3" spans="1:5">
      <c r="A3" s="80" t="s">
        <v>1279</v>
      </c>
      <c r="B3" s="81"/>
      <c r="C3" s="19" t="s">
        <v>1277</v>
      </c>
      <c r="D3" s="19" t="s">
        <v>1280</v>
      </c>
      <c r="E3" s="20">
        <v>45446</v>
      </c>
    </row>
    <row r="4" spans="1:5">
      <c r="A4" s="80" t="s">
        <v>1281</v>
      </c>
      <c r="B4" s="81"/>
      <c r="C4" s="19" t="s">
        <v>1277</v>
      </c>
      <c r="D4" s="19" t="s">
        <v>1282</v>
      </c>
      <c r="E4" s="20">
        <v>45446</v>
      </c>
    </row>
    <row r="5" spans="1:5">
      <c r="A5" s="80" t="s">
        <v>1283</v>
      </c>
      <c r="B5" s="81"/>
      <c r="C5" s="19" t="s">
        <v>1277</v>
      </c>
      <c r="D5" s="19" t="s">
        <v>1284</v>
      </c>
      <c r="E5" s="20">
        <v>45448</v>
      </c>
    </row>
    <row r="6" spans="1:5">
      <c r="A6" s="80" t="s">
        <v>1285</v>
      </c>
      <c r="B6" s="81"/>
      <c r="C6" s="19" t="s">
        <v>1277</v>
      </c>
      <c r="D6" s="19" t="s">
        <v>1286</v>
      </c>
      <c r="E6" s="20">
        <v>45448</v>
      </c>
    </row>
    <row r="7" spans="1:5">
      <c r="A7" s="80" t="s">
        <v>1287</v>
      </c>
      <c r="B7" s="81"/>
      <c r="C7" s="19" t="s">
        <v>1288</v>
      </c>
      <c r="D7" s="19" t="s">
        <v>1289</v>
      </c>
      <c r="E7" s="20">
        <v>45450</v>
      </c>
    </row>
    <row r="8" spans="1:5">
      <c r="A8" s="80" t="s">
        <v>1290</v>
      </c>
      <c r="B8" s="81"/>
      <c r="C8" s="19" t="s">
        <v>1277</v>
      </c>
      <c r="D8" s="19" t="s">
        <v>1291</v>
      </c>
      <c r="E8" s="20">
        <v>45450</v>
      </c>
    </row>
    <row r="9" spans="1:5">
      <c r="A9" s="80" t="s">
        <v>1292</v>
      </c>
      <c r="B9" s="81"/>
      <c r="C9" s="19" t="s">
        <v>1288</v>
      </c>
      <c r="D9" s="19" t="s">
        <v>1293</v>
      </c>
      <c r="E9" s="20">
        <v>45453</v>
      </c>
    </row>
    <row r="10" spans="1:5">
      <c r="A10" s="80" t="s">
        <v>1294</v>
      </c>
      <c r="B10" s="81"/>
      <c r="C10" s="19" t="s">
        <v>1295</v>
      </c>
      <c r="D10" s="19" t="s">
        <v>1296</v>
      </c>
      <c r="E10" s="20">
        <v>45457</v>
      </c>
    </row>
    <row r="11" spans="1:5">
      <c r="A11" s="80" t="s">
        <v>1297</v>
      </c>
      <c r="B11" s="81"/>
      <c r="C11" s="19" t="s">
        <v>1277</v>
      </c>
      <c r="D11" s="19" t="s">
        <v>1298</v>
      </c>
      <c r="E11" s="20">
        <v>45457</v>
      </c>
    </row>
    <row r="12" spans="1:5">
      <c r="A12" s="80" t="s">
        <v>1299</v>
      </c>
      <c r="B12" s="81"/>
      <c r="C12" s="19" t="s">
        <v>1277</v>
      </c>
      <c r="D12" s="19" t="s">
        <v>1300</v>
      </c>
      <c r="E12" s="20">
        <v>45457</v>
      </c>
    </row>
    <row r="13" spans="1:5">
      <c r="A13" s="80" t="s">
        <v>1301</v>
      </c>
      <c r="B13" s="81"/>
      <c r="C13" s="19" t="s">
        <v>1277</v>
      </c>
      <c r="D13" s="19" t="s">
        <v>1302</v>
      </c>
      <c r="E13" s="20">
        <v>45461</v>
      </c>
    </row>
    <row r="14" spans="1:5">
      <c r="A14" s="80" t="s">
        <v>1303</v>
      </c>
      <c r="B14" s="81"/>
      <c r="C14" s="19" t="s">
        <v>1277</v>
      </c>
      <c r="D14" s="19" t="s">
        <v>1304</v>
      </c>
      <c r="E14" s="20">
        <v>45461</v>
      </c>
    </row>
    <row r="15" spans="1:5">
      <c r="A15" s="80" t="s">
        <v>1305</v>
      </c>
      <c r="B15" s="81"/>
      <c r="C15" s="19" t="s">
        <v>1277</v>
      </c>
      <c r="D15" s="19" t="s">
        <v>1306</v>
      </c>
      <c r="E15" s="20">
        <v>45462</v>
      </c>
    </row>
    <row r="16" spans="1:5">
      <c r="A16" s="80" t="s">
        <v>1307</v>
      </c>
      <c r="B16" s="81"/>
      <c r="C16" s="19" t="s">
        <v>1295</v>
      </c>
      <c r="D16" s="19" t="s">
        <v>1308</v>
      </c>
      <c r="E16" s="20">
        <v>45463</v>
      </c>
    </row>
    <row r="17" spans="1:5">
      <c r="A17" s="80" t="s">
        <v>1309</v>
      </c>
      <c r="B17" s="81"/>
      <c r="C17" s="19" t="s">
        <v>1277</v>
      </c>
      <c r="D17" s="19" t="s">
        <v>1310</v>
      </c>
      <c r="E17" s="20">
        <v>45463</v>
      </c>
    </row>
    <row r="18" spans="1:5">
      <c r="A18" s="80" t="s">
        <v>1311</v>
      </c>
      <c r="B18" s="81"/>
      <c r="C18" s="19" t="s">
        <v>1312</v>
      </c>
      <c r="D18" s="19" t="s">
        <v>1313</v>
      </c>
      <c r="E18" s="20">
        <v>45464</v>
      </c>
    </row>
    <row r="19" spans="1:5">
      <c r="A19" s="80" t="s">
        <v>1314</v>
      </c>
      <c r="B19" s="81"/>
      <c r="C19" s="19" t="s">
        <v>1312</v>
      </c>
      <c r="D19" s="19" t="s">
        <v>1315</v>
      </c>
      <c r="E19" s="20">
        <v>45464</v>
      </c>
    </row>
    <row r="20" spans="1:5">
      <c r="A20" s="80" t="s">
        <v>1316</v>
      </c>
      <c r="B20" s="81"/>
      <c r="C20" s="19" t="s">
        <v>1312</v>
      </c>
      <c r="D20" s="19" t="s">
        <v>1317</v>
      </c>
      <c r="E20" s="20">
        <v>45464</v>
      </c>
    </row>
    <row r="21" spans="1:5">
      <c r="A21" s="80" t="s">
        <v>1318</v>
      </c>
      <c r="B21" s="81"/>
      <c r="C21" s="19" t="s">
        <v>1312</v>
      </c>
      <c r="D21" s="19" t="s">
        <v>1319</v>
      </c>
      <c r="E21" s="20">
        <v>45464</v>
      </c>
    </row>
    <row r="22" spans="1:5">
      <c r="A22" s="80" t="s">
        <v>1320</v>
      </c>
      <c r="B22" s="81"/>
      <c r="C22" s="19" t="s">
        <v>1312</v>
      </c>
      <c r="D22" s="19" t="s">
        <v>1319</v>
      </c>
      <c r="E22" s="20">
        <v>45464</v>
      </c>
    </row>
    <row r="23" spans="1:5">
      <c r="A23" s="80" t="s">
        <v>1321</v>
      </c>
      <c r="B23" s="81"/>
      <c r="C23" s="19" t="s">
        <v>1322</v>
      </c>
      <c r="D23" s="19" t="s">
        <v>1323</v>
      </c>
      <c r="E23" s="20">
        <v>45464</v>
      </c>
    </row>
    <row r="24" spans="1:5">
      <c r="A24" s="80" t="s">
        <v>1324</v>
      </c>
      <c r="B24" s="81"/>
      <c r="C24" s="19" t="s">
        <v>1312</v>
      </c>
      <c r="D24" s="19" t="s">
        <v>1319</v>
      </c>
      <c r="E24" s="20">
        <v>45464</v>
      </c>
    </row>
    <row r="25" spans="1:5">
      <c r="A25" s="80" t="s">
        <v>1325</v>
      </c>
      <c r="B25" s="81"/>
      <c r="C25" s="19" t="s">
        <v>1322</v>
      </c>
      <c r="D25" s="19" t="s">
        <v>1326</v>
      </c>
      <c r="E25" s="20">
        <v>45464</v>
      </c>
    </row>
    <row r="26" spans="1:5">
      <c r="A26" s="80" t="s">
        <v>1327</v>
      </c>
      <c r="B26" s="81"/>
      <c r="C26" s="19" t="s">
        <v>1322</v>
      </c>
      <c r="D26" s="19" t="s">
        <v>1328</v>
      </c>
      <c r="E26" s="20">
        <v>45464</v>
      </c>
    </row>
    <row r="27" spans="1:5">
      <c r="A27" s="80" t="s">
        <v>1329</v>
      </c>
      <c r="B27" s="81"/>
      <c r="C27" s="19" t="s">
        <v>1277</v>
      </c>
      <c r="D27" s="19" t="s">
        <v>1330</v>
      </c>
      <c r="E27" s="20">
        <v>45466</v>
      </c>
    </row>
    <row r="28" spans="1:5">
      <c r="A28" s="80" t="s">
        <v>1331</v>
      </c>
      <c r="B28" s="81"/>
      <c r="C28" s="19" t="s">
        <v>1277</v>
      </c>
      <c r="D28" s="19" t="s">
        <v>1332</v>
      </c>
      <c r="E28" s="20">
        <v>45466</v>
      </c>
    </row>
    <row r="29" spans="1:5">
      <c r="A29" s="80" t="s">
        <v>1333</v>
      </c>
      <c r="B29" s="81"/>
      <c r="C29" s="19" t="s">
        <v>1277</v>
      </c>
      <c r="D29" s="19" t="s">
        <v>1334</v>
      </c>
      <c r="E29" s="20">
        <v>45466</v>
      </c>
    </row>
    <row r="30" spans="1:5">
      <c r="A30" s="80" t="s">
        <v>1335</v>
      </c>
      <c r="B30" s="81"/>
      <c r="C30" s="19" t="s">
        <v>1288</v>
      </c>
      <c r="D30" s="19" t="s">
        <v>1336</v>
      </c>
      <c r="E30" s="20">
        <v>45467</v>
      </c>
    </row>
    <row r="31" spans="1:5">
      <c r="A31" s="80" t="s">
        <v>1337</v>
      </c>
      <c r="B31" s="81"/>
      <c r="C31" s="19" t="s">
        <v>1288</v>
      </c>
      <c r="D31" s="19" t="s">
        <v>1338</v>
      </c>
      <c r="E31" s="20">
        <v>45467</v>
      </c>
    </row>
    <row r="32" spans="1:5">
      <c r="A32" s="80" t="s">
        <v>1339</v>
      </c>
      <c r="B32" s="81"/>
      <c r="C32" s="19" t="s">
        <v>1340</v>
      </c>
      <c r="D32" s="19" t="s">
        <v>1341</v>
      </c>
      <c r="E32" s="20">
        <v>45467</v>
      </c>
    </row>
    <row r="33" spans="1:5">
      <c r="A33" s="80" t="s">
        <v>1342</v>
      </c>
      <c r="B33" s="81"/>
      <c r="C33" s="19" t="s">
        <v>1288</v>
      </c>
      <c r="D33" s="19" t="s">
        <v>1343</v>
      </c>
      <c r="E33" s="20">
        <v>45467</v>
      </c>
    </row>
    <row r="34" spans="1:5">
      <c r="A34" s="80" t="s">
        <v>1344</v>
      </c>
      <c r="B34" s="81"/>
      <c r="C34" s="19" t="s">
        <v>1288</v>
      </c>
      <c r="D34" s="19" t="s">
        <v>1338</v>
      </c>
      <c r="E34" s="20">
        <v>45467</v>
      </c>
    </row>
    <row r="35" spans="1:5">
      <c r="A35" s="80" t="s">
        <v>1345</v>
      </c>
      <c r="B35" s="81"/>
      <c r="C35" s="19" t="s">
        <v>1288</v>
      </c>
      <c r="D35" s="19" t="s">
        <v>1346</v>
      </c>
      <c r="E35" s="20">
        <v>45467</v>
      </c>
    </row>
    <row r="36" spans="1:5">
      <c r="A36" s="80" t="s">
        <v>1347</v>
      </c>
      <c r="B36" s="81"/>
      <c r="C36" s="19" t="s">
        <v>1277</v>
      </c>
      <c r="D36" s="19" t="s">
        <v>1348</v>
      </c>
      <c r="E36" s="20">
        <v>45468</v>
      </c>
    </row>
    <row r="37" spans="1:5">
      <c r="A37" s="80" t="s">
        <v>1349</v>
      </c>
      <c r="B37" s="81"/>
      <c r="C37" s="19" t="s">
        <v>1277</v>
      </c>
      <c r="D37" s="19" t="s">
        <v>1350</v>
      </c>
      <c r="E37" s="20">
        <v>45468</v>
      </c>
    </row>
    <row r="38" spans="1:5">
      <c r="A38" s="80" t="s">
        <v>1339</v>
      </c>
      <c r="B38" s="81"/>
      <c r="C38" s="19" t="s">
        <v>1288</v>
      </c>
      <c r="D38" s="19" t="s">
        <v>1351</v>
      </c>
      <c r="E38" s="20">
        <v>45468</v>
      </c>
    </row>
    <row r="39" spans="1:5">
      <c r="A39" s="80" t="s">
        <v>1352</v>
      </c>
      <c r="B39" s="81"/>
      <c r="C39" s="19" t="s">
        <v>1288</v>
      </c>
      <c r="D39" s="19" t="s">
        <v>1353</v>
      </c>
      <c r="E39" s="20">
        <v>45470</v>
      </c>
    </row>
    <row r="40" spans="1:5">
      <c r="A40" s="80" t="s">
        <v>1354</v>
      </c>
      <c r="B40" s="81"/>
      <c r="C40" s="19" t="s">
        <v>1277</v>
      </c>
      <c r="D40" s="19" t="s">
        <v>1330</v>
      </c>
      <c r="E40" s="20">
        <v>45470</v>
      </c>
    </row>
    <row r="41" spans="1:5">
      <c r="A41" s="80" t="s">
        <v>1355</v>
      </c>
      <c r="B41" s="81"/>
      <c r="C41" s="19" t="s">
        <v>1295</v>
      </c>
      <c r="D41" s="19" t="s">
        <v>1356</v>
      </c>
      <c r="E41" s="20">
        <v>45470</v>
      </c>
    </row>
    <row r="42" spans="1:5">
      <c r="A42" s="80" t="s">
        <v>1357</v>
      </c>
      <c r="B42" s="81"/>
      <c r="C42" s="19" t="s">
        <v>1277</v>
      </c>
      <c r="D42" s="19" t="s">
        <v>1358</v>
      </c>
      <c r="E42" s="20">
        <v>45471</v>
      </c>
    </row>
    <row r="43" spans="1:5">
      <c r="A43" s="80" t="s">
        <v>1359</v>
      </c>
      <c r="B43" s="81"/>
      <c r="C43" s="19" t="s">
        <v>1288</v>
      </c>
      <c r="D43" s="19" t="s">
        <v>1360</v>
      </c>
      <c r="E43" s="20">
        <v>45474</v>
      </c>
    </row>
    <row r="44" spans="1:5">
      <c r="A44" s="80" t="s">
        <v>1361</v>
      </c>
      <c r="B44" s="81"/>
      <c r="C44" s="19" t="s">
        <v>1277</v>
      </c>
      <c r="D44" s="19" t="s">
        <v>1362</v>
      </c>
      <c r="E44" s="20">
        <v>45475</v>
      </c>
    </row>
    <row r="45" spans="1:5">
      <c r="A45" s="80" t="s">
        <v>1363</v>
      </c>
      <c r="B45" s="81"/>
      <c r="C45" s="19" t="s">
        <v>1295</v>
      </c>
      <c r="D45" s="19" t="s">
        <v>1364</v>
      </c>
      <c r="E45" s="20">
        <v>45475</v>
      </c>
    </row>
    <row r="46" spans="1:5">
      <c r="A46" s="80" t="s">
        <v>1365</v>
      </c>
      <c r="B46" s="81"/>
      <c r="C46" s="19" t="s">
        <v>1288</v>
      </c>
      <c r="D46" s="19" t="s">
        <v>1366</v>
      </c>
      <c r="E46" s="20">
        <v>45476</v>
      </c>
    </row>
    <row r="47" spans="1:5">
      <c r="A47" s="80" t="s">
        <v>1367</v>
      </c>
      <c r="B47" s="81"/>
      <c r="C47" s="19" t="s">
        <v>1277</v>
      </c>
      <c r="D47" s="19" t="s">
        <v>1351</v>
      </c>
      <c r="E47" s="20">
        <v>45476</v>
      </c>
    </row>
    <row r="48" spans="1:5">
      <c r="A48" s="80" t="s">
        <v>1368</v>
      </c>
      <c r="B48" s="81"/>
      <c r="C48" s="19" t="s">
        <v>1277</v>
      </c>
      <c r="D48" s="19" t="s">
        <v>89</v>
      </c>
      <c r="E48" s="20">
        <v>45476</v>
      </c>
    </row>
    <row r="49" spans="1:5">
      <c r="A49" s="80" t="s">
        <v>1369</v>
      </c>
      <c r="B49" s="81"/>
      <c r="C49" s="19" t="s">
        <v>1288</v>
      </c>
      <c r="D49" s="19" t="s">
        <v>1351</v>
      </c>
      <c r="E49" s="20">
        <v>45476</v>
      </c>
    </row>
    <row r="50" spans="1:5">
      <c r="A50" s="80" t="s">
        <v>1370</v>
      </c>
      <c r="B50" s="81"/>
      <c r="C50" s="19" t="s">
        <v>1288</v>
      </c>
      <c r="D50" s="19" t="s">
        <v>1371</v>
      </c>
      <c r="E50" s="20">
        <v>45476</v>
      </c>
    </row>
    <row r="51" spans="1:5">
      <c r="A51" s="80" t="s">
        <v>1372</v>
      </c>
      <c r="B51" s="81"/>
      <c r="C51" s="19" t="s">
        <v>1288</v>
      </c>
      <c r="D51" s="19" t="s">
        <v>1373</v>
      </c>
      <c r="E51" s="20">
        <v>45476</v>
      </c>
    </row>
    <row r="52" spans="1:5">
      <c r="A52" s="80" t="s">
        <v>1374</v>
      </c>
      <c r="B52" s="81"/>
      <c r="C52" s="19" t="s">
        <v>1288</v>
      </c>
      <c r="D52" s="19" t="s">
        <v>1373</v>
      </c>
      <c r="E52" s="20">
        <v>45476</v>
      </c>
    </row>
    <row r="53" spans="1:5">
      <c r="A53" s="80" t="s">
        <v>1375</v>
      </c>
      <c r="B53" s="81"/>
      <c r="C53" s="19" t="s">
        <v>1288</v>
      </c>
      <c r="D53" s="19" t="s">
        <v>1376</v>
      </c>
      <c r="E53" s="20">
        <v>45476</v>
      </c>
    </row>
    <row r="54" spans="1:5">
      <c r="A54" s="80" t="s">
        <v>1377</v>
      </c>
      <c r="B54" s="81"/>
      <c r="C54" s="19" t="s">
        <v>1288</v>
      </c>
      <c r="D54" s="19" t="s">
        <v>1378</v>
      </c>
      <c r="E54" s="20">
        <v>45476</v>
      </c>
    </row>
    <row r="55" spans="1:5">
      <c r="A55" s="80" t="s">
        <v>1379</v>
      </c>
      <c r="B55" s="81"/>
      <c r="C55" s="19" t="s">
        <v>1277</v>
      </c>
      <c r="D55" s="19" t="s">
        <v>1380</v>
      </c>
      <c r="E55" s="20">
        <v>45477</v>
      </c>
    </row>
    <row r="56" spans="1:5">
      <c r="A56" s="80" t="s">
        <v>1381</v>
      </c>
      <c r="B56" s="81"/>
      <c r="C56" s="19" t="s">
        <v>1277</v>
      </c>
      <c r="D56" s="19" t="s">
        <v>1382</v>
      </c>
      <c r="E56" s="20">
        <v>45477</v>
      </c>
    </row>
    <row r="57" spans="1:5">
      <c r="A57" s="80" t="s">
        <v>1383</v>
      </c>
      <c r="B57" s="81"/>
      <c r="C57" s="19" t="s">
        <v>1288</v>
      </c>
      <c r="D57" s="19" t="s">
        <v>1351</v>
      </c>
      <c r="E57" s="20">
        <v>45477</v>
      </c>
    </row>
    <row r="58" spans="1:5">
      <c r="A58" s="80" t="s">
        <v>1384</v>
      </c>
      <c r="B58" s="81"/>
      <c r="C58" s="19" t="s">
        <v>1277</v>
      </c>
      <c r="D58" s="19" t="s">
        <v>1385</v>
      </c>
      <c r="E58" s="20">
        <v>45477</v>
      </c>
    </row>
    <row r="59" spans="1:5">
      <c r="A59" s="80" t="s">
        <v>1386</v>
      </c>
      <c r="B59" s="81"/>
      <c r="C59" s="19" t="s">
        <v>1312</v>
      </c>
      <c r="D59" s="19" t="s">
        <v>1387</v>
      </c>
      <c r="E59" s="20">
        <v>45477</v>
      </c>
    </row>
    <row r="60" spans="1:5">
      <c r="A60" s="80" t="s">
        <v>1388</v>
      </c>
      <c r="B60" s="81"/>
      <c r="C60" s="19" t="s">
        <v>1277</v>
      </c>
      <c r="D60" s="19" t="s">
        <v>1389</v>
      </c>
      <c r="E60" s="20">
        <v>45478</v>
      </c>
    </row>
    <row r="61" spans="1:5">
      <c r="A61" s="80" t="s">
        <v>1390</v>
      </c>
      <c r="B61" s="81"/>
      <c r="C61" s="19" t="s">
        <v>1277</v>
      </c>
      <c r="D61" s="19" t="s">
        <v>767</v>
      </c>
      <c r="E61" s="20">
        <v>45478</v>
      </c>
    </row>
    <row r="62" spans="1:5">
      <c r="A62" s="80" t="s">
        <v>1391</v>
      </c>
      <c r="B62" s="81"/>
      <c r="C62" s="19" t="s">
        <v>1295</v>
      </c>
      <c r="D62" s="19" t="s">
        <v>1392</v>
      </c>
      <c r="E62" s="20">
        <v>45478</v>
      </c>
    </row>
    <row r="63" spans="1:5">
      <c r="A63" s="80" t="s">
        <v>1393</v>
      </c>
      <c r="B63" s="81"/>
      <c r="C63" s="19" t="s">
        <v>1288</v>
      </c>
      <c r="D63" s="19" t="s">
        <v>1394</v>
      </c>
      <c r="E63" s="20">
        <v>45478</v>
      </c>
    </row>
    <row r="64" spans="1:5">
      <c r="A64" s="80" t="s">
        <v>1395</v>
      </c>
      <c r="B64" s="81"/>
      <c r="C64" s="19" t="s">
        <v>1277</v>
      </c>
      <c r="D64" s="19" t="s">
        <v>1396</v>
      </c>
      <c r="E64" s="20">
        <v>45478</v>
      </c>
    </row>
    <row r="65" spans="1:5">
      <c r="A65" s="80" t="s">
        <v>1397</v>
      </c>
      <c r="B65" s="81"/>
      <c r="C65" s="19" t="s">
        <v>1277</v>
      </c>
      <c r="D65" s="19" t="s">
        <v>1398</v>
      </c>
      <c r="E65" s="20">
        <v>45478</v>
      </c>
    </row>
    <row r="66" spans="1:5">
      <c r="A66" s="80" t="s">
        <v>1399</v>
      </c>
      <c r="B66" s="81"/>
      <c r="C66" s="19" t="s">
        <v>1277</v>
      </c>
      <c r="D66" s="19" t="s">
        <v>1282</v>
      </c>
      <c r="E66" s="20">
        <v>45480</v>
      </c>
    </row>
    <row r="67" spans="1:5">
      <c r="A67" s="80" t="s">
        <v>1400</v>
      </c>
      <c r="B67" s="81"/>
      <c r="C67" s="19" t="s">
        <v>1277</v>
      </c>
      <c r="D67" s="19" t="s">
        <v>1401</v>
      </c>
      <c r="E67" s="20">
        <v>45480</v>
      </c>
    </row>
    <row r="68" spans="1:5">
      <c r="A68" s="80" t="s">
        <v>1402</v>
      </c>
      <c r="B68" s="81"/>
      <c r="C68" s="19" t="s">
        <v>1277</v>
      </c>
      <c r="D68" s="19" t="s">
        <v>1278</v>
      </c>
      <c r="E68" s="20">
        <v>45481</v>
      </c>
    </row>
    <row r="69" spans="1:5">
      <c r="A69" s="80" t="s">
        <v>1403</v>
      </c>
      <c r="B69" s="81"/>
      <c r="C69" s="19" t="s">
        <v>1277</v>
      </c>
      <c r="D69" s="19" t="s">
        <v>1404</v>
      </c>
      <c r="E69" s="20">
        <v>45483</v>
      </c>
    </row>
    <row r="70" spans="1:5">
      <c r="A70" s="80" t="s">
        <v>1405</v>
      </c>
      <c r="B70" s="81"/>
      <c r="C70" s="19" t="s">
        <v>1277</v>
      </c>
      <c r="D70" s="19" t="s">
        <v>1406</v>
      </c>
      <c r="E70" s="20">
        <v>45484</v>
      </c>
    </row>
    <row r="71" spans="1:5">
      <c r="A71" s="80" t="s">
        <v>1407</v>
      </c>
      <c r="B71" s="81"/>
      <c r="C71" s="19" t="s">
        <v>1288</v>
      </c>
      <c r="D71" s="19" t="s">
        <v>1408</v>
      </c>
      <c r="E71" s="20">
        <v>45484</v>
      </c>
    </row>
    <row r="72" spans="1:5">
      <c r="A72" s="80" t="s">
        <v>1409</v>
      </c>
      <c r="B72" s="81"/>
      <c r="C72" s="19" t="s">
        <v>1288</v>
      </c>
      <c r="D72" s="19" t="s">
        <v>1410</v>
      </c>
      <c r="E72" s="20">
        <v>45484</v>
      </c>
    </row>
    <row r="73" spans="1:5">
      <c r="A73" s="80" t="s">
        <v>1411</v>
      </c>
      <c r="B73" s="81"/>
      <c r="C73" s="19" t="s">
        <v>1412</v>
      </c>
      <c r="D73" s="19" t="s">
        <v>1413</v>
      </c>
      <c r="E73" s="20">
        <v>45485</v>
      </c>
    </row>
    <row r="74" spans="1:5">
      <c r="A74" s="80" t="s">
        <v>1414</v>
      </c>
      <c r="B74" s="81"/>
      <c r="C74" s="19" t="s">
        <v>1415</v>
      </c>
      <c r="D74" s="19" t="s">
        <v>1351</v>
      </c>
      <c r="E74" s="20">
        <v>45485</v>
      </c>
    </row>
    <row r="75" spans="1:5">
      <c r="A75" s="80" t="s">
        <v>1416</v>
      </c>
      <c r="B75" s="81"/>
      <c r="C75" s="19" t="s">
        <v>1288</v>
      </c>
      <c r="D75" s="19" t="s">
        <v>1417</v>
      </c>
      <c r="E75" s="20">
        <v>45485</v>
      </c>
    </row>
    <row r="76" spans="1:5">
      <c r="A76" s="80" t="s">
        <v>1418</v>
      </c>
      <c r="B76" s="81"/>
      <c r="C76" s="19" t="s">
        <v>1277</v>
      </c>
      <c r="D76" s="19" t="s">
        <v>1419</v>
      </c>
      <c r="E76" s="20">
        <v>45485</v>
      </c>
    </row>
    <row r="77" spans="1:5">
      <c r="A77" s="80" t="s">
        <v>1420</v>
      </c>
      <c r="B77" s="81"/>
      <c r="C77" s="19" t="s">
        <v>1277</v>
      </c>
      <c r="D77" s="19" t="s">
        <v>767</v>
      </c>
      <c r="E77" s="20">
        <v>45488</v>
      </c>
    </row>
    <row r="78" spans="1:5">
      <c r="A78" s="80" t="s">
        <v>1414</v>
      </c>
      <c r="B78" s="81"/>
      <c r="C78" s="19" t="s">
        <v>1277</v>
      </c>
      <c r="D78" s="19" t="s">
        <v>1351</v>
      </c>
      <c r="E78" s="20">
        <v>45489</v>
      </c>
    </row>
    <row r="79" spans="1:5">
      <c r="A79" s="80" t="s">
        <v>1421</v>
      </c>
      <c r="B79" s="81"/>
      <c r="C79" s="19" t="s">
        <v>1277</v>
      </c>
      <c r="D79" s="19" t="s">
        <v>1302</v>
      </c>
      <c r="E79" s="20">
        <v>45491</v>
      </c>
    </row>
    <row r="80" spans="1:5">
      <c r="A80" s="80" t="s">
        <v>1422</v>
      </c>
      <c r="B80" s="81"/>
      <c r="C80" s="19" t="s">
        <v>1277</v>
      </c>
      <c r="D80" s="19" t="s">
        <v>1423</v>
      </c>
      <c r="E80" s="20">
        <v>45491</v>
      </c>
    </row>
    <row r="81" spans="1:5">
      <c r="A81" s="80" t="s">
        <v>1424</v>
      </c>
      <c r="B81" s="81"/>
      <c r="C81" s="19" t="s">
        <v>1288</v>
      </c>
      <c r="D81" s="19" t="s">
        <v>1425</v>
      </c>
      <c r="E81" s="20">
        <v>45492</v>
      </c>
    </row>
    <row r="82" spans="1:5">
      <c r="A82" s="80" t="s">
        <v>1426</v>
      </c>
      <c r="B82" s="81"/>
      <c r="C82" s="19" t="s">
        <v>1277</v>
      </c>
      <c r="D82" s="19" t="s">
        <v>1427</v>
      </c>
      <c r="E82" s="20">
        <v>45492</v>
      </c>
    </row>
    <row r="83" spans="1:5">
      <c r="A83" s="80" t="s">
        <v>1428</v>
      </c>
      <c r="B83" s="81"/>
      <c r="C83" s="19" t="s">
        <v>1277</v>
      </c>
      <c r="D83" s="19" t="s">
        <v>1429</v>
      </c>
      <c r="E83" s="20">
        <v>45492</v>
      </c>
    </row>
    <row r="84" spans="1:5">
      <c r="A84" s="80" t="s">
        <v>1430</v>
      </c>
      <c r="B84" s="81"/>
      <c r="C84" s="19" t="s">
        <v>1277</v>
      </c>
      <c r="D84" s="19" t="s">
        <v>1431</v>
      </c>
      <c r="E84" s="20">
        <v>45492</v>
      </c>
    </row>
    <row r="85" spans="1:5">
      <c r="A85" s="80" t="s">
        <v>1432</v>
      </c>
      <c r="B85" s="81"/>
      <c r="C85" s="19" t="s">
        <v>1277</v>
      </c>
      <c r="D85" s="19" t="s">
        <v>767</v>
      </c>
      <c r="E85" s="20">
        <v>45495</v>
      </c>
    </row>
    <row r="86" spans="1:5">
      <c r="A86" s="80" t="s">
        <v>1433</v>
      </c>
      <c r="B86" s="81"/>
      <c r="C86" s="19" t="s">
        <v>1277</v>
      </c>
      <c r="D86" s="19" t="s">
        <v>767</v>
      </c>
      <c r="E86" s="20">
        <v>45495</v>
      </c>
    </row>
    <row r="87" spans="1:5">
      <c r="A87" s="80" t="s">
        <v>1434</v>
      </c>
      <c r="B87" s="81"/>
      <c r="C87" s="19" t="s">
        <v>1277</v>
      </c>
      <c r="D87" s="19" t="s">
        <v>1435</v>
      </c>
      <c r="E87" s="20">
        <v>45495</v>
      </c>
    </row>
    <row r="88" spans="1:5">
      <c r="A88" s="80" t="s">
        <v>1436</v>
      </c>
      <c r="B88" s="81"/>
      <c r="C88" s="19" t="s">
        <v>1277</v>
      </c>
      <c r="D88" s="19" t="s">
        <v>1437</v>
      </c>
      <c r="E88" s="20">
        <v>45495</v>
      </c>
    </row>
    <row r="89" spans="1:5">
      <c r="A89" s="80" t="s">
        <v>1438</v>
      </c>
      <c r="B89" s="81"/>
      <c r="C89" s="19" t="s">
        <v>1277</v>
      </c>
      <c r="D89" s="19" t="s">
        <v>1439</v>
      </c>
      <c r="E89" s="20">
        <v>45495</v>
      </c>
    </row>
    <row r="90" spans="1:5">
      <c r="A90" s="80" t="s">
        <v>1440</v>
      </c>
      <c r="B90" s="81"/>
      <c r="C90" s="19" t="s">
        <v>1277</v>
      </c>
      <c r="D90" s="19" t="s">
        <v>1441</v>
      </c>
      <c r="E90" s="20">
        <v>45496</v>
      </c>
    </row>
    <row r="91" spans="1:5">
      <c r="A91" s="80" t="s">
        <v>1442</v>
      </c>
      <c r="B91" s="81"/>
      <c r="C91" s="19" t="s">
        <v>1277</v>
      </c>
      <c r="D91" s="19" t="s">
        <v>1443</v>
      </c>
      <c r="E91" s="20">
        <v>45496</v>
      </c>
    </row>
    <row r="92" spans="1:5">
      <c r="A92" s="80" t="s">
        <v>1444</v>
      </c>
      <c r="B92" s="81"/>
      <c r="C92" s="19" t="s">
        <v>1277</v>
      </c>
      <c r="D92" s="19" t="s">
        <v>1445</v>
      </c>
      <c r="E92" s="20">
        <v>45497</v>
      </c>
    </row>
    <row r="93" spans="1:5">
      <c r="A93" s="80" t="s">
        <v>1446</v>
      </c>
      <c r="B93" s="81"/>
      <c r="C93" s="19" t="s">
        <v>1295</v>
      </c>
      <c r="D93" s="19" t="s">
        <v>1447</v>
      </c>
      <c r="E93" s="20">
        <v>45497</v>
      </c>
    </row>
    <row r="94" spans="1:5">
      <c r="A94" s="80" t="s">
        <v>1448</v>
      </c>
      <c r="B94" s="81"/>
      <c r="C94" s="19" t="s">
        <v>1277</v>
      </c>
      <c r="D94" s="19" t="s">
        <v>1449</v>
      </c>
      <c r="E94" s="20">
        <v>45498</v>
      </c>
    </row>
    <row r="95" spans="1:5">
      <c r="A95" s="80" t="s">
        <v>1450</v>
      </c>
      <c r="B95" s="81"/>
      <c r="C95" s="19" t="s">
        <v>1277</v>
      </c>
      <c r="D95" s="19" t="s">
        <v>1451</v>
      </c>
      <c r="E95" s="20">
        <v>45499</v>
      </c>
    </row>
    <row r="96" spans="1:5">
      <c r="A96" s="80" t="s">
        <v>1452</v>
      </c>
      <c r="B96" s="81"/>
      <c r="C96" s="19" t="s">
        <v>1288</v>
      </c>
      <c r="D96" s="19" t="s">
        <v>1453</v>
      </c>
      <c r="E96" s="20">
        <v>45499</v>
      </c>
    </row>
    <row r="97" spans="1:5">
      <c r="A97" s="80" t="s">
        <v>1454</v>
      </c>
      <c r="B97" s="81"/>
      <c r="C97" s="19" t="s">
        <v>1288</v>
      </c>
      <c r="D97" s="19" t="s">
        <v>89</v>
      </c>
      <c r="E97" s="20">
        <v>45499</v>
      </c>
    </row>
    <row r="98" spans="1:5">
      <c r="A98" s="80" t="s">
        <v>1455</v>
      </c>
      <c r="B98" s="81"/>
      <c r="C98" s="19" t="s">
        <v>1277</v>
      </c>
      <c r="D98" s="19" t="s">
        <v>1456</v>
      </c>
      <c r="E98" s="20">
        <v>45500</v>
      </c>
    </row>
    <row r="99" spans="1:5">
      <c r="A99" s="80" t="s">
        <v>1457</v>
      </c>
      <c r="B99" s="81"/>
      <c r="C99" s="19" t="s">
        <v>1277</v>
      </c>
      <c r="D99" s="19" t="s">
        <v>1350</v>
      </c>
      <c r="E99" s="20">
        <v>45502</v>
      </c>
    </row>
    <row r="100" spans="1:5">
      <c r="A100" s="80" t="s">
        <v>1458</v>
      </c>
      <c r="B100" s="81"/>
      <c r="C100" s="19" t="s">
        <v>1277</v>
      </c>
      <c r="D100" s="19" t="s">
        <v>1459</v>
      </c>
      <c r="E100" s="20">
        <v>45502</v>
      </c>
    </row>
    <row r="101" spans="1:5">
      <c r="A101" s="80" t="s">
        <v>1460</v>
      </c>
      <c r="B101" s="81"/>
      <c r="C101" s="19" t="s">
        <v>1277</v>
      </c>
      <c r="D101" s="19" t="s">
        <v>1461</v>
      </c>
      <c r="E101" s="20">
        <v>45502</v>
      </c>
    </row>
    <row r="102" spans="1:5">
      <c r="A102" s="80" t="s">
        <v>1462</v>
      </c>
      <c r="B102" s="81"/>
      <c r="C102" s="19" t="s">
        <v>1312</v>
      </c>
      <c r="D102" s="19" t="s">
        <v>1463</v>
      </c>
      <c r="E102" s="20">
        <v>45502</v>
      </c>
    </row>
    <row r="103" spans="1:5">
      <c r="A103" s="80" t="s">
        <v>1464</v>
      </c>
      <c r="B103" s="81"/>
      <c r="C103" s="19" t="s">
        <v>1465</v>
      </c>
      <c r="D103" s="19" t="s">
        <v>1463</v>
      </c>
      <c r="E103" s="20">
        <v>45502</v>
      </c>
    </row>
    <row r="104" spans="1:5">
      <c r="A104" s="80" t="s">
        <v>1466</v>
      </c>
      <c r="B104" s="81"/>
      <c r="C104" s="19" t="s">
        <v>1277</v>
      </c>
      <c r="D104" s="19" t="s">
        <v>1467</v>
      </c>
      <c r="E104" s="20">
        <v>45503</v>
      </c>
    </row>
    <row r="105" spans="1:5">
      <c r="A105" s="80" t="s">
        <v>1468</v>
      </c>
      <c r="B105" s="81"/>
      <c r="C105" s="19" t="s">
        <v>1277</v>
      </c>
      <c r="D105" s="19" t="s">
        <v>1469</v>
      </c>
      <c r="E105" s="20">
        <v>45504</v>
      </c>
    </row>
    <row r="106" spans="1:5">
      <c r="A106" s="80" t="s">
        <v>1470</v>
      </c>
      <c r="B106" s="81"/>
      <c r="C106" s="19" t="s">
        <v>1465</v>
      </c>
      <c r="D106" s="19" t="s">
        <v>1471</v>
      </c>
      <c r="E106" s="20">
        <v>45504</v>
      </c>
    </row>
    <row r="107" spans="1:5">
      <c r="A107" s="80" t="s">
        <v>1462</v>
      </c>
      <c r="B107" s="81"/>
      <c r="C107" s="19" t="s">
        <v>1312</v>
      </c>
      <c r="D107" s="19" t="s">
        <v>1472</v>
      </c>
      <c r="E107" s="20">
        <v>45504</v>
      </c>
    </row>
    <row r="108" spans="1:5">
      <c r="A108" s="80" t="s">
        <v>1462</v>
      </c>
      <c r="B108" s="81"/>
      <c r="C108" s="19" t="s">
        <v>1312</v>
      </c>
      <c r="D108" s="19" t="s">
        <v>1191</v>
      </c>
      <c r="E108" s="20">
        <v>45504</v>
      </c>
    </row>
    <row r="109" spans="1:5">
      <c r="A109" s="80" t="s">
        <v>1462</v>
      </c>
      <c r="B109" s="81"/>
      <c r="C109" s="19" t="s">
        <v>1312</v>
      </c>
      <c r="D109" s="19" t="s">
        <v>1473</v>
      </c>
      <c r="E109" s="20">
        <v>45504</v>
      </c>
    </row>
    <row r="110" spans="1:5">
      <c r="A110" s="80" t="s">
        <v>1474</v>
      </c>
      <c r="B110" s="81"/>
      <c r="C110" s="19" t="s">
        <v>1312</v>
      </c>
      <c r="D110" s="19" t="s">
        <v>1191</v>
      </c>
      <c r="E110" s="20">
        <v>45504</v>
      </c>
    </row>
    <row r="111" spans="1:5">
      <c r="A111" s="80" t="s">
        <v>1475</v>
      </c>
      <c r="B111" s="81"/>
      <c r="C111" s="19" t="s">
        <v>1277</v>
      </c>
      <c r="D111" s="19" t="s">
        <v>1476</v>
      </c>
      <c r="E111" s="20">
        <v>45504</v>
      </c>
    </row>
    <row r="112" spans="1:5">
      <c r="A112" s="80" t="s">
        <v>1477</v>
      </c>
      <c r="B112" s="81"/>
      <c r="C112" s="19" t="s">
        <v>1277</v>
      </c>
      <c r="D112" s="19" t="s">
        <v>1443</v>
      </c>
      <c r="E112" s="20">
        <v>45504</v>
      </c>
    </row>
    <row r="113" spans="1:5">
      <c r="A113" s="80" t="s">
        <v>1478</v>
      </c>
      <c r="B113" s="81"/>
      <c r="C113" s="19" t="s">
        <v>1277</v>
      </c>
      <c r="D113" s="19" t="s">
        <v>1456</v>
      </c>
      <c r="E113" s="20">
        <v>45505</v>
      </c>
    </row>
    <row r="114" spans="1:5">
      <c r="A114" s="80" t="s">
        <v>1479</v>
      </c>
      <c r="B114" s="81"/>
      <c r="C114" s="19" t="s">
        <v>1277</v>
      </c>
      <c r="D114" s="19" t="s">
        <v>1480</v>
      </c>
      <c r="E114" s="20">
        <v>45505</v>
      </c>
    </row>
    <row r="115" spans="1:5">
      <c r="A115" s="80" t="s">
        <v>1481</v>
      </c>
      <c r="B115" s="81"/>
      <c r="C115" s="19" t="s">
        <v>1277</v>
      </c>
      <c r="D115" s="19" t="s">
        <v>1482</v>
      </c>
      <c r="E115" s="20">
        <v>45506</v>
      </c>
    </row>
    <row r="116" spans="1:5">
      <c r="A116" s="80" t="s">
        <v>1483</v>
      </c>
      <c r="B116" s="81"/>
      <c r="C116" s="19" t="s">
        <v>1277</v>
      </c>
      <c r="D116" s="19" t="s">
        <v>1484</v>
      </c>
      <c r="E116" s="20">
        <v>45510</v>
      </c>
    </row>
    <row r="117" spans="1:5">
      <c r="A117" s="80" t="s">
        <v>1485</v>
      </c>
      <c r="B117" s="81"/>
      <c r="C117" s="19" t="s">
        <v>1277</v>
      </c>
      <c r="D117" s="19" t="s">
        <v>1486</v>
      </c>
      <c r="E117" s="20">
        <v>45510</v>
      </c>
    </row>
    <row r="118" spans="1:5">
      <c r="A118" s="80" t="s">
        <v>1487</v>
      </c>
      <c r="B118" s="81"/>
      <c r="C118" s="19" t="s">
        <v>1277</v>
      </c>
      <c r="D118" s="19" t="s">
        <v>1488</v>
      </c>
      <c r="E118" s="20">
        <v>45511</v>
      </c>
    </row>
    <row r="119" spans="1:5">
      <c r="A119" s="80" t="s">
        <v>1489</v>
      </c>
      <c r="B119" s="81"/>
      <c r="C119" s="19" t="s">
        <v>1277</v>
      </c>
      <c r="D119" s="19" t="s">
        <v>1490</v>
      </c>
      <c r="E119" s="20">
        <v>45513</v>
      </c>
    </row>
    <row r="120" spans="1:5">
      <c r="A120" s="80" t="s">
        <v>1491</v>
      </c>
      <c r="B120" s="81"/>
      <c r="C120" s="19" t="s">
        <v>1288</v>
      </c>
      <c r="D120" s="19" t="s">
        <v>1492</v>
      </c>
      <c r="E120" s="20">
        <v>45513</v>
      </c>
    </row>
    <row r="121" spans="1:5">
      <c r="A121" s="80" t="s">
        <v>1493</v>
      </c>
      <c r="B121" s="81"/>
      <c r="C121" s="19" t="s">
        <v>1277</v>
      </c>
      <c r="D121" s="19" t="s">
        <v>1494</v>
      </c>
      <c r="E121" s="20">
        <v>45513</v>
      </c>
    </row>
    <row r="122" spans="1:5">
      <c r="A122" s="80" t="s">
        <v>1495</v>
      </c>
      <c r="B122" s="81"/>
      <c r="C122" s="19" t="s">
        <v>1277</v>
      </c>
      <c r="D122" s="19" t="s">
        <v>1396</v>
      </c>
      <c r="E122" s="20">
        <v>45513</v>
      </c>
    </row>
    <row r="123" spans="1:5">
      <c r="A123" s="80" t="s">
        <v>1496</v>
      </c>
      <c r="B123" s="81"/>
      <c r="C123" s="19" t="s">
        <v>1277</v>
      </c>
      <c r="D123" s="19" t="s">
        <v>1396</v>
      </c>
      <c r="E123" s="20">
        <v>45513</v>
      </c>
    </row>
    <row r="124" spans="1:5">
      <c r="A124" s="80" t="s">
        <v>1497</v>
      </c>
      <c r="B124" s="81"/>
      <c r="C124" s="19" t="s">
        <v>1277</v>
      </c>
      <c r="D124" s="19" t="s">
        <v>1498</v>
      </c>
      <c r="E124" s="20">
        <v>45513</v>
      </c>
    </row>
    <row r="125" spans="1:5">
      <c r="A125" s="80" t="s">
        <v>1345</v>
      </c>
      <c r="B125" s="81"/>
      <c r="C125" s="19" t="s">
        <v>1288</v>
      </c>
      <c r="D125" s="19" t="s">
        <v>1499</v>
      </c>
      <c r="E125" s="20">
        <v>45513</v>
      </c>
    </row>
    <row r="126" spans="1:5">
      <c r="A126" s="80" t="s">
        <v>1500</v>
      </c>
      <c r="B126" s="81"/>
      <c r="C126" s="19" t="s">
        <v>1288</v>
      </c>
      <c r="D126" s="19" t="s">
        <v>1501</v>
      </c>
      <c r="E126" s="20">
        <v>45513</v>
      </c>
    </row>
    <row r="127" spans="1:5">
      <c r="A127" s="80" t="s">
        <v>1502</v>
      </c>
      <c r="B127" s="81"/>
      <c r="C127" s="19" t="s">
        <v>1288</v>
      </c>
      <c r="D127" s="19" t="s">
        <v>1503</v>
      </c>
      <c r="E127" s="20">
        <v>45513</v>
      </c>
    </row>
    <row r="128" spans="1:5">
      <c r="A128" s="80" t="s">
        <v>1504</v>
      </c>
      <c r="B128" s="81"/>
      <c r="C128" s="19" t="s">
        <v>1288</v>
      </c>
      <c r="D128" s="19" t="s">
        <v>1476</v>
      </c>
      <c r="E128" s="20">
        <v>45513</v>
      </c>
    </row>
    <row r="129" spans="1:5">
      <c r="A129" s="80" t="s">
        <v>1505</v>
      </c>
      <c r="B129" s="81"/>
      <c r="C129" s="19" t="s">
        <v>1288</v>
      </c>
      <c r="D129" s="19" t="s">
        <v>152</v>
      </c>
      <c r="E129" s="20">
        <v>45513</v>
      </c>
    </row>
    <row r="130" spans="1:5">
      <c r="A130" s="80" t="s">
        <v>1506</v>
      </c>
      <c r="B130" s="81"/>
      <c r="C130" s="19" t="s">
        <v>1277</v>
      </c>
      <c r="D130" s="19" t="s">
        <v>1278</v>
      </c>
      <c r="E130" s="20">
        <v>45523</v>
      </c>
    </row>
    <row r="131" spans="1:5">
      <c r="A131" s="80" t="s">
        <v>1507</v>
      </c>
      <c r="B131" s="81"/>
      <c r="C131" s="19" t="s">
        <v>1277</v>
      </c>
      <c r="D131" s="19" t="s">
        <v>1278</v>
      </c>
      <c r="E131" s="20">
        <v>45523</v>
      </c>
    </row>
    <row r="132" spans="1:5">
      <c r="A132" s="80" t="s">
        <v>1508</v>
      </c>
      <c r="B132" s="81"/>
      <c r="C132" s="19" t="s">
        <v>1277</v>
      </c>
      <c r="D132" s="19" t="s">
        <v>1509</v>
      </c>
      <c r="E132" s="20">
        <v>45525</v>
      </c>
    </row>
    <row r="133" spans="1:5">
      <c r="A133" s="80" t="s">
        <v>1510</v>
      </c>
      <c r="B133" s="81"/>
      <c r="C133" s="19" t="s">
        <v>1295</v>
      </c>
      <c r="D133" s="19" t="s">
        <v>1511</v>
      </c>
      <c r="E133" s="20">
        <v>45525</v>
      </c>
    </row>
    <row r="134" spans="1:5">
      <c r="A134" s="80" t="s">
        <v>1512</v>
      </c>
      <c r="B134" s="81"/>
      <c r="C134" s="19" t="s">
        <v>1295</v>
      </c>
      <c r="D134" s="19" t="s">
        <v>1511</v>
      </c>
      <c r="E134" s="20">
        <v>45525</v>
      </c>
    </row>
    <row r="135" spans="1:5">
      <c r="A135" s="80" t="s">
        <v>1513</v>
      </c>
      <c r="B135" s="81"/>
      <c r="C135" s="19" t="s">
        <v>1295</v>
      </c>
      <c r="D135" s="19" t="s">
        <v>1514</v>
      </c>
      <c r="E135" s="20">
        <v>45525</v>
      </c>
    </row>
    <row r="136" spans="1:5">
      <c r="A136" s="80" t="s">
        <v>1515</v>
      </c>
      <c r="B136" s="81"/>
      <c r="C136" s="19" t="s">
        <v>1295</v>
      </c>
      <c r="D136" s="19" t="s">
        <v>1516</v>
      </c>
      <c r="E136" s="20">
        <v>45525</v>
      </c>
    </row>
    <row r="137" spans="1:5">
      <c r="A137" s="80" t="s">
        <v>1517</v>
      </c>
      <c r="B137" s="81"/>
      <c r="C137" s="19" t="s">
        <v>1277</v>
      </c>
      <c r="D137" s="19" t="s">
        <v>1518</v>
      </c>
      <c r="E137" s="20">
        <v>45526</v>
      </c>
    </row>
    <row r="138" spans="1:5">
      <c r="A138" s="80" t="s">
        <v>1519</v>
      </c>
      <c r="B138" s="81"/>
      <c r="C138" s="19" t="s">
        <v>1277</v>
      </c>
      <c r="D138" s="19" t="s">
        <v>1520</v>
      </c>
      <c r="E138" s="20">
        <v>45527</v>
      </c>
    </row>
    <row r="139" spans="1:5">
      <c r="A139" s="80" t="s">
        <v>1521</v>
      </c>
      <c r="B139" s="81"/>
      <c r="C139" s="19" t="s">
        <v>1277</v>
      </c>
      <c r="D139" s="19" t="s">
        <v>1476</v>
      </c>
      <c r="E139" s="20">
        <v>45527</v>
      </c>
    </row>
    <row r="140" spans="1:5">
      <c r="A140" s="80" t="s">
        <v>1522</v>
      </c>
      <c r="B140" s="81"/>
      <c r="C140" s="19" t="s">
        <v>1277</v>
      </c>
      <c r="D140" s="19" t="s">
        <v>1523</v>
      </c>
      <c r="E140" s="20">
        <v>45527</v>
      </c>
    </row>
    <row r="141" spans="1:5">
      <c r="A141" s="80" t="s">
        <v>1524</v>
      </c>
      <c r="B141" s="81"/>
      <c r="C141" s="19" t="s">
        <v>1277</v>
      </c>
      <c r="D141" s="19" t="s">
        <v>1469</v>
      </c>
      <c r="E141" s="20">
        <v>45529</v>
      </c>
    </row>
    <row r="142" spans="1:5">
      <c r="A142" s="80" t="s">
        <v>1525</v>
      </c>
      <c r="B142" s="81"/>
      <c r="C142" s="19" t="s">
        <v>1288</v>
      </c>
      <c r="D142" s="19" t="s">
        <v>1526</v>
      </c>
      <c r="E142" s="20">
        <v>45534</v>
      </c>
    </row>
    <row r="143" spans="1:5">
      <c r="A143" s="80" t="s">
        <v>1527</v>
      </c>
      <c r="B143" s="81"/>
      <c r="C143" s="19" t="s">
        <v>1277</v>
      </c>
      <c r="D143" s="19" t="s">
        <v>1528</v>
      </c>
      <c r="E143" s="20">
        <v>45534</v>
      </c>
    </row>
    <row r="144" spans="1:5">
      <c r="A144" s="80" t="s">
        <v>1529</v>
      </c>
      <c r="B144" s="81"/>
      <c r="C144" s="19" t="s">
        <v>1465</v>
      </c>
      <c r="D144" s="19" t="s">
        <v>1315</v>
      </c>
      <c r="E144" s="20">
        <v>45534</v>
      </c>
    </row>
    <row r="145" spans="1:5">
      <c r="A145" s="80" t="s">
        <v>1530</v>
      </c>
      <c r="B145" s="81"/>
      <c r="C145" s="19" t="s">
        <v>1277</v>
      </c>
      <c r="D145" s="19" t="s">
        <v>1488</v>
      </c>
      <c r="E145" s="20">
        <v>45534</v>
      </c>
    </row>
    <row r="146" spans="1:5">
      <c r="A146" s="80" t="s">
        <v>1530</v>
      </c>
      <c r="B146" s="81"/>
      <c r="C146" s="19" t="s">
        <v>1277</v>
      </c>
      <c r="D146" s="19" t="s">
        <v>1531</v>
      </c>
      <c r="E146" s="20">
        <v>45534</v>
      </c>
    </row>
    <row r="147" spans="1:5">
      <c r="A147" s="80" t="s">
        <v>1532</v>
      </c>
      <c r="B147" s="81"/>
      <c r="C147" s="19" t="s">
        <v>1277</v>
      </c>
      <c r="D147" s="19" t="s">
        <v>1533</v>
      </c>
      <c r="E147" s="20">
        <v>45534</v>
      </c>
    </row>
    <row r="148" spans="1:5">
      <c r="A148" s="80" t="s">
        <v>1534</v>
      </c>
      <c r="B148" s="81"/>
      <c r="C148" s="19" t="s">
        <v>1277</v>
      </c>
      <c r="D148" s="19" t="s">
        <v>1535</v>
      </c>
      <c r="E148" s="20">
        <v>45534</v>
      </c>
    </row>
    <row r="149" spans="1:5">
      <c r="A149" s="80" t="s">
        <v>1536</v>
      </c>
      <c r="B149" s="81"/>
      <c r="C149" s="19" t="s">
        <v>1277</v>
      </c>
      <c r="D149" s="19" t="s">
        <v>1537</v>
      </c>
      <c r="E149" s="20">
        <v>45540</v>
      </c>
    </row>
    <row r="150" spans="1:5">
      <c r="A150" s="80" t="s">
        <v>1538</v>
      </c>
      <c r="B150" s="81"/>
      <c r="C150" s="19" t="s">
        <v>1277</v>
      </c>
      <c r="D150" s="19" t="s">
        <v>1539</v>
      </c>
      <c r="E150" s="20">
        <v>45540</v>
      </c>
    </row>
    <row r="151" spans="1:5">
      <c r="A151" s="80" t="s">
        <v>1540</v>
      </c>
      <c r="B151" s="81"/>
      <c r="C151" s="19" t="s">
        <v>1277</v>
      </c>
      <c r="D151" s="19" t="s">
        <v>1282</v>
      </c>
      <c r="E151" s="20">
        <v>45541</v>
      </c>
    </row>
    <row r="152" spans="1:5">
      <c r="A152" s="80" t="s">
        <v>1541</v>
      </c>
      <c r="B152" s="81"/>
      <c r="C152" s="19" t="s">
        <v>1277</v>
      </c>
      <c r="D152" s="19" t="s">
        <v>1396</v>
      </c>
      <c r="E152" s="20">
        <v>45541</v>
      </c>
    </row>
    <row r="153" spans="1:5">
      <c r="A153" s="80" t="s">
        <v>1542</v>
      </c>
      <c r="B153" s="81"/>
      <c r="C153" s="19" t="s">
        <v>1277</v>
      </c>
      <c r="D153" s="19" t="s">
        <v>1543</v>
      </c>
      <c r="E153" s="20">
        <v>45541</v>
      </c>
    </row>
    <row r="154" spans="1:5">
      <c r="A154" s="80" t="s">
        <v>1544</v>
      </c>
      <c r="B154" s="81"/>
      <c r="C154" s="19" t="s">
        <v>1277</v>
      </c>
      <c r="D154" s="19" t="s">
        <v>767</v>
      </c>
      <c r="E154" s="20">
        <v>45544</v>
      </c>
    </row>
    <row r="155" spans="1:5">
      <c r="A155" s="80" t="s">
        <v>1545</v>
      </c>
      <c r="B155" s="81"/>
      <c r="C155" s="19" t="s">
        <v>1277</v>
      </c>
      <c r="D155" s="19" t="s">
        <v>1546</v>
      </c>
      <c r="E155" s="20">
        <v>45544</v>
      </c>
    </row>
    <row r="156" spans="1:5">
      <c r="A156" s="80" t="s">
        <v>1547</v>
      </c>
      <c r="B156" s="81"/>
      <c r="C156" s="19" t="s">
        <v>1277</v>
      </c>
      <c r="D156" s="19" t="s">
        <v>1548</v>
      </c>
      <c r="E156" s="20">
        <v>45547</v>
      </c>
    </row>
    <row r="157" spans="1:5">
      <c r="A157" s="80" t="s">
        <v>1549</v>
      </c>
      <c r="B157" s="81"/>
      <c r="C157" s="19" t="s">
        <v>1277</v>
      </c>
      <c r="D157" s="19" t="s">
        <v>1550</v>
      </c>
      <c r="E157" s="20">
        <v>45547</v>
      </c>
    </row>
    <row r="158" spans="1:5">
      <c r="A158" s="80" t="s">
        <v>1551</v>
      </c>
      <c r="B158" s="81"/>
      <c r="C158" s="19" t="s">
        <v>1277</v>
      </c>
      <c r="D158" s="19" t="s">
        <v>1552</v>
      </c>
      <c r="E158" s="20">
        <v>45548</v>
      </c>
    </row>
    <row r="159" spans="1:5">
      <c r="A159" s="80" t="s">
        <v>1553</v>
      </c>
      <c r="B159" s="81"/>
      <c r="C159" s="19" t="s">
        <v>1277</v>
      </c>
      <c r="D159" s="19" t="s">
        <v>1554</v>
      </c>
      <c r="E159" s="20">
        <v>45548</v>
      </c>
    </row>
    <row r="160" spans="1:5">
      <c r="A160" s="80" t="s">
        <v>1555</v>
      </c>
      <c r="B160" s="81"/>
      <c r="C160" s="19" t="s">
        <v>1277</v>
      </c>
      <c r="D160" s="19" t="s">
        <v>1556</v>
      </c>
      <c r="E160" s="20">
        <v>45550</v>
      </c>
    </row>
    <row r="161" spans="1:5">
      <c r="A161" s="80" t="s">
        <v>1557</v>
      </c>
      <c r="B161" s="81"/>
      <c r="C161" s="19" t="s">
        <v>1277</v>
      </c>
      <c r="D161" s="19" t="s">
        <v>1282</v>
      </c>
      <c r="E161" s="20">
        <v>45553</v>
      </c>
    </row>
    <row r="162" spans="1:5">
      <c r="A162" s="80" t="s">
        <v>1558</v>
      </c>
      <c r="B162" s="81"/>
      <c r="C162" s="19" t="s">
        <v>1277</v>
      </c>
      <c r="D162" s="19" t="s">
        <v>1441</v>
      </c>
      <c r="E162" s="20">
        <v>45553</v>
      </c>
    </row>
    <row r="163" spans="1:5">
      <c r="A163" s="80" t="s">
        <v>1559</v>
      </c>
      <c r="B163" s="81"/>
      <c r="C163" s="19" t="s">
        <v>1288</v>
      </c>
      <c r="D163" s="19" t="s">
        <v>1560</v>
      </c>
      <c r="E163" s="20">
        <v>45553</v>
      </c>
    </row>
    <row r="164" spans="1:5">
      <c r="A164" s="80" t="s">
        <v>1561</v>
      </c>
      <c r="B164" s="81"/>
      <c r="C164" s="19" t="s">
        <v>1277</v>
      </c>
      <c r="D164" s="19" t="s">
        <v>1334</v>
      </c>
      <c r="E164" s="20">
        <v>45553</v>
      </c>
    </row>
    <row r="165" spans="1:5">
      <c r="A165" s="80" t="s">
        <v>1562</v>
      </c>
      <c r="B165" s="81"/>
      <c r="C165" s="19" t="s">
        <v>1277</v>
      </c>
      <c r="D165" s="19" t="s">
        <v>1563</v>
      </c>
      <c r="E165" s="20">
        <v>45554</v>
      </c>
    </row>
    <row r="166" spans="1:5">
      <c r="A166" s="80" t="s">
        <v>1564</v>
      </c>
      <c r="B166" s="81"/>
      <c r="C166" s="19" t="s">
        <v>1277</v>
      </c>
      <c r="D166" s="19" t="s">
        <v>1565</v>
      </c>
      <c r="E166" s="20">
        <v>45555</v>
      </c>
    </row>
    <row r="167" spans="1:5">
      <c r="A167" s="80" t="s">
        <v>1566</v>
      </c>
      <c r="B167" s="81"/>
      <c r="C167" s="19" t="s">
        <v>1277</v>
      </c>
      <c r="D167" s="19" t="s">
        <v>1565</v>
      </c>
      <c r="E167" s="20">
        <v>45555</v>
      </c>
    </row>
    <row r="168" spans="1:5">
      <c r="A168" s="80" t="s">
        <v>1567</v>
      </c>
      <c r="B168" s="81"/>
      <c r="C168" s="19" t="s">
        <v>1277</v>
      </c>
      <c r="D168" s="19" t="s">
        <v>1568</v>
      </c>
      <c r="E168" s="20">
        <v>45555</v>
      </c>
    </row>
    <row r="169" spans="1:5">
      <c r="A169" s="80" t="s">
        <v>1569</v>
      </c>
      <c r="B169" s="81"/>
      <c r="C169" s="19" t="s">
        <v>1277</v>
      </c>
      <c r="D169" s="19" t="s">
        <v>1570</v>
      </c>
      <c r="E169" s="20">
        <v>45557</v>
      </c>
    </row>
    <row r="170" spans="1:5">
      <c r="A170" s="80" t="s">
        <v>1571</v>
      </c>
      <c r="B170" s="81"/>
      <c r="C170" s="19" t="s">
        <v>1277</v>
      </c>
      <c r="D170" s="19" t="s">
        <v>1572</v>
      </c>
      <c r="E170" s="20">
        <v>45560</v>
      </c>
    </row>
    <row r="171" spans="1:5">
      <c r="A171" s="80" t="s">
        <v>1573</v>
      </c>
      <c r="B171" s="81"/>
      <c r="C171" s="19" t="s">
        <v>1277</v>
      </c>
      <c r="D171" s="19" t="s">
        <v>1574</v>
      </c>
      <c r="E171" s="20">
        <v>45560</v>
      </c>
    </row>
    <row r="172" spans="1:5">
      <c r="A172" s="80" t="s">
        <v>1575</v>
      </c>
      <c r="B172" s="81"/>
      <c r="C172" s="19" t="s">
        <v>1277</v>
      </c>
      <c r="D172" s="19" t="s">
        <v>1574</v>
      </c>
      <c r="E172" s="20">
        <v>45560</v>
      </c>
    </row>
    <row r="173" spans="1:5">
      <c r="A173" s="80" t="s">
        <v>1576</v>
      </c>
      <c r="B173" s="81"/>
      <c r="C173" s="19" t="s">
        <v>1288</v>
      </c>
      <c r="D173" s="19" t="s">
        <v>1577</v>
      </c>
      <c r="E173" s="20">
        <v>45562</v>
      </c>
    </row>
    <row r="174" spans="1:5">
      <c r="A174" s="80" t="s">
        <v>1578</v>
      </c>
      <c r="B174" s="81"/>
      <c r="C174" s="19" t="s">
        <v>1277</v>
      </c>
      <c r="D174" s="19" t="s">
        <v>1579</v>
      </c>
      <c r="E174" s="20">
        <v>45562</v>
      </c>
    </row>
    <row r="175" spans="1:5">
      <c r="A175" s="80" t="s">
        <v>1580</v>
      </c>
      <c r="B175" s="81"/>
      <c r="C175" s="19" t="s">
        <v>1277</v>
      </c>
      <c r="D175" s="19" t="s">
        <v>1330</v>
      </c>
      <c r="E175" s="20">
        <v>45562</v>
      </c>
    </row>
    <row r="176" spans="1:5">
      <c r="A176" s="80" t="s">
        <v>1581</v>
      </c>
      <c r="B176" s="81"/>
      <c r="C176" s="19" t="s">
        <v>1277</v>
      </c>
      <c r="D176" s="19" t="s">
        <v>1582</v>
      </c>
      <c r="E176" s="20">
        <v>45562</v>
      </c>
    </row>
    <row r="177" spans="1:5">
      <c r="A177" s="80" t="s">
        <v>1583</v>
      </c>
      <c r="B177" s="81"/>
      <c r="C177" s="19" t="s">
        <v>1277</v>
      </c>
      <c r="D177" s="19" t="s">
        <v>1406</v>
      </c>
      <c r="E177" s="20">
        <v>45562</v>
      </c>
    </row>
    <row r="178" spans="1:5">
      <c r="A178" s="80" t="s">
        <v>1584</v>
      </c>
      <c r="B178" s="81"/>
      <c r="C178" s="19" t="s">
        <v>1277</v>
      </c>
      <c r="D178" s="19" t="s">
        <v>1476</v>
      </c>
      <c r="E178" s="20">
        <v>45565</v>
      </c>
    </row>
    <row r="179" spans="1:5">
      <c r="A179" s="80" t="s">
        <v>1585</v>
      </c>
      <c r="B179" s="81"/>
      <c r="C179" s="19" t="s">
        <v>1288</v>
      </c>
      <c r="D179" s="19" t="s">
        <v>1586</v>
      </c>
      <c r="E179" s="20">
        <v>45565</v>
      </c>
    </row>
    <row r="180" spans="1:5">
      <c r="A180" s="80" t="s">
        <v>1587</v>
      </c>
      <c r="B180" s="81"/>
      <c r="C180" s="19" t="s">
        <v>1288</v>
      </c>
      <c r="D180" s="19" t="s">
        <v>1588</v>
      </c>
      <c r="E180" s="20">
        <v>45565</v>
      </c>
    </row>
    <row r="181" spans="1:5">
      <c r="A181" s="80" t="s">
        <v>1589</v>
      </c>
      <c r="B181" s="81"/>
      <c r="C181" s="19" t="s">
        <v>1288</v>
      </c>
      <c r="D181" s="19" t="s">
        <v>1590</v>
      </c>
      <c r="E181" s="20">
        <v>45565</v>
      </c>
    </row>
    <row r="182" spans="1:5">
      <c r="A182" s="80" t="s">
        <v>1591</v>
      </c>
      <c r="B182" s="81"/>
      <c r="C182" s="19" t="s">
        <v>1288</v>
      </c>
      <c r="D182" s="19" t="s">
        <v>1592</v>
      </c>
      <c r="E182" s="20">
        <v>45565</v>
      </c>
    </row>
    <row r="183" spans="1:5">
      <c r="A183" s="80" t="s">
        <v>1593</v>
      </c>
      <c r="B183" s="81"/>
      <c r="C183" s="19" t="s">
        <v>1288</v>
      </c>
      <c r="D183" s="19" t="s">
        <v>1594</v>
      </c>
      <c r="E183" s="20">
        <v>45565</v>
      </c>
    </row>
    <row r="184" spans="1:5">
      <c r="A184" s="80" t="s">
        <v>1595</v>
      </c>
      <c r="B184" s="81"/>
      <c r="C184" s="19" t="s">
        <v>1288</v>
      </c>
      <c r="D184" s="19" t="s">
        <v>1596</v>
      </c>
      <c r="E184" s="20">
        <v>45566</v>
      </c>
    </row>
    <row r="185" spans="1:5">
      <c r="A185" s="80" t="s">
        <v>1597</v>
      </c>
      <c r="B185" s="81"/>
      <c r="C185" s="19" t="s">
        <v>1277</v>
      </c>
      <c r="D185" s="19" t="s">
        <v>1598</v>
      </c>
      <c r="E185" s="20">
        <v>45568</v>
      </c>
    </row>
    <row r="186" spans="1:5">
      <c r="A186" s="80" t="s">
        <v>1599</v>
      </c>
      <c r="B186" s="81"/>
      <c r="C186" s="19" t="s">
        <v>1277</v>
      </c>
      <c r="D186" s="19" t="s">
        <v>1600</v>
      </c>
      <c r="E186" s="20">
        <v>45569</v>
      </c>
    </row>
    <row r="187" spans="1:5">
      <c r="A187" s="80" t="s">
        <v>1601</v>
      </c>
      <c r="B187" s="81"/>
      <c r="C187" s="19" t="s">
        <v>1277</v>
      </c>
      <c r="D187" s="19" t="s">
        <v>1441</v>
      </c>
      <c r="E187" s="20">
        <v>45572</v>
      </c>
    </row>
    <row r="188" spans="1:5">
      <c r="A188" s="80" t="s">
        <v>1602</v>
      </c>
      <c r="B188" s="81"/>
      <c r="C188" s="19" t="s">
        <v>1277</v>
      </c>
      <c r="D188" s="19" t="s">
        <v>1603</v>
      </c>
      <c r="E188" s="20">
        <v>45572</v>
      </c>
    </row>
    <row r="189" spans="1:5">
      <c r="A189" s="80" t="s">
        <v>1604</v>
      </c>
      <c r="B189" s="81"/>
      <c r="C189" s="19" t="s">
        <v>1277</v>
      </c>
      <c r="D189" s="19" t="s">
        <v>1605</v>
      </c>
      <c r="E189" s="20">
        <v>45572</v>
      </c>
    </row>
    <row r="190" spans="1:5">
      <c r="A190" s="80" t="s">
        <v>1606</v>
      </c>
      <c r="B190" s="81"/>
      <c r="C190" s="19" t="s">
        <v>1288</v>
      </c>
      <c r="D190" s="19" t="s">
        <v>1607</v>
      </c>
      <c r="E190" s="20">
        <v>45572</v>
      </c>
    </row>
    <row r="191" spans="1:5">
      <c r="A191" s="80" t="s">
        <v>1608</v>
      </c>
      <c r="B191" s="81"/>
      <c r="C191" s="19" t="s">
        <v>1288</v>
      </c>
      <c r="D191" s="19" t="s">
        <v>1609</v>
      </c>
      <c r="E191" s="20">
        <v>45572</v>
      </c>
    </row>
    <row r="192" spans="1:5">
      <c r="A192" s="80" t="s">
        <v>1610</v>
      </c>
      <c r="B192" s="81"/>
      <c r="C192" s="19" t="s">
        <v>1288</v>
      </c>
      <c r="D192" s="19" t="s">
        <v>1611</v>
      </c>
      <c r="E192" s="20">
        <v>45572</v>
      </c>
    </row>
    <row r="193" spans="1:5">
      <c r="A193" s="80" t="s">
        <v>1612</v>
      </c>
      <c r="B193" s="81"/>
      <c r="C193" s="19" t="s">
        <v>1288</v>
      </c>
      <c r="D193" s="19" t="s">
        <v>1613</v>
      </c>
      <c r="E193" s="20">
        <v>45572</v>
      </c>
    </row>
    <row r="194" spans="1:5">
      <c r="A194" s="80" t="s">
        <v>1614</v>
      </c>
      <c r="B194" s="81"/>
      <c r="C194" s="19" t="s">
        <v>1288</v>
      </c>
      <c r="D194" s="19" t="s">
        <v>1592</v>
      </c>
      <c r="E194" s="20">
        <v>45572</v>
      </c>
    </row>
    <row r="195" spans="1:5">
      <c r="A195" s="80" t="s">
        <v>1615</v>
      </c>
      <c r="B195" s="81"/>
      <c r="C195" s="19" t="s">
        <v>1288</v>
      </c>
      <c r="D195" s="19" t="s">
        <v>1533</v>
      </c>
      <c r="E195" s="20">
        <v>45572</v>
      </c>
    </row>
    <row r="196" spans="1:5">
      <c r="A196" s="80" t="s">
        <v>1616</v>
      </c>
      <c r="B196" s="81"/>
      <c r="C196" s="19" t="s">
        <v>1288</v>
      </c>
      <c r="D196" s="19" t="s">
        <v>1617</v>
      </c>
      <c r="E196" s="20">
        <v>45572</v>
      </c>
    </row>
    <row r="197" spans="1:5">
      <c r="A197" s="80" t="s">
        <v>1618</v>
      </c>
      <c r="B197" s="81"/>
      <c r="C197" s="19" t="s">
        <v>1288</v>
      </c>
      <c r="D197" s="19" t="s">
        <v>1619</v>
      </c>
      <c r="E197" s="20">
        <v>45572</v>
      </c>
    </row>
    <row r="198" spans="1:5">
      <c r="A198" s="80" t="s">
        <v>1620</v>
      </c>
      <c r="B198" s="81"/>
      <c r="C198" s="19" t="s">
        <v>1288</v>
      </c>
      <c r="D198" s="19" t="s">
        <v>1621</v>
      </c>
      <c r="E198" s="20">
        <v>45572</v>
      </c>
    </row>
    <row r="199" spans="1:5">
      <c r="A199" s="80" t="s">
        <v>1622</v>
      </c>
      <c r="B199" s="81"/>
      <c r="C199" s="19" t="s">
        <v>1288</v>
      </c>
      <c r="D199" s="19" t="s">
        <v>1623</v>
      </c>
      <c r="E199" s="20">
        <v>45572</v>
      </c>
    </row>
    <row r="200" spans="1:5">
      <c r="A200" s="80" t="s">
        <v>1624</v>
      </c>
      <c r="B200" s="81"/>
      <c r="C200" s="19" t="s">
        <v>1277</v>
      </c>
      <c r="D200" s="19" t="s">
        <v>1509</v>
      </c>
      <c r="E200" s="20">
        <v>45573</v>
      </c>
    </row>
    <row r="201" spans="1:5">
      <c r="A201" s="80" t="s">
        <v>1625</v>
      </c>
      <c r="B201" s="81"/>
      <c r="C201" s="19" t="s">
        <v>1277</v>
      </c>
      <c r="D201" s="19" t="s">
        <v>1306</v>
      </c>
      <c r="E201" s="20">
        <v>45573</v>
      </c>
    </row>
    <row r="202" spans="1:5">
      <c r="A202" s="80" t="s">
        <v>1626</v>
      </c>
      <c r="B202" s="81"/>
      <c r="C202" s="19" t="s">
        <v>1288</v>
      </c>
      <c r="D202" s="19" t="s">
        <v>1627</v>
      </c>
      <c r="E202" s="20">
        <v>45573</v>
      </c>
    </row>
    <row r="203" spans="1:5">
      <c r="A203" s="80" t="s">
        <v>1628</v>
      </c>
      <c r="B203" s="81"/>
      <c r="C203" s="19" t="s">
        <v>1277</v>
      </c>
      <c r="D203" s="19" t="s">
        <v>1401</v>
      </c>
      <c r="E203" s="20">
        <v>45574</v>
      </c>
    </row>
    <row r="204" spans="1:5">
      <c r="A204" s="80" t="s">
        <v>1629</v>
      </c>
      <c r="B204" s="81"/>
      <c r="C204" s="19" t="s">
        <v>1288</v>
      </c>
      <c r="D204" s="19" t="s">
        <v>1630</v>
      </c>
      <c r="E204" s="20">
        <v>45574</v>
      </c>
    </row>
    <row r="205" spans="1:5">
      <c r="A205" s="80" t="s">
        <v>1631</v>
      </c>
      <c r="B205" s="81"/>
      <c r="C205" s="19" t="s">
        <v>1277</v>
      </c>
      <c r="D205" s="19" t="s">
        <v>1632</v>
      </c>
      <c r="E205" s="20">
        <v>45574</v>
      </c>
    </row>
    <row r="206" spans="1:5">
      <c r="A206" s="80" t="s">
        <v>1633</v>
      </c>
      <c r="B206" s="81"/>
      <c r="C206" s="19" t="s">
        <v>1415</v>
      </c>
      <c r="D206" s="19" t="s">
        <v>1634</v>
      </c>
      <c r="E206" s="20">
        <v>45575</v>
      </c>
    </row>
    <row r="207" spans="1:5">
      <c r="A207" s="80" t="s">
        <v>1635</v>
      </c>
      <c r="B207" s="81"/>
      <c r="C207" s="19" t="s">
        <v>1277</v>
      </c>
      <c r="D207" s="19" t="s">
        <v>767</v>
      </c>
      <c r="E207" s="20">
        <v>45575</v>
      </c>
    </row>
    <row r="208" spans="1:5">
      <c r="A208" s="80" t="s">
        <v>1636</v>
      </c>
      <c r="B208" s="81"/>
      <c r="C208" s="19" t="s">
        <v>1277</v>
      </c>
      <c r="D208" s="19" t="s">
        <v>1378</v>
      </c>
      <c r="E208" s="20">
        <v>45576</v>
      </c>
    </row>
    <row r="209" spans="1:5">
      <c r="A209" s="80" t="s">
        <v>1637</v>
      </c>
      <c r="B209" s="81"/>
      <c r="C209" s="19" t="s">
        <v>1277</v>
      </c>
      <c r="D209" s="19" t="s">
        <v>1332</v>
      </c>
      <c r="E209" s="20">
        <v>45576</v>
      </c>
    </row>
    <row r="210" spans="1:5">
      <c r="A210" s="80" t="s">
        <v>1638</v>
      </c>
      <c r="B210" s="81"/>
      <c r="C210" s="19" t="s">
        <v>1277</v>
      </c>
      <c r="D210" s="19" t="s">
        <v>1469</v>
      </c>
      <c r="E210" s="20">
        <v>45579</v>
      </c>
    </row>
    <row r="211" spans="1:5">
      <c r="A211" s="80" t="s">
        <v>1639</v>
      </c>
      <c r="B211" s="81"/>
      <c r="C211" s="19" t="s">
        <v>1277</v>
      </c>
      <c r="D211" s="19" t="s">
        <v>1640</v>
      </c>
      <c r="E211" s="20">
        <v>45580</v>
      </c>
    </row>
    <row r="212" spans="1:5">
      <c r="A212" s="80" t="s">
        <v>1641</v>
      </c>
      <c r="B212" s="81"/>
      <c r="C212" s="19" t="s">
        <v>1277</v>
      </c>
      <c r="D212" s="19" t="s">
        <v>1632</v>
      </c>
      <c r="E212" s="20">
        <v>45581</v>
      </c>
    </row>
    <row r="213" spans="1:5">
      <c r="A213" s="80" t="s">
        <v>1642</v>
      </c>
      <c r="B213" s="81"/>
      <c r="C213" s="19" t="s">
        <v>1415</v>
      </c>
      <c r="D213" s="19" t="s">
        <v>1643</v>
      </c>
      <c r="E213" s="20">
        <v>45581</v>
      </c>
    </row>
    <row r="214" spans="1:5">
      <c r="A214" s="80" t="s">
        <v>1644</v>
      </c>
      <c r="B214" s="81"/>
      <c r="C214" s="19" t="s">
        <v>1415</v>
      </c>
      <c r="D214" s="19" t="s">
        <v>1645</v>
      </c>
      <c r="E214" s="20">
        <v>45581</v>
      </c>
    </row>
    <row r="215" spans="1:5">
      <c r="A215" s="80" t="s">
        <v>1646</v>
      </c>
      <c r="B215" s="81"/>
      <c r="C215" s="19" t="s">
        <v>1288</v>
      </c>
      <c r="D215" s="19" t="s">
        <v>1647</v>
      </c>
      <c r="E215" s="20">
        <v>45582</v>
      </c>
    </row>
    <row r="216" spans="1:5">
      <c r="A216" s="80" t="s">
        <v>1581</v>
      </c>
      <c r="B216" s="81"/>
      <c r="C216" s="19" t="s">
        <v>1277</v>
      </c>
      <c r="D216" s="19" t="s">
        <v>1310</v>
      </c>
      <c r="E216" s="20">
        <v>45583</v>
      </c>
    </row>
    <row r="217" spans="1:5">
      <c r="A217" s="80" t="s">
        <v>1648</v>
      </c>
      <c r="B217" s="81"/>
      <c r="C217" s="19" t="s">
        <v>1277</v>
      </c>
      <c r="D217" s="19" t="s">
        <v>1649</v>
      </c>
      <c r="E217" s="20">
        <v>45583</v>
      </c>
    </row>
    <row r="218" spans="1:5">
      <c r="A218" s="80" t="s">
        <v>1650</v>
      </c>
      <c r="B218" s="81"/>
      <c r="C218" s="19" t="s">
        <v>1277</v>
      </c>
      <c r="D218" s="19" t="s">
        <v>1476</v>
      </c>
      <c r="E218" s="20">
        <v>45583</v>
      </c>
    </row>
    <row r="219" spans="1:5">
      <c r="A219" s="80" t="s">
        <v>1651</v>
      </c>
      <c r="B219" s="81"/>
      <c r="C219" s="19" t="s">
        <v>1277</v>
      </c>
      <c r="D219" s="19" t="s">
        <v>1310</v>
      </c>
      <c r="E219" s="20">
        <v>45583</v>
      </c>
    </row>
    <row r="220" spans="1:5">
      <c r="A220" s="80" t="s">
        <v>1652</v>
      </c>
      <c r="B220" s="81"/>
      <c r="C220" s="19" t="s">
        <v>1288</v>
      </c>
      <c r="D220" s="19" t="s">
        <v>1653</v>
      </c>
      <c r="E220" s="20">
        <v>45589</v>
      </c>
    </row>
    <row r="221" spans="1:5">
      <c r="A221" s="80" t="s">
        <v>1654</v>
      </c>
      <c r="B221" s="81"/>
      <c r="C221" s="19" t="s">
        <v>1277</v>
      </c>
      <c r="D221" s="19" t="s">
        <v>1655</v>
      </c>
      <c r="E221" s="20">
        <v>45590</v>
      </c>
    </row>
    <row r="222" spans="1:5">
      <c r="A222" s="80" t="s">
        <v>1656</v>
      </c>
      <c r="B222" s="81"/>
      <c r="C222" s="19" t="s">
        <v>1288</v>
      </c>
      <c r="D222" s="19" t="s">
        <v>1565</v>
      </c>
      <c r="E222" s="20">
        <v>45590</v>
      </c>
    </row>
    <row r="223" spans="1:5">
      <c r="A223" s="80" t="s">
        <v>1657</v>
      </c>
      <c r="B223" s="81"/>
      <c r="C223" s="19" t="s">
        <v>1288</v>
      </c>
      <c r="D223" s="19" t="s">
        <v>1574</v>
      </c>
      <c r="E223" s="20">
        <v>45590</v>
      </c>
    </row>
    <row r="224" spans="1:5">
      <c r="A224" s="80" t="s">
        <v>1658</v>
      </c>
      <c r="B224" s="81"/>
      <c r="C224" s="19" t="s">
        <v>1288</v>
      </c>
      <c r="D224" s="19" t="s">
        <v>1659</v>
      </c>
      <c r="E224" s="20">
        <v>45590</v>
      </c>
    </row>
    <row r="225" spans="1:5">
      <c r="A225" s="80" t="s">
        <v>1660</v>
      </c>
      <c r="B225" s="81"/>
      <c r="C225" s="19" t="s">
        <v>1288</v>
      </c>
      <c r="D225" s="19" t="s">
        <v>1449</v>
      </c>
      <c r="E225" s="20">
        <v>45590</v>
      </c>
    </row>
    <row r="226" spans="1:5">
      <c r="A226" s="80" t="s">
        <v>1661</v>
      </c>
      <c r="B226" s="81"/>
      <c r="C226" s="19" t="s">
        <v>1288</v>
      </c>
      <c r="D226" s="19" t="s">
        <v>1449</v>
      </c>
      <c r="E226" s="20">
        <v>45590</v>
      </c>
    </row>
    <row r="227" spans="1:5">
      <c r="A227" s="80" t="s">
        <v>1662</v>
      </c>
      <c r="B227" s="81"/>
      <c r="C227" s="19" t="s">
        <v>1288</v>
      </c>
      <c r="D227" s="19" t="s">
        <v>1449</v>
      </c>
      <c r="E227" s="20">
        <v>45590</v>
      </c>
    </row>
    <row r="228" spans="1:5">
      <c r="A228" s="80" t="s">
        <v>1663</v>
      </c>
      <c r="B228" s="81"/>
      <c r="C228" s="19" t="s">
        <v>1277</v>
      </c>
      <c r="D228" s="19" t="s">
        <v>1664</v>
      </c>
      <c r="E228" s="20">
        <v>45590</v>
      </c>
    </row>
    <row r="229" spans="1:5">
      <c r="A229" s="80" t="s">
        <v>1665</v>
      </c>
      <c r="B229" s="81"/>
      <c r="C229" s="19" t="s">
        <v>1277</v>
      </c>
      <c r="D229" s="19" t="s">
        <v>1304</v>
      </c>
      <c r="E229" s="20">
        <v>45590</v>
      </c>
    </row>
    <row r="230" spans="1:5">
      <c r="A230" s="80" t="s">
        <v>1666</v>
      </c>
      <c r="B230" s="81"/>
      <c r="C230" s="19" t="s">
        <v>1277</v>
      </c>
      <c r="D230" s="19" t="s">
        <v>1469</v>
      </c>
      <c r="E230" s="20">
        <v>45590</v>
      </c>
    </row>
    <row r="231" spans="1:5">
      <c r="A231" s="80" t="s">
        <v>1667</v>
      </c>
      <c r="B231" s="81"/>
      <c r="C231" s="19" t="s">
        <v>1277</v>
      </c>
      <c r="D231" s="19" t="s">
        <v>1302</v>
      </c>
      <c r="E231" s="20">
        <v>45590</v>
      </c>
    </row>
    <row r="232" spans="1:5">
      <c r="A232" s="80" t="s">
        <v>1668</v>
      </c>
      <c r="B232" s="81"/>
      <c r="C232" s="19" t="s">
        <v>1277</v>
      </c>
      <c r="D232" s="19" t="s">
        <v>1302</v>
      </c>
      <c r="E232" s="20">
        <v>45590</v>
      </c>
    </row>
    <row r="233" spans="1:5">
      <c r="A233" s="80" t="s">
        <v>1669</v>
      </c>
      <c r="B233" s="81"/>
      <c r="C233" s="19" t="s">
        <v>1277</v>
      </c>
      <c r="D233" s="19" t="s">
        <v>1469</v>
      </c>
      <c r="E233" s="20">
        <v>45590</v>
      </c>
    </row>
    <row r="234" spans="1:5">
      <c r="A234" s="80" t="s">
        <v>1400</v>
      </c>
      <c r="B234" s="81"/>
      <c r="C234" s="19" t="s">
        <v>1277</v>
      </c>
      <c r="D234" s="19" t="s">
        <v>1401</v>
      </c>
      <c r="E234" s="20">
        <v>45590</v>
      </c>
    </row>
    <row r="235" spans="1:5">
      <c r="A235" s="80" t="s">
        <v>1670</v>
      </c>
      <c r="B235" s="81"/>
      <c r="C235" s="19" t="s">
        <v>1277</v>
      </c>
      <c r="D235" s="19" t="s">
        <v>1278</v>
      </c>
      <c r="E235" s="20">
        <v>45590</v>
      </c>
    </row>
    <row r="236" spans="1:5">
      <c r="A236" s="80" t="s">
        <v>1671</v>
      </c>
      <c r="B236" s="81"/>
      <c r="C236" s="19" t="s">
        <v>1277</v>
      </c>
      <c r="D236" s="19" t="s">
        <v>1664</v>
      </c>
      <c r="E236" s="20">
        <v>45590</v>
      </c>
    </row>
    <row r="237" spans="1:5">
      <c r="A237" s="80" t="s">
        <v>1672</v>
      </c>
      <c r="B237" s="81"/>
      <c r="C237" s="19" t="s">
        <v>1277</v>
      </c>
      <c r="D237" s="19" t="s">
        <v>1278</v>
      </c>
      <c r="E237" s="20">
        <v>45590</v>
      </c>
    </row>
    <row r="238" spans="1:5">
      <c r="A238" s="80" t="s">
        <v>1673</v>
      </c>
      <c r="B238" s="81"/>
      <c r="C238" s="19" t="s">
        <v>1277</v>
      </c>
      <c r="D238" s="19" t="s">
        <v>1476</v>
      </c>
      <c r="E238" s="20">
        <v>45590</v>
      </c>
    </row>
    <row r="239" spans="1:5">
      <c r="A239" s="80" t="s">
        <v>1674</v>
      </c>
      <c r="B239" s="81"/>
      <c r="C239" s="19" t="s">
        <v>1277</v>
      </c>
      <c r="D239" s="19" t="s">
        <v>1675</v>
      </c>
      <c r="E239" s="20">
        <v>45590</v>
      </c>
    </row>
    <row r="240" spans="1:5">
      <c r="A240" s="80" t="s">
        <v>1676</v>
      </c>
      <c r="B240" s="81"/>
      <c r="C240" s="19" t="s">
        <v>1277</v>
      </c>
      <c r="D240" s="19" t="s">
        <v>1278</v>
      </c>
      <c r="E240" s="20">
        <v>45590</v>
      </c>
    </row>
    <row r="241" spans="1:5">
      <c r="A241" s="80" t="s">
        <v>1677</v>
      </c>
      <c r="B241" s="81"/>
      <c r="C241" s="19" t="s">
        <v>1277</v>
      </c>
      <c r="D241" s="19" t="s">
        <v>1678</v>
      </c>
      <c r="E241" s="20">
        <v>45590</v>
      </c>
    </row>
    <row r="242" spans="1:5">
      <c r="A242" s="80" t="s">
        <v>1679</v>
      </c>
      <c r="B242" s="81"/>
      <c r="C242" s="19" t="s">
        <v>1277</v>
      </c>
      <c r="D242" s="19" t="s">
        <v>1197</v>
      </c>
      <c r="E242" s="20">
        <v>45590</v>
      </c>
    </row>
    <row r="243" spans="1:5">
      <c r="A243" s="80" t="s">
        <v>1680</v>
      </c>
      <c r="B243" s="81"/>
      <c r="C243" s="19" t="s">
        <v>1277</v>
      </c>
      <c r="D243" s="19" t="s">
        <v>1681</v>
      </c>
      <c r="E243" s="20">
        <v>45590</v>
      </c>
    </row>
    <row r="244" spans="1:5">
      <c r="A244" s="80" t="s">
        <v>1682</v>
      </c>
      <c r="B244" s="81"/>
      <c r="C244" s="19" t="s">
        <v>1277</v>
      </c>
      <c r="D244" s="19" t="s">
        <v>1681</v>
      </c>
      <c r="E244" s="20">
        <v>45590</v>
      </c>
    </row>
    <row r="245" spans="1:5">
      <c r="A245" s="80" t="s">
        <v>1683</v>
      </c>
      <c r="B245" s="81"/>
      <c r="C245" s="19" t="s">
        <v>1277</v>
      </c>
      <c r="D245" s="19" t="s">
        <v>1681</v>
      </c>
      <c r="E245" s="20">
        <v>45590</v>
      </c>
    </row>
    <row r="246" spans="1:5">
      <c r="A246" s="80" t="s">
        <v>1684</v>
      </c>
      <c r="B246" s="81"/>
      <c r="C246" s="19" t="s">
        <v>1277</v>
      </c>
      <c r="D246" s="19" t="s">
        <v>1598</v>
      </c>
      <c r="E246" s="20">
        <v>45590</v>
      </c>
    </row>
    <row r="247" spans="1:5">
      <c r="A247" s="80" t="s">
        <v>1685</v>
      </c>
      <c r="B247" s="81"/>
      <c r="C247" s="19" t="s">
        <v>1277</v>
      </c>
      <c r="D247" s="19" t="s">
        <v>1600</v>
      </c>
      <c r="E247" s="20">
        <v>45590</v>
      </c>
    </row>
    <row r="248" spans="1:5">
      <c r="A248" s="80" t="s">
        <v>1686</v>
      </c>
      <c r="B248" s="81"/>
      <c r="C248" s="19" t="s">
        <v>1277</v>
      </c>
      <c r="D248" s="19" t="s">
        <v>1310</v>
      </c>
      <c r="E248" s="20">
        <v>45590</v>
      </c>
    </row>
    <row r="249" spans="1:5">
      <c r="A249" s="80" t="s">
        <v>1687</v>
      </c>
      <c r="B249" s="81"/>
      <c r="C249" s="19" t="s">
        <v>1277</v>
      </c>
      <c r="D249" s="19" t="s">
        <v>1332</v>
      </c>
      <c r="E249" s="20">
        <v>45590</v>
      </c>
    </row>
    <row r="250" spans="1:5">
      <c r="A250" s="80" t="s">
        <v>1688</v>
      </c>
      <c r="B250" s="81"/>
      <c r="C250" s="19" t="s">
        <v>1288</v>
      </c>
      <c r="D250" s="19" t="s">
        <v>1689</v>
      </c>
      <c r="E250" s="20">
        <v>45590</v>
      </c>
    </row>
    <row r="251" spans="1:5">
      <c r="A251" s="80" t="s">
        <v>1690</v>
      </c>
      <c r="B251" s="81"/>
      <c r="C251" s="19" t="s">
        <v>1288</v>
      </c>
      <c r="D251" s="19" t="s">
        <v>1691</v>
      </c>
      <c r="E251" s="20">
        <v>45590</v>
      </c>
    </row>
    <row r="252" spans="1:5">
      <c r="A252" s="80" t="s">
        <v>1692</v>
      </c>
      <c r="B252" s="81"/>
      <c r="C252" s="19" t="s">
        <v>1288</v>
      </c>
      <c r="D252" s="19" t="s">
        <v>1693</v>
      </c>
      <c r="E252" s="20">
        <v>45590</v>
      </c>
    </row>
    <row r="253" spans="1:5">
      <c r="A253" s="80" t="s">
        <v>1694</v>
      </c>
      <c r="B253" s="81"/>
      <c r="C253" s="19" t="s">
        <v>1288</v>
      </c>
      <c r="D253" s="19" t="s">
        <v>776</v>
      </c>
      <c r="E253" s="20">
        <v>45590</v>
      </c>
    </row>
    <row r="254" spans="1:5">
      <c r="A254" s="80" t="s">
        <v>1695</v>
      </c>
      <c r="B254" s="81"/>
      <c r="C254" s="19" t="s">
        <v>1288</v>
      </c>
      <c r="D254" s="19" t="s">
        <v>1696</v>
      </c>
      <c r="E254" s="20">
        <v>45590</v>
      </c>
    </row>
    <row r="255" spans="1:5">
      <c r="A255" s="80" t="s">
        <v>1688</v>
      </c>
      <c r="B255" s="81"/>
      <c r="C255" s="19" t="s">
        <v>1288</v>
      </c>
      <c r="D255" s="19" t="s">
        <v>1697</v>
      </c>
      <c r="E255" s="20">
        <v>45590</v>
      </c>
    </row>
    <row r="256" spans="1:5">
      <c r="A256" s="80" t="s">
        <v>1698</v>
      </c>
      <c r="B256" s="81"/>
      <c r="C256" s="19" t="s">
        <v>1288</v>
      </c>
      <c r="D256" s="19" t="s">
        <v>1699</v>
      </c>
      <c r="E256" s="20">
        <v>45590</v>
      </c>
    </row>
    <row r="257" spans="1:5">
      <c r="A257" s="80" t="s">
        <v>1698</v>
      </c>
      <c r="B257" s="81"/>
      <c r="C257" s="19" t="s">
        <v>1288</v>
      </c>
      <c r="D257" s="19" t="s">
        <v>1700</v>
      </c>
      <c r="E257" s="20">
        <v>45590</v>
      </c>
    </row>
    <row r="258" spans="1:5">
      <c r="A258" s="80" t="s">
        <v>1701</v>
      </c>
      <c r="B258" s="81"/>
      <c r="C258" s="19" t="s">
        <v>1288</v>
      </c>
      <c r="D258" s="19" t="s">
        <v>1702</v>
      </c>
      <c r="E258" s="20">
        <v>45590</v>
      </c>
    </row>
    <row r="259" spans="1:5">
      <c r="A259" s="80" t="s">
        <v>1692</v>
      </c>
      <c r="B259" s="81"/>
      <c r="C259" s="19" t="s">
        <v>1288</v>
      </c>
      <c r="D259" s="19" t="s">
        <v>1703</v>
      </c>
      <c r="E259" s="20">
        <v>45590</v>
      </c>
    </row>
    <row r="260" spans="1:5">
      <c r="A260" s="80" t="s">
        <v>1704</v>
      </c>
      <c r="B260" s="81"/>
      <c r="C260" s="19" t="s">
        <v>1288</v>
      </c>
      <c r="D260" s="19" t="s">
        <v>1705</v>
      </c>
      <c r="E260" s="20">
        <v>45590</v>
      </c>
    </row>
    <row r="261" spans="1:5">
      <c r="A261" s="80" t="s">
        <v>1706</v>
      </c>
      <c r="B261" s="81"/>
      <c r="C261" s="19" t="s">
        <v>1288</v>
      </c>
      <c r="D261" s="19" t="s">
        <v>1705</v>
      </c>
      <c r="E261" s="20">
        <v>45590</v>
      </c>
    </row>
    <row r="262" spans="1:5">
      <c r="A262" s="80" t="s">
        <v>1707</v>
      </c>
      <c r="B262" s="81"/>
      <c r="C262" s="19" t="s">
        <v>1288</v>
      </c>
      <c r="D262" s="19" t="s">
        <v>1708</v>
      </c>
      <c r="E262" s="20">
        <v>45590</v>
      </c>
    </row>
    <row r="263" spans="1:5">
      <c r="A263" s="80" t="s">
        <v>1709</v>
      </c>
      <c r="B263" s="81"/>
      <c r="C263" s="19" t="s">
        <v>1288</v>
      </c>
      <c r="D263" s="19" t="s">
        <v>1710</v>
      </c>
      <c r="E263" s="20">
        <v>45590</v>
      </c>
    </row>
    <row r="264" spans="1:5">
      <c r="A264" s="80" t="s">
        <v>1692</v>
      </c>
      <c r="B264" s="81"/>
      <c r="C264" s="19" t="s">
        <v>1288</v>
      </c>
      <c r="D264" s="19" t="s">
        <v>1711</v>
      </c>
      <c r="E264" s="20">
        <v>45590</v>
      </c>
    </row>
    <row r="265" spans="1:5">
      <c r="A265" s="80" t="s">
        <v>1712</v>
      </c>
      <c r="B265" s="81"/>
      <c r="C265" s="19" t="s">
        <v>1288</v>
      </c>
      <c r="D265" s="19" t="s">
        <v>1713</v>
      </c>
      <c r="E265" s="20">
        <v>45590</v>
      </c>
    </row>
    <row r="266" spans="1:5">
      <c r="A266" s="80" t="s">
        <v>1714</v>
      </c>
      <c r="B266" s="81"/>
      <c r="C266" s="19" t="s">
        <v>1295</v>
      </c>
      <c r="D266" s="19" t="s">
        <v>1715</v>
      </c>
      <c r="E266" s="20">
        <v>45590</v>
      </c>
    </row>
    <row r="267" spans="1:5">
      <c r="A267" s="80" t="s">
        <v>1716</v>
      </c>
      <c r="B267" s="81"/>
      <c r="C267" s="19" t="s">
        <v>1295</v>
      </c>
      <c r="D267" s="19" t="s">
        <v>1717</v>
      </c>
      <c r="E267" s="20">
        <v>45590</v>
      </c>
    </row>
    <row r="268" spans="1:5">
      <c r="A268" s="80" t="s">
        <v>1718</v>
      </c>
      <c r="B268" s="81"/>
      <c r="C268" s="19" t="s">
        <v>1295</v>
      </c>
      <c r="D268" s="19" t="s">
        <v>1719</v>
      </c>
      <c r="E268" s="20">
        <v>45590</v>
      </c>
    </row>
    <row r="269" spans="1:5">
      <c r="A269" s="80" t="s">
        <v>1720</v>
      </c>
      <c r="B269" s="81"/>
      <c r="C269" s="19" t="s">
        <v>1295</v>
      </c>
      <c r="D269" s="19" t="s">
        <v>1721</v>
      </c>
      <c r="E269" s="20">
        <v>45590</v>
      </c>
    </row>
    <row r="270" spans="1:5">
      <c r="A270" s="80" t="s">
        <v>1722</v>
      </c>
      <c r="B270" s="81"/>
      <c r="C270" s="19" t="s">
        <v>1295</v>
      </c>
      <c r="D270" s="19" t="s">
        <v>1723</v>
      </c>
      <c r="E270" s="20">
        <v>45590</v>
      </c>
    </row>
    <row r="271" spans="1:5">
      <c r="A271" s="80" t="s">
        <v>1724</v>
      </c>
      <c r="B271" s="81"/>
      <c r="C271" s="19" t="s">
        <v>1295</v>
      </c>
      <c r="D271" s="19" t="s">
        <v>1725</v>
      </c>
      <c r="E271" s="20">
        <v>45590</v>
      </c>
    </row>
    <row r="272" spans="1:5">
      <c r="A272" s="80" t="s">
        <v>1726</v>
      </c>
      <c r="B272" s="81"/>
      <c r="C272" s="19" t="s">
        <v>1295</v>
      </c>
      <c r="D272" s="19" t="s">
        <v>1511</v>
      </c>
      <c r="E272" s="20">
        <v>45590</v>
      </c>
    </row>
    <row r="273" spans="1:5">
      <c r="A273" s="80" t="s">
        <v>1727</v>
      </c>
      <c r="B273" s="81"/>
      <c r="C273" s="19" t="s">
        <v>1295</v>
      </c>
      <c r="D273" s="19" t="s">
        <v>1728</v>
      </c>
      <c r="E273" s="20">
        <v>45590</v>
      </c>
    </row>
    <row r="274" spans="1:5">
      <c r="A274" s="80" t="s">
        <v>1729</v>
      </c>
      <c r="B274" s="81"/>
      <c r="C274" s="19" t="s">
        <v>1295</v>
      </c>
      <c r="D274" s="19" t="s">
        <v>1730</v>
      </c>
      <c r="E274" s="20">
        <v>45590</v>
      </c>
    </row>
    <row r="275" spans="1:5">
      <c r="A275" s="80" t="s">
        <v>1731</v>
      </c>
      <c r="B275" s="81"/>
      <c r="C275" s="19" t="s">
        <v>1295</v>
      </c>
      <c r="D275" s="19" t="s">
        <v>1732</v>
      </c>
      <c r="E275" s="20">
        <v>45590</v>
      </c>
    </row>
    <row r="276" spans="1:5">
      <c r="A276" s="80" t="s">
        <v>1733</v>
      </c>
      <c r="B276" s="81"/>
      <c r="C276" s="19" t="s">
        <v>1295</v>
      </c>
      <c r="D276" s="19" t="s">
        <v>1734</v>
      </c>
      <c r="E276" s="20">
        <v>45590</v>
      </c>
    </row>
    <row r="277" spans="1:5">
      <c r="A277" s="80" t="s">
        <v>1735</v>
      </c>
      <c r="B277" s="81"/>
      <c r="C277" s="19" t="s">
        <v>1295</v>
      </c>
      <c r="D277" s="19" t="s">
        <v>1734</v>
      </c>
      <c r="E277" s="20">
        <v>45590</v>
      </c>
    </row>
    <row r="278" spans="1:5">
      <c r="A278" s="80" t="s">
        <v>1736</v>
      </c>
      <c r="B278" s="81"/>
      <c r="C278" s="19" t="s">
        <v>1295</v>
      </c>
      <c r="D278" s="19" t="s">
        <v>1737</v>
      </c>
      <c r="E278" s="20">
        <v>45590</v>
      </c>
    </row>
    <row r="279" spans="1:5">
      <c r="A279" s="80" t="s">
        <v>1738</v>
      </c>
      <c r="B279" s="81"/>
      <c r="C279" s="19" t="s">
        <v>1288</v>
      </c>
      <c r="D279" s="19" t="s">
        <v>1739</v>
      </c>
      <c r="E279" s="20">
        <v>45590</v>
      </c>
    </row>
    <row r="280" spans="1:5">
      <c r="A280" s="80" t="s">
        <v>1740</v>
      </c>
      <c r="B280" s="81"/>
      <c r="C280" s="19" t="s">
        <v>1288</v>
      </c>
      <c r="D280" s="19" t="s">
        <v>1741</v>
      </c>
      <c r="E280" s="20">
        <v>45590</v>
      </c>
    </row>
    <row r="281" spans="1:5">
      <c r="A281" s="80" t="s">
        <v>1742</v>
      </c>
      <c r="B281" s="81"/>
      <c r="C281" s="19" t="s">
        <v>1288</v>
      </c>
      <c r="D281" s="19" t="s">
        <v>1743</v>
      </c>
      <c r="E281" s="20">
        <v>45590</v>
      </c>
    </row>
    <row r="282" spans="1:5">
      <c r="A282" s="80" t="s">
        <v>1744</v>
      </c>
      <c r="B282" s="81"/>
      <c r="C282" s="19" t="s">
        <v>1288</v>
      </c>
      <c r="D282" s="19" t="s">
        <v>1745</v>
      </c>
      <c r="E282" s="20">
        <v>45590</v>
      </c>
    </row>
    <row r="283" spans="1:5">
      <c r="A283" s="80" t="s">
        <v>1746</v>
      </c>
      <c r="B283" s="81"/>
      <c r="C283" s="19" t="s">
        <v>1288</v>
      </c>
      <c r="D283" s="19" t="s">
        <v>1747</v>
      </c>
      <c r="E283" s="20">
        <v>45590</v>
      </c>
    </row>
    <row r="284" spans="1:5">
      <c r="A284" s="80" t="s">
        <v>1748</v>
      </c>
      <c r="B284" s="81"/>
      <c r="C284" s="19" t="s">
        <v>1288</v>
      </c>
      <c r="D284" s="19" t="s">
        <v>1509</v>
      </c>
      <c r="E284" s="20">
        <v>45590</v>
      </c>
    </row>
    <row r="285" spans="1:5">
      <c r="A285" s="80" t="s">
        <v>1749</v>
      </c>
      <c r="B285" s="81"/>
      <c r="C285" s="19" t="s">
        <v>1288</v>
      </c>
      <c r="D285" s="19" t="s">
        <v>1509</v>
      </c>
      <c r="E285" s="20">
        <v>45590</v>
      </c>
    </row>
    <row r="286" spans="1:5">
      <c r="A286" s="80" t="s">
        <v>1750</v>
      </c>
      <c r="B286" s="81"/>
      <c r="C286" s="19" t="s">
        <v>1288</v>
      </c>
      <c r="D286" s="19" t="s">
        <v>1751</v>
      </c>
      <c r="E286" s="20">
        <v>45590</v>
      </c>
    </row>
    <row r="287" spans="1:5">
      <c r="A287" s="80" t="s">
        <v>1292</v>
      </c>
      <c r="B287" s="81"/>
      <c r="C287" s="19" t="s">
        <v>1288</v>
      </c>
      <c r="D287" s="19" t="s">
        <v>1293</v>
      </c>
      <c r="E287" s="20">
        <v>45590</v>
      </c>
    </row>
    <row r="288" spans="1:5">
      <c r="A288" s="80" t="s">
        <v>1752</v>
      </c>
      <c r="B288" s="81"/>
      <c r="C288" s="19" t="s">
        <v>1288</v>
      </c>
      <c r="D288" s="19" t="s">
        <v>1753</v>
      </c>
      <c r="E288" s="20">
        <v>45590</v>
      </c>
    </row>
    <row r="289" spans="1:5">
      <c r="A289" s="80" t="s">
        <v>1754</v>
      </c>
      <c r="B289" s="81"/>
      <c r="C289" s="19" t="s">
        <v>1288</v>
      </c>
      <c r="D289" s="19" t="s">
        <v>1755</v>
      </c>
      <c r="E289" s="20">
        <v>45590</v>
      </c>
    </row>
    <row r="290" spans="1:5">
      <c r="A290" s="80" t="s">
        <v>1756</v>
      </c>
      <c r="B290" s="81"/>
      <c r="C290" s="19" t="s">
        <v>1288</v>
      </c>
      <c r="D290" s="19" t="s">
        <v>1757</v>
      </c>
      <c r="E290" s="20">
        <v>45590</v>
      </c>
    </row>
    <row r="291" spans="1:5">
      <c r="A291" s="80" t="s">
        <v>1758</v>
      </c>
      <c r="B291" s="81"/>
      <c r="C291" s="19" t="s">
        <v>1288</v>
      </c>
      <c r="D291" s="19" t="s">
        <v>1758</v>
      </c>
      <c r="E291" s="20">
        <v>45590</v>
      </c>
    </row>
    <row r="292" spans="1:5">
      <c r="A292" s="80" t="s">
        <v>1759</v>
      </c>
      <c r="B292" s="81"/>
      <c r="C292" s="19" t="s">
        <v>1288</v>
      </c>
      <c r="D292" s="19" t="s">
        <v>1760</v>
      </c>
      <c r="E292" s="20">
        <v>45590</v>
      </c>
    </row>
    <row r="293" spans="1:5">
      <c r="A293" s="80" t="s">
        <v>1761</v>
      </c>
      <c r="B293" s="81"/>
      <c r="C293" s="19" t="s">
        <v>1288</v>
      </c>
      <c r="D293" s="19" t="s">
        <v>1762</v>
      </c>
      <c r="E293" s="20">
        <v>45590</v>
      </c>
    </row>
    <row r="294" spans="1:5">
      <c r="A294" s="80" t="s">
        <v>1763</v>
      </c>
      <c r="B294" s="81"/>
      <c r="C294" s="19" t="s">
        <v>1288</v>
      </c>
      <c r="D294" s="19" t="s">
        <v>1764</v>
      </c>
      <c r="E294" s="20">
        <v>45590</v>
      </c>
    </row>
    <row r="295" spans="1:5">
      <c r="A295" s="80" t="s">
        <v>1765</v>
      </c>
      <c r="B295" s="81"/>
      <c r="C295" s="19" t="s">
        <v>1288</v>
      </c>
      <c r="D295" s="19" t="s">
        <v>1766</v>
      </c>
      <c r="E295" s="20">
        <v>45590</v>
      </c>
    </row>
    <row r="296" spans="1:5">
      <c r="A296" s="80" t="s">
        <v>1767</v>
      </c>
      <c r="B296" s="81"/>
      <c r="C296" s="19" t="s">
        <v>1288</v>
      </c>
      <c r="D296" s="19" t="s">
        <v>402</v>
      </c>
      <c r="E296" s="20">
        <v>45590</v>
      </c>
    </row>
    <row r="297" spans="1:5">
      <c r="A297" s="80" t="s">
        <v>1768</v>
      </c>
      <c r="B297" s="81"/>
      <c r="C297" s="19" t="s">
        <v>1288</v>
      </c>
      <c r="D297" s="19" t="s">
        <v>1769</v>
      </c>
      <c r="E297" s="20">
        <v>45590</v>
      </c>
    </row>
    <row r="298" spans="1:5">
      <c r="A298" s="80" t="s">
        <v>1768</v>
      </c>
      <c r="B298" s="81"/>
      <c r="C298" s="19" t="s">
        <v>1288</v>
      </c>
      <c r="D298" s="19" t="s">
        <v>1769</v>
      </c>
      <c r="E298" s="20">
        <v>45590</v>
      </c>
    </row>
    <row r="299" spans="1:5">
      <c r="A299" s="80" t="s">
        <v>1770</v>
      </c>
      <c r="B299" s="81"/>
      <c r="C299" s="19" t="s">
        <v>1288</v>
      </c>
      <c r="D299" s="19" t="s">
        <v>1771</v>
      </c>
      <c r="E299" s="20">
        <v>45590</v>
      </c>
    </row>
    <row r="300" spans="1:5">
      <c r="A300" s="80" t="s">
        <v>1772</v>
      </c>
      <c r="B300" s="81"/>
      <c r="C300" s="19" t="s">
        <v>1288</v>
      </c>
      <c r="D300" s="19" t="s">
        <v>1773</v>
      </c>
      <c r="E300" s="20">
        <v>45590</v>
      </c>
    </row>
    <row r="301" spans="1:5">
      <c r="A301" s="80" t="s">
        <v>1774</v>
      </c>
      <c r="B301" s="81"/>
      <c r="C301" s="19" t="s">
        <v>1295</v>
      </c>
      <c r="D301" s="19" t="s">
        <v>1775</v>
      </c>
      <c r="E301" s="20">
        <v>45590</v>
      </c>
    </row>
    <row r="302" spans="1:5">
      <c r="A302" s="80" t="s">
        <v>1776</v>
      </c>
      <c r="B302" s="81"/>
      <c r="C302" s="19" t="s">
        <v>1295</v>
      </c>
      <c r="D302" s="19" t="s">
        <v>1777</v>
      </c>
      <c r="E302" s="20">
        <v>45590</v>
      </c>
    </row>
    <row r="303" spans="1:5">
      <c r="A303" s="80" t="s">
        <v>1778</v>
      </c>
      <c r="B303" s="81"/>
      <c r="C303" s="19" t="s">
        <v>1295</v>
      </c>
      <c r="D303" s="19" t="s">
        <v>1779</v>
      </c>
      <c r="E303" s="20">
        <v>45590</v>
      </c>
    </row>
    <row r="304" spans="1:5">
      <c r="A304" s="80" t="s">
        <v>1780</v>
      </c>
      <c r="B304" s="81"/>
      <c r="C304" s="19" t="s">
        <v>1295</v>
      </c>
      <c r="D304" s="19" t="s">
        <v>1781</v>
      </c>
      <c r="E304" s="20">
        <v>45590</v>
      </c>
    </row>
    <row r="305" spans="1:5">
      <c r="A305" s="80" t="s">
        <v>1782</v>
      </c>
      <c r="B305" s="81"/>
      <c r="C305" s="19" t="s">
        <v>1415</v>
      </c>
      <c r="D305" s="19" t="s">
        <v>1782</v>
      </c>
      <c r="E305" s="20">
        <v>45590</v>
      </c>
    </row>
    <row r="306" spans="1:5">
      <c r="A306" s="80" t="s">
        <v>1783</v>
      </c>
      <c r="B306" s="81"/>
      <c r="C306" s="19" t="s">
        <v>1415</v>
      </c>
      <c r="D306" s="19" t="s">
        <v>1784</v>
      </c>
      <c r="E306" s="20">
        <v>45590</v>
      </c>
    </row>
    <row r="307" spans="1:5">
      <c r="A307" s="80" t="s">
        <v>1785</v>
      </c>
      <c r="B307" s="81"/>
      <c r="C307" s="19" t="s">
        <v>1415</v>
      </c>
      <c r="D307" s="19" t="s">
        <v>1786</v>
      </c>
      <c r="E307" s="20">
        <v>45590</v>
      </c>
    </row>
    <row r="308" spans="1:5">
      <c r="A308" s="80" t="s">
        <v>1787</v>
      </c>
      <c r="B308" s="81"/>
      <c r="C308" s="19" t="s">
        <v>1415</v>
      </c>
      <c r="D308" s="19" t="s">
        <v>1788</v>
      </c>
      <c r="E308" s="20">
        <v>45590</v>
      </c>
    </row>
    <row r="309" spans="1:5">
      <c r="A309" s="80" t="s">
        <v>1789</v>
      </c>
      <c r="B309" s="81"/>
      <c r="C309" s="19" t="s">
        <v>1415</v>
      </c>
      <c r="D309" s="19" t="s">
        <v>1790</v>
      </c>
      <c r="E309" s="20">
        <v>45590</v>
      </c>
    </row>
    <row r="310" spans="1:5">
      <c r="A310" s="80" t="s">
        <v>1791</v>
      </c>
      <c r="B310" s="81"/>
      <c r="C310" s="19" t="s">
        <v>1415</v>
      </c>
      <c r="D310" s="19" t="s">
        <v>1792</v>
      </c>
      <c r="E310" s="20">
        <v>45590</v>
      </c>
    </row>
    <row r="311" spans="1:5">
      <c r="A311" s="80" t="s">
        <v>1793</v>
      </c>
      <c r="B311" s="81"/>
      <c r="C311" s="19" t="s">
        <v>1415</v>
      </c>
      <c r="D311" s="19" t="s">
        <v>1794</v>
      </c>
      <c r="E311" s="20">
        <v>45590</v>
      </c>
    </row>
    <row r="312" spans="1:5">
      <c r="A312" s="80" t="s">
        <v>1795</v>
      </c>
      <c r="B312" s="81"/>
      <c r="C312" s="19" t="s">
        <v>1415</v>
      </c>
      <c r="D312" s="19" t="s">
        <v>1795</v>
      </c>
      <c r="E312" s="20">
        <v>45590</v>
      </c>
    </row>
    <row r="313" spans="1:5">
      <c r="A313" s="80" t="s">
        <v>1796</v>
      </c>
      <c r="B313" s="81"/>
      <c r="C313" s="19" t="s">
        <v>1415</v>
      </c>
      <c r="D313" s="19" t="s">
        <v>1797</v>
      </c>
      <c r="E313" s="20">
        <v>45590</v>
      </c>
    </row>
    <row r="314" spans="1:5">
      <c r="A314" s="80" t="s">
        <v>1798</v>
      </c>
      <c r="B314" s="81"/>
      <c r="C314" s="19" t="s">
        <v>1415</v>
      </c>
      <c r="D314" s="19" t="s">
        <v>1193</v>
      </c>
      <c r="E314" s="20">
        <v>45590</v>
      </c>
    </row>
    <row r="315" spans="1:5">
      <c r="A315" s="80" t="s">
        <v>1799</v>
      </c>
      <c r="B315" s="81"/>
      <c r="C315" s="19" t="s">
        <v>1415</v>
      </c>
      <c r="D315" s="19" t="s">
        <v>1799</v>
      </c>
      <c r="E315" s="20">
        <v>45590</v>
      </c>
    </row>
    <row r="316" spans="1:5">
      <c r="A316" s="80" t="s">
        <v>1800</v>
      </c>
      <c r="B316" s="81"/>
      <c r="C316" s="19" t="s">
        <v>1415</v>
      </c>
      <c r="D316" s="19" t="s">
        <v>1800</v>
      </c>
      <c r="E316" s="20">
        <v>45590</v>
      </c>
    </row>
    <row r="317" spans="1:5">
      <c r="A317" s="80" t="s">
        <v>1801</v>
      </c>
      <c r="B317" s="81"/>
      <c r="C317" s="19" t="s">
        <v>1415</v>
      </c>
      <c r="D317" s="19" t="s">
        <v>1801</v>
      </c>
      <c r="E317" s="20">
        <v>45590</v>
      </c>
    </row>
    <row r="318" spans="1:5">
      <c r="A318" s="80" t="s">
        <v>1802</v>
      </c>
      <c r="B318" s="81"/>
      <c r="C318" s="19" t="s">
        <v>1415</v>
      </c>
      <c r="D318" s="19" t="s">
        <v>1803</v>
      </c>
      <c r="E318" s="20">
        <v>45590</v>
      </c>
    </row>
    <row r="319" spans="1:5">
      <c r="A319" s="80" t="s">
        <v>1804</v>
      </c>
      <c r="B319" s="81"/>
      <c r="C319" s="19" t="s">
        <v>1415</v>
      </c>
      <c r="D319" s="19" t="s">
        <v>1805</v>
      </c>
      <c r="E319" s="20">
        <v>45590</v>
      </c>
    </row>
    <row r="320" spans="1:5">
      <c r="A320" s="80" t="s">
        <v>1806</v>
      </c>
      <c r="B320" s="81"/>
      <c r="C320" s="19" t="s">
        <v>1415</v>
      </c>
      <c r="D320" s="19" t="s">
        <v>1806</v>
      </c>
      <c r="E320" s="20">
        <v>45590</v>
      </c>
    </row>
    <row r="321" spans="1:5">
      <c r="A321" s="80" t="s">
        <v>1807</v>
      </c>
      <c r="B321" s="81"/>
      <c r="C321" s="19" t="s">
        <v>1415</v>
      </c>
      <c r="D321" s="19" t="s">
        <v>1807</v>
      </c>
      <c r="E321" s="20">
        <v>45590</v>
      </c>
    </row>
    <row r="322" spans="1:5">
      <c r="A322" s="80" t="s">
        <v>1808</v>
      </c>
      <c r="B322" s="81"/>
      <c r="C322" s="19" t="s">
        <v>1415</v>
      </c>
      <c r="D322" s="19" t="s">
        <v>1808</v>
      </c>
      <c r="E322" s="20">
        <v>45590</v>
      </c>
    </row>
    <row r="323" spans="1:5">
      <c r="A323" s="80" t="s">
        <v>1809</v>
      </c>
      <c r="B323" s="81"/>
      <c r="C323" s="19" t="s">
        <v>1415</v>
      </c>
      <c r="D323" s="19" t="s">
        <v>1809</v>
      </c>
      <c r="E323" s="20">
        <v>45590</v>
      </c>
    </row>
    <row r="324" spans="1:5">
      <c r="A324" s="80" t="s">
        <v>1810</v>
      </c>
      <c r="B324" s="81"/>
      <c r="C324" s="19" t="s">
        <v>1415</v>
      </c>
      <c r="D324" s="19" t="s">
        <v>1810</v>
      </c>
      <c r="E324" s="20">
        <v>45590</v>
      </c>
    </row>
    <row r="325" spans="1:5">
      <c r="A325" s="80" t="s">
        <v>1811</v>
      </c>
      <c r="B325" s="81"/>
      <c r="C325" s="19" t="s">
        <v>1415</v>
      </c>
      <c r="D325" s="19" t="s">
        <v>1812</v>
      </c>
      <c r="E325" s="20">
        <v>45590</v>
      </c>
    </row>
    <row r="326" spans="1:5">
      <c r="A326" s="80" t="s">
        <v>1813</v>
      </c>
      <c r="B326" s="81"/>
      <c r="C326" s="19" t="s">
        <v>1415</v>
      </c>
      <c r="D326" s="19" t="s">
        <v>1814</v>
      </c>
      <c r="E326" s="20">
        <v>45590</v>
      </c>
    </row>
    <row r="327" spans="1:5">
      <c r="A327" s="80" t="s">
        <v>1815</v>
      </c>
      <c r="B327" s="81"/>
      <c r="C327" s="19" t="s">
        <v>1415</v>
      </c>
      <c r="D327" s="19" t="s">
        <v>1815</v>
      </c>
      <c r="E327" s="20">
        <v>45590</v>
      </c>
    </row>
    <row r="328" spans="1:5">
      <c r="A328" s="80" t="s">
        <v>1816</v>
      </c>
      <c r="B328" s="81"/>
      <c r="C328" s="19" t="s">
        <v>1415</v>
      </c>
      <c r="D328" s="19" t="s">
        <v>1816</v>
      </c>
      <c r="E328" s="20">
        <v>45590</v>
      </c>
    </row>
    <row r="329" spans="1:5">
      <c r="A329" s="80" t="s">
        <v>1817</v>
      </c>
      <c r="B329" s="81"/>
      <c r="C329" s="19" t="s">
        <v>1415</v>
      </c>
      <c r="D329" s="19" t="s">
        <v>1817</v>
      </c>
      <c r="E329" s="20">
        <v>45590</v>
      </c>
    </row>
    <row r="330" spans="1:5">
      <c r="A330" s="80" t="s">
        <v>1818</v>
      </c>
      <c r="B330" s="81"/>
      <c r="C330" s="19" t="s">
        <v>1415</v>
      </c>
      <c r="D330" s="19" t="s">
        <v>1818</v>
      </c>
      <c r="E330" s="20">
        <v>45590</v>
      </c>
    </row>
    <row r="331" spans="1:5">
      <c r="A331" s="80" t="s">
        <v>1819</v>
      </c>
      <c r="B331" s="81"/>
      <c r="C331" s="19" t="s">
        <v>1415</v>
      </c>
      <c r="D331" s="19" t="s">
        <v>1819</v>
      </c>
      <c r="E331" s="20">
        <v>45590</v>
      </c>
    </row>
    <row r="332" spans="1:5">
      <c r="A332" s="80" t="s">
        <v>1820</v>
      </c>
      <c r="B332" s="81"/>
      <c r="C332" s="19" t="s">
        <v>1415</v>
      </c>
      <c r="D332" s="19" t="s">
        <v>1820</v>
      </c>
      <c r="E332" s="20">
        <v>45590</v>
      </c>
    </row>
    <row r="333" spans="1:5">
      <c r="A333" s="80" t="s">
        <v>1821</v>
      </c>
      <c r="B333" s="81"/>
      <c r="C333" s="19" t="s">
        <v>1415</v>
      </c>
      <c r="D333" s="19" t="s">
        <v>1822</v>
      </c>
      <c r="E333" s="20">
        <v>45590</v>
      </c>
    </row>
    <row r="334" spans="1:5">
      <c r="A334" s="80" t="s">
        <v>1823</v>
      </c>
      <c r="B334" s="81"/>
      <c r="C334" s="19" t="s">
        <v>1415</v>
      </c>
      <c r="D334" s="19" t="s">
        <v>1823</v>
      </c>
      <c r="E334" s="20">
        <v>45590</v>
      </c>
    </row>
    <row r="335" spans="1:5">
      <c r="A335" s="80" t="s">
        <v>1824</v>
      </c>
      <c r="B335" s="81"/>
      <c r="C335" s="19" t="s">
        <v>1415</v>
      </c>
      <c r="D335" s="19" t="s">
        <v>1824</v>
      </c>
      <c r="E335" s="20">
        <v>45590</v>
      </c>
    </row>
    <row r="336" spans="1:5">
      <c r="A336" s="80" t="s">
        <v>1825</v>
      </c>
      <c r="B336" s="81"/>
      <c r="C336" s="19" t="s">
        <v>1415</v>
      </c>
      <c r="D336" s="19" t="s">
        <v>1825</v>
      </c>
      <c r="E336" s="20">
        <v>45590</v>
      </c>
    </row>
    <row r="337" spans="1:5">
      <c r="A337" s="80" t="s">
        <v>1826</v>
      </c>
      <c r="B337" s="81"/>
      <c r="C337" s="19" t="s">
        <v>1415</v>
      </c>
      <c r="D337" s="19" t="s">
        <v>1826</v>
      </c>
      <c r="E337" s="20">
        <v>45590</v>
      </c>
    </row>
    <row r="338" spans="1:5">
      <c r="A338" s="80" t="s">
        <v>1827</v>
      </c>
      <c r="B338" s="81"/>
      <c r="C338" s="19" t="s">
        <v>1415</v>
      </c>
      <c r="D338" s="19" t="s">
        <v>1828</v>
      </c>
      <c r="E338" s="20">
        <v>45590</v>
      </c>
    </row>
    <row r="339" spans="1:5">
      <c r="A339" s="80" t="s">
        <v>1829</v>
      </c>
      <c r="B339" s="81"/>
      <c r="C339" s="19" t="s">
        <v>1415</v>
      </c>
      <c r="D339" s="19" t="s">
        <v>1829</v>
      </c>
      <c r="E339" s="20">
        <v>45590</v>
      </c>
    </row>
    <row r="340" spans="1:5">
      <c r="A340" s="80" t="s">
        <v>1830</v>
      </c>
      <c r="B340" s="81"/>
      <c r="C340" s="19" t="s">
        <v>1415</v>
      </c>
      <c r="D340" s="19" t="s">
        <v>1831</v>
      </c>
      <c r="E340" s="20">
        <v>45590</v>
      </c>
    </row>
    <row r="341" spans="1:5">
      <c r="A341" s="80" t="s">
        <v>1832</v>
      </c>
      <c r="B341" s="81"/>
      <c r="C341" s="19" t="s">
        <v>1415</v>
      </c>
      <c r="D341" s="19" t="s">
        <v>1833</v>
      </c>
      <c r="E341" s="20">
        <v>45590</v>
      </c>
    </row>
    <row r="342" spans="1:5">
      <c r="A342" s="80" t="s">
        <v>1834</v>
      </c>
      <c r="B342" s="81"/>
      <c r="C342" s="19" t="s">
        <v>1415</v>
      </c>
      <c r="D342" s="19" t="s">
        <v>1834</v>
      </c>
      <c r="E342" s="20">
        <v>45590</v>
      </c>
    </row>
    <row r="343" spans="1:5">
      <c r="A343" s="80" t="s">
        <v>1835</v>
      </c>
      <c r="B343" s="81"/>
      <c r="C343" s="19" t="s">
        <v>1415</v>
      </c>
      <c r="D343" s="19" t="s">
        <v>1835</v>
      </c>
      <c r="E343" s="20">
        <v>45590</v>
      </c>
    </row>
    <row r="344" spans="1:5">
      <c r="A344" s="80" t="s">
        <v>1836</v>
      </c>
      <c r="B344" s="81"/>
      <c r="C344" s="19" t="s">
        <v>1415</v>
      </c>
      <c r="D344" s="19" t="s">
        <v>1837</v>
      </c>
      <c r="E344" s="20">
        <v>45590</v>
      </c>
    </row>
    <row r="345" spans="1:5">
      <c r="A345" s="80" t="s">
        <v>1838</v>
      </c>
      <c r="B345" s="81"/>
      <c r="C345" s="19" t="s">
        <v>1415</v>
      </c>
      <c r="D345" s="19" t="s">
        <v>1839</v>
      </c>
      <c r="E345" s="20">
        <v>45590</v>
      </c>
    </row>
    <row r="346" spans="1:5">
      <c r="A346" s="80" t="s">
        <v>1840</v>
      </c>
      <c r="B346" s="81"/>
      <c r="C346" s="19" t="s">
        <v>1415</v>
      </c>
      <c r="D346" s="19" t="s">
        <v>1841</v>
      </c>
      <c r="E346" s="20">
        <v>45590</v>
      </c>
    </row>
    <row r="347" spans="1:5">
      <c r="A347" s="80" t="s">
        <v>1842</v>
      </c>
      <c r="B347" s="81"/>
      <c r="C347" s="19" t="s">
        <v>1415</v>
      </c>
      <c r="D347" s="19" t="s">
        <v>1842</v>
      </c>
      <c r="E347" s="20">
        <v>45590</v>
      </c>
    </row>
    <row r="348" spans="1:5">
      <c r="A348" s="80" t="s">
        <v>1843</v>
      </c>
      <c r="B348" s="81"/>
      <c r="C348" s="19" t="s">
        <v>1415</v>
      </c>
      <c r="D348" s="19" t="s">
        <v>1843</v>
      </c>
      <c r="E348" s="20">
        <v>45590</v>
      </c>
    </row>
    <row r="349" spans="1:5">
      <c r="A349" s="80" t="s">
        <v>1844</v>
      </c>
      <c r="B349" s="81"/>
      <c r="C349" s="19" t="s">
        <v>1415</v>
      </c>
      <c r="D349" s="19" t="s">
        <v>1844</v>
      </c>
      <c r="E349" s="20">
        <v>45590</v>
      </c>
    </row>
    <row r="350" spans="1:5">
      <c r="A350" s="80" t="s">
        <v>1845</v>
      </c>
      <c r="B350" s="81"/>
      <c r="C350" s="19" t="s">
        <v>1415</v>
      </c>
      <c r="D350" s="19" t="s">
        <v>1845</v>
      </c>
      <c r="E350" s="20">
        <v>45590</v>
      </c>
    </row>
    <row r="351" spans="1:5">
      <c r="A351" s="80" t="s">
        <v>1846</v>
      </c>
      <c r="B351" s="81"/>
      <c r="C351" s="19" t="s">
        <v>1415</v>
      </c>
      <c r="D351" s="19" t="s">
        <v>1846</v>
      </c>
      <c r="E351" s="20">
        <v>45590</v>
      </c>
    </row>
    <row r="352" spans="1:5">
      <c r="A352" s="80" t="s">
        <v>1847</v>
      </c>
      <c r="B352" s="81"/>
      <c r="C352" s="19" t="s">
        <v>1415</v>
      </c>
      <c r="D352" s="19" t="s">
        <v>1847</v>
      </c>
      <c r="E352" s="20">
        <v>45590</v>
      </c>
    </row>
    <row r="353" spans="1:5">
      <c r="A353" s="80" t="s">
        <v>1848</v>
      </c>
      <c r="B353" s="81"/>
      <c r="C353" s="19" t="s">
        <v>1415</v>
      </c>
      <c r="D353" s="19" t="s">
        <v>1849</v>
      </c>
      <c r="E353" s="20">
        <v>45590</v>
      </c>
    </row>
    <row r="354" spans="1:5">
      <c r="A354" s="80" t="s">
        <v>1850</v>
      </c>
      <c r="B354" s="81"/>
      <c r="C354" s="19" t="s">
        <v>1415</v>
      </c>
      <c r="D354" s="19" t="s">
        <v>1851</v>
      </c>
      <c r="E354" s="20">
        <v>45590</v>
      </c>
    </row>
    <row r="355" spans="1:5">
      <c r="A355" s="80" t="s">
        <v>1852</v>
      </c>
      <c r="B355" s="81"/>
      <c r="C355" s="19" t="s">
        <v>1415</v>
      </c>
      <c r="D355" s="19" t="s">
        <v>1852</v>
      </c>
      <c r="E355" s="20">
        <v>45590</v>
      </c>
    </row>
    <row r="356" spans="1:5">
      <c r="A356" s="80" t="s">
        <v>1853</v>
      </c>
      <c r="B356" s="81"/>
      <c r="C356" s="19" t="s">
        <v>1415</v>
      </c>
      <c r="D356" s="19" t="s">
        <v>1854</v>
      </c>
      <c r="E356" s="20">
        <v>45590</v>
      </c>
    </row>
    <row r="357" spans="1:5">
      <c r="A357" s="80" t="s">
        <v>1855</v>
      </c>
      <c r="B357" s="81"/>
      <c r="C357" s="19" t="s">
        <v>1415</v>
      </c>
      <c r="D357" s="19" t="s">
        <v>1855</v>
      </c>
      <c r="E357" s="20">
        <v>45590</v>
      </c>
    </row>
    <row r="358" spans="1:5">
      <c r="A358" s="80" t="s">
        <v>1856</v>
      </c>
      <c r="B358" s="81"/>
      <c r="C358" s="19" t="s">
        <v>1415</v>
      </c>
      <c r="D358" s="19" t="s">
        <v>1857</v>
      </c>
      <c r="E358" s="20">
        <v>45590</v>
      </c>
    </row>
    <row r="359" spans="1:5">
      <c r="A359" s="80" t="s">
        <v>1858</v>
      </c>
      <c r="B359" s="81"/>
      <c r="C359" s="19" t="s">
        <v>1415</v>
      </c>
      <c r="D359" s="19" t="s">
        <v>1859</v>
      </c>
      <c r="E359" s="20">
        <v>45590</v>
      </c>
    </row>
    <row r="360" spans="1:5">
      <c r="A360" s="80" t="s">
        <v>1860</v>
      </c>
      <c r="B360" s="81"/>
      <c r="C360" s="19" t="s">
        <v>1415</v>
      </c>
      <c r="D360" s="19" t="s">
        <v>1860</v>
      </c>
      <c r="E360" s="20">
        <v>45590</v>
      </c>
    </row>
    <row r="361" spans="1:5">
      <c r="A361" s="80" t="s">
        <v>1861</v>
      </c>
      <c r="B361" s="81"/>
      <c r="C361" s="19" t="s">
        <v>1415</v>
      </c>
      <c r="D361" s="19" t="s">
        <v>1861</v>
      </c>
      <c r="E361" s="20">
        <v>45590</v>
      </c>
    </row>
    <row r="362" spans="1:5">
      <c r="A362" s="80" t="s">
        <v>1862</v>
      </c>
      <c r="B362" s="81"/>
      <c r="C362" s="19" t="s">
        <v>1415</v>
      </c>
      <c r="D362" s="19" t="s">
        <v>1862</v>
      </c>
      <c r="E362" s="20">
        <v>45590</v>
      </c>
    </row>
    <row r="363" spans="1:5">
      <c r="A363" s="80" t="s">
        <v>1863</v>
      </c>
      <c r="B363" s="81"/>
      <c r="C363" s="19" t="s">
        <v>1415</v>
      </c>
      <c r="D363" s="19" t="s">
        <v>1863</v>
      </c>
      <c r="E363" s="20">
        <v>45590</v>
      </c>
    </row>
    <row r="364" spans="1:5">
      <c r="A364" s="80" t="s">
        <v>1864</v>
      </c>
      <c r="B364" s="81"/>
      <c r="C364" s="19" t="s">
        <v>1415</v>
      </c>
      <c r="D364" s="19" t="s">
        <v>1865</v>
      </c>
      <c r="E364" s="20">
        <v>45590</v>
      </c>
    </row>
    <row r="365" spans="1:5">
      <c r="A365" s="80" t="s">
        <v>1866</v>
      </c>
      <c r="B365" s="81"/>
      <c r="C365" s="19" t="s">
        <v>1415</v>
      </c>
      <c r="D365" s="19" t="s">
        <v>1866</v>
      </c>
      <c r="E365" s="20">
        <v>45590</v>
      </c>
    </row>
    <row r="366" spans="1:5">
      <c r="A366" s="80" t="s">
        <v>1867</v>
      </c>
      <c r="B366" s="81"/>
      <c r="C366" s="19" t="s">
        <v>1415</v>
      </c>
      <c r="D366" s="19" t="s">
        <v>1867</v>
      </c>
      <c r="E366" s="20">
        <v>45590</v>
      </c>
    </row>
    <row r="367" spans="1:5">
      <c r="A367" s="80" t="s">
        <v>1868</v>
      </c>
      <c r="B367" s="81"/>
      <c r="C367" s="19" t="s">
        <v>1415</v>
      </c>
      <c r="D367" s="19" t="s">
        <v>1868</v>
      </c>
      <c r="E367" s="20">
        <v>45590</v>
      </c>
    </row>
    <row r="368" spans="1:5">
      <c r="A368" s="80" t="s">
        <v>1869</v>
      </c>
      <c r="B368" s="81"/>
      <c r="C368" s="19" t="s">
        <v>1415</v>
      </c>
      <c r="D368" s="19" t="s">
        <v>1869</v>
      </c>
      <c r="E368" s="20">
        <v>45590</v>
      </c>
    </row>
    <row r="369" spans="1:5">
      <c r="A369" s="80" t="s">
        <v>1870</v>
      </c>
      <c r="B369" s="81"/>
      <c r="C369" s="19" t="s">
        <v>1415</v>
      </c>
      <c r="D369" s="19" t="s">
        <v>1870</v>
      </c>
      <c r="E369" s="20">
        <v>45590</v>
      </c>
    </row>
    <row r="370" spans="1:5">
      <c r="A370" s="80" t="s">
        <v>1871</v>
      </c>
      <c r="B370" s="81"/>
      <c r="C370" s="19" t="s">
        <v>1415</v>
      </c>
      <c r="D370" s="19" t="s">
        <v>1871</v>
      </c>
      <c r="E370" s="20">
        <v>45590</v>
      </c>
    </row>
    <row r="371" spans="1:5">
      <c r="A371" s="80" t="s">
        <v>1872</v>
      </c>
      <c r="B371" s="81"/>
      <c r="C371" s="19" t="s">
        <v>1415</v>
      </c>
      <c r="D371" s="19" t="s">
        <v>1873</v>
      </c>
      <c r="E371" s="20">
        <v>45590</v>
      </c>
    </row>
    <row r="372" spans="1:5">
      <c r="A372" s="80" t="s">
        <v>1874</v>
      </c>
      <c r="B372" s="81"/>
      <c r="C372" s="19" t="s">
        <v>1415</v>
      </c>
      <c r="D372" s="19" t="s">
        <v>1874</v>
      </c>
      <c r="E372" s="20">
        <v>45590</v>
      </c>
    </row>
    <row r="373" spans="1:5">
      <c r="A373" s="80" t="s">
        <v>1875</v>
      </c>
      <c r="B373" s="81"/>
      <c r="C373" s="19" t="s">
        <v>1415</v>
      </c>
      <c r="D373" s="19" t="s">
        <v>1876</v>
      </c>
      <c r="E373" s="20">
        <v>45590</v>
      </c>
    </row>
    <row r="374" spans="1:5">
      <c r="A374" s="80" t="s">
        <v>1877</v>
      </c>
      <c r="B374" s="81"/>
      <c r="C374" s="19" t="s">
        <v>1415</v>
      </c>
      <c r="D374" s="19" t="s">
        <v>1878</v>
      </c>
      <c r="E374" s="20">
        <v>45590</v>
      </c>
    </row>
    <row r="375" spans="1:5">
      <c r="A375" s="80" t="s">
        <v>1879</v>
      </c>
      <c r="B375" s="81"/>
      <c r="C375" s="19" t="s">
        <v>1415</v>
      </c>
      <c r="D375" s="19" t="s">
        <v>1879</v>
      </c>
      <c r="E375" s="20">
        <v>45590</v>
      </c>
    </row>
    <row r="376" spans="1:5">
      <c r="A376" s="80" t="s">
        <v>1880</v>
      </c>
      <c r="B376" s="81"/>
      <c r="C376" s="19" t="s">
        <v>1415</v>
      </c>
      <c r="D376" s="19" t="s">
        <v>1880</v>
      </c>
      <c r="E376" s="20">
        <v>45590</v>
      </c>
    </row>
    <row r="377" spans="1:5">
      <c r="A377" s="80" t="s">
        <v>1881</v>
      </c>
      <c r="B377" s="81"/>
      <c r="C377" s="19" t="s">
        <v>1295</v>
      </c>
      <c r="D377" s="19" t="s">
        <v>1882</v>
      </c>
      <c r="E377" s="20">
        <v>45590</v>
      </c>
    </row>
    <row r="378" spans="1:5">
      <c r="A378" s="80" t="s">
        <v>1883</v>
      </c>
      <c r="B378" s="81"/>
      <c r="C378" s="19" t="s">
        <v>1295</v>
      </c>
      <c r="D378" s="19" t="s">
        <v>1884</v>
      </c>
      <c r="E378" s="20">
        <v>45590</v>
      </c>
    </row>
    <row r="379" spans="1:5">
      <c r="A379" s="80" t="s">
        <v>1885</v>
      </c>
      <c r="B379" s="81"/>
      <c r="C379" s="19" t="s">
        <v>1415</v>
      </c>
      <c r="D379" s="19" t="s">
        <v>1886</v>
      </c>
      <c r="E379" s="20">
        <v>45590</v>
      </c>
    </row>
    <row r="380" spans="1:5">
      <c r="A380" s="80" t="s">
        <v>1887</v>
      </c>
      <c r="B380" s="81"/>
      <c r="C380" s="19" t="s">
        <v>1295</v>
      </c>
      <c r="D380" s="19" t="s">
        <v>1888</v>
      </c>
      <c r="E380" s="20">
        <v>45590</v>
      </c>
    </row>
    <row r="381" spans="1:5">
      <c r="A381" s="80" t="s">
        <v>1889</v>
      </c>
      <c r="B381" s="81"/>
      <c r="C381" s="19" t="s">
        <v>1295</v>
      </c>
      <c r="D381" s="19" t="s">
        <v>1888</v>
      </c>
      <c r="E381" s="20">
        <v>45590</v>
      </c>
    </row>
    <row r="382" spans="1:5">
      <c r="A382" s="80" t="s">
        <v>1890</v>
      </c>
      <c r="B382" s="81"/>
      <c r="C382" s="19" t="s">
        <v>1295</v>
      </c>
      <c r="D382" s="19" t="s">
        <v>1891</v>
      </c>
      <c r="E382" s="20">
        <v>45590</v>
      </c>
    </row>
    <row r="383" spans="1:5">
      <c r="A383" s="80" t="s">
        <v>1890</v>
      </c>
      <c r="B383" s="81"/>
      <c r="C383" s="19" t="s">
        <v>1295</v>
      </c>
      <c r="D383" s="19" t="s">
        <v>1892</v>
      </c>
      <c r="E383" s="20">
        <v>45590</v>
      </c>
    </row>
    <row r="384" spans="1:5">
      <c r="A384" s="80" t="s">
        <v>1890</v>
      </c>
      <c r="B384" s="81"/>
      <c r="C384" s="19" t="s">
        <v>1295</v>
      </c>
      <c r="D384" s="19" t="s">
        <v>1893</v>
      </c>
      <c r="E384" s="20">
        <v>45590</v>
      </c>
    </row>
    <row r="385" spans="1:5">
      <c r="A385" s="80" t="s">
        <v>1894</v>
      </c>
      <c r="B385" s="81"/>
      <c r="C385" s="19" t="s">
        <v>1415</v>
      </c>
      <c r="D385" s="19" t="s">
        <v>1895</v>
      </c>
      <c r="E385" s="20">
        <v>45590</v>
      </c>
    </row>
    <row r="386" spans="1:5">
      <c r="A386" s="80" t="s">
        <v>1896</v>
      </c>
      <c r="B386" s="81"/>
      <c r="C386" s="19" t="s">
        <v>1415</v>
      </c>
      <c r="D386" s="19" t="s">
        <v>1897</v>
      </c>
      <c r="E386" s="20">
        <v>45590</v>
      </c>
    </row>
    <row r="387" spans="1:5">
      <c r="A387" s="80" t="s">
        <v>1898</v>
      </c>
      <c r="B387" s="81"/>
      <c r="C387" s="19" t="s">
        <v>1415</v>
      </c>
      <c r="D387" s="19" t="s">
        <v>1899</v>
      </c>
      <c r="E387" s="20">
        <v>45590</v>
      </c>
    </row>
    <row r="388" spans="1:5">
      <c r="A388" s="80" t="s">
        <v>1900</v>
      </c>
      <c r="B388" s="81"/>
      <c r="C388" s="19" t="s">
        <v>1415</v>
      </c>
      <c r="D388" s="19" t="s">
        <v>1900</v>
      </c>
      <c r="E388" s="20">
        <v>45590</v>
      </c>
    </row>
    <row r="389" spans="1:5">
      <c r="A389" s="80" t="s">
        <v>1901</v>
      </c>
      <c r="B389" s="81"/>
      <c r="C389" s="19" t="s">
        <v>1415</v>
      </c>
      <c r="D389" s="19" t="s">
        <v>1902</v>
      </c>
      <c r="E389" s="20">
        <v>45590</v>
      </c>
    </row>
    <row r="390" spans="1:5">
      <c r="A390" s="80" t="s">
        <v>1903</v>
      </c>
      <c r="B390" s="81"/>
      <c r="C390" s="19" t="s">
        <v>1415</v>
      </c>
      <c r="D390" s="19" t="s">
        <v>1904</v>
      </c>
      <c r="E390" s="20">
        <v>45590</v>
      </c>
    </row>
    <row r="391" spans="1:5">
      <c r="A391" s="80" t="s">
        <v>1905</v>
      </c>
      <c r="B391" s="81"/>
      <c r="C391" s="19" t="s">
        <v>1415</v>
      </c>
      <c r="D391" s="19" t="s">
        <v>1906</v>
      </c>
      <c r="E391" s="20">
        <v>45590</v>
      </c>
    </row>
    <row r="392" spans="1:5">
      <c r="A392" s="80" t="s">
        <v>1907</v>
      </c>
      <c r="B392" s="81"/>
      <c r="C392" s="19" t="s">
        <v>1415</v>
      </c>
      <c r="D392" s="19" t="s">
        <v>1908</v>
      </c>
      <c r="E392" s="20">
        <v>45590</v>
      </c>
    </row>
    <row r="393" spans="1:5">
      <c r="A393" s="80" t="s">
        <v>1909</v>
      </c>
      <c r="B393" s="81"/>
      <c r="C393" s="19" t="s">
        <v>1415</v>
      </c>
      <c r="D393" s="19" t="s">
        <v>1910</v>
      </c>
      <c r="E393" s="20">
        <v>45590</v>
      </c>
    </row>
    <row r="394" spans="1:5">
      <c r="A394" s="80" t="s">
        <v>1911</v>
      </c>
      <c r="B394" s="81"/>
      <c r="C394" s="19" t="s">
        <v>1415</v>
      </c>
      <c r="D394" s="19" t="s">
        <v>1912</v>
      </c>
      <c r="E394" s="20">
        <v>45590</v>
      </c>
    </row>
    <row r="395" spans="1:5">
      <c r="A395" s="80" t="s">
        <v>1913</v>
      </c>
      <c r="B395" s="81"/>
      <c r="C395" s="19" t="s">
        <v>1415</v>
      </c>
      <c r="D395" s="19" t="s">
        <v>1913</v>
      </c>
      <c r="E395" s="20">
        <v>45590</v>
      </c>
    </row>
    <row r="396" spans="1:5">
      <c r="A396" s="80" t="s">
        <v>1914</v>
      </c>
      <c r="B396" s="81"/>
      <c r="C396" s="19" t="s">
        <v>1415</v>
      </c>
      <c r="D396" s="19" t="s">
        <v>1914</v>
      </c>
      <c r="E396" s="20">
        <v>45590</v>
      </c>
    </row>
    <row r="397" spans="1:5">
      <c r="A397" s="80" t="s">
        <v>1915</v>
      </c>
      <c r="B397" s="81"/>
      <c r="C397" s="19" t="s">
        <v>1415</v>
      </c>
      <c r="D397" s="19" t="s">
        <v>1916</v>
      </c>
      <c r="E397" s="20">
        <v>45590</v>
      </c>
    </row>
    <row r="398" spans="1:5">
      <c r="A398" s="80" t="s">
        <v>1917</v>
      </c>
      <c r="B398" s="81"/>
      <c r="C398" s="19" t="s">
        <v>1415</v>
      </c>
      <c r="D398" s="19" t="s">
        <v>1918</v>
      </c>
      <c r="E398" s="20">
        <v>45590</v>
      </c>
    </row>
    <row r="399" spans="1:5">
      <c r="A399" s="80" t="s">
        <v>1919</v>
      </c>
      <c r="B399" s="81"/>
      <c r="C399" s="19" t="s">
        <v>1415</v>
      </c>
      <c r="D399" s="19" t="s">
        <v>1920</v>
      </c>
      <c r="E399" s="20">
        <v>45590</v>
      </c>
    </row>
    <row r="400" spans="1:5">
      <c r="A400" s="80" t="s">
        <v>1921</v>
      </c>
      <c r="B400" s="81"/>
      <c r="C400" s="19" t="s">
        <v>1415</v>
      </c>
      <c r="D400" s="19" t="s">
        <v>1922</v>
      </c>
      <c r="E400" s="20">
        <v>45590</v>
      </c>
    </row>
    <row r="401" spans="1:5">
      <c r="A401" s="80" t="s">
        <v>1923</v>
      </c>
      <c r="B401" s="81"/>
      <c r="C401" s="19" t="s">
        <v>1415</v>
      </c>
      <c r="D401" s="19" t="s">
        <v>1924</v>
      </c>
      <c r="E401" s="20">
        <v>45590</v>
      </c>
    </row>
    <row r="402" spans="1:5">
      <c r="A402" s="80" t="s">
        <v>1925</v>
      </c>
      <c r="B402" s="81"/>
      <c r="C402" s="19" t="s">
        <v>1415</v>
      </c>
      <c r="D402" s="19" t="s">
        <v>1926</v>
      </c>
      <c r="E402" s="20">
        <v>45590</v>
      </c>
    </row>
    <row r="403" spans="1:5">
      <c r="A403" s="80" t="s">
        <v>1927</v>
      </c>
      <c r="B403" s="81"/>
      <c r="C403" s="19" t="s">
        <v>1415</v>
      </c>
      <c r="D403" s="19" t="s">
        <v>1927</v>
      </c>
      <c r="E403" s="20">
        <v>45590</v>
      </c>
    </row>
    <row r="404" spans="1:5">
      <c r="A404" s="80" t="s">
        <v>1928</v>
      </c>
      <c r="B404" s="81"/>
      <c r="C404" s="19" t="s">
        <v>1415</v>
      </c>
      <c r="D404" s="19" t="s">
        <v>1929</v>
      </c>
      <c r="E404" s="20">
        <v>45590</v>
      </c>
    </row>
    <row r="405" spans="1:5">
      <c r="A405" s="80" t="s">
        <v>1930</v>
      </c>
      <c r="B405" s="81"/>
      <c r="C405" s="19" t="s">
        <v>1415</v>
      </c>
      <c r="D405" s="19" t="s">
        <v>1931</v>
      </c>
      <c r="E405" s="20">
        <v>45590</v>
      </c>
    </row>
    <row r="406" spans="1:5">
      <c r="A406" s="80" t="s">
        <v>1932</v>
      </c>
      <c r="B406" s="81"/>
      <c r="C406" s="19" t="s">
        <v>1415</v>
      </c>
      <c r="D406" s="19" t="s">
        <v>1933</v>
      </c>
      <c r="E406" s="20">
        <v>45590</v>
      </c>
    </row>
    <row r="407" spans="1:5">
      <c r="A407" s="80" t="s">
        <v>1934</v>
      </c>
      <c r="B407" s="81"/>
      <c r="C407" s="19" t="s">
        <v>1415</v>
      </c>
      <c r="D407" s="19" t="s">
        <v>1934</v>
      </c>
      <c r="E407" s="20">
        <v>45590</v>
      </c>
    </row>
    <row r="408" spans="1:5">
      <c r="A408" s="80" t="s">
        <v>1935</v>
      </c>
      <c r="B408" s="81"/>
      <c r="C408" s="19" t="s">
        <v>1415</v>
      </c>
      <c r="D408" s="19" t="s">
        <v>1936</v>
      </c>
      <c r="E408" s="20">
        <v>45590</v>
      </c>
    </row>
    <row r="409" spans="1:5">
      <c r="A409" s="80" t="s">
        <v>1937</v>
      </c>
      <c r="B409" s="81"/>
      <c r="C409" s="19" t="s">
        <v>1415</v>
      </c>
      <c r="D409" s="19" t="s">
        <v>1937</v>
      </c>
      <c r="E409" s="20">
        <v>45590</v>
      </c>
    </row>
    <row r="410" spans="1:5">
      <c r="A410" s="80" t="s">
        <v>1938</v>
      </c>
      <c r="B410" s="81"/>
      <c r="C410" s="19" t="s">
        <v>1415</v>
      </c>
      <c r="D410" s="19" t="s">
        <v>1938</v>
      </c>
      <c r="E410" s="20">
        <v>45590</v>
      </c>
    </row>
    <row r="411" spans="1:5">
      <c r="A411" s="80" t="s">
        <v>1939</v>
      </c>
      <c r="B411" s="81"/>
      <c r="C411" s="19" t="s">
        <v>1415</v>
      </c>
      <c r="D411" s="19" t="s">
        <v>1939</v>
      </c>
      <c r="E411" s="20">
        <v>45590</v>
      </c>
    </row>
    <row r="412" spans="1:5">
      <c r="A412" s="80" t="s">
        <v>1940</v>
      </c>
      <c r="B412" s="81"/>
      <c r="C412" s="19" t="s">
        <v>1415</v>
      </c>
      <c r="D412" s="19" t="s">
        <v>1940</v>
      </c>
      <c r="E412" s="20">
        <v>45590</v>
      </c>
    </row>
    <row r="413" spans="1:5">
      <c r="A413" s="80" t="s">
        <v>1941</v>
      </c>
      <c r="B413" s="81"/>
      <c r="C413" s="19" t="s">
        <v>1415</v>
      </c>
      <c r="D413" s="19" t="s">
        <v>1942</v>
      </c>
      <c r="E413" s="20">
        <v>45590</v>
      </c>
    </row>
    <row r="414" spans="1:5">
      <c r="A414" s="80" t="s">
        <v>1943</v>
      </c>
      <c r="B414" s="81"/>
      <c r="C414" s="19" t="s">
        <v>1415</v>
      </c>
      <c r="D414" s="19" t="s">
        <v>1943</v>
      </c>
      <c r="E414" s="20">
        <v>45590</v>
      </c>
    </row>
    <row r="415" spans="1:5">
      <c r="A415" s="80" t="s">
        <v>1944</v>
      </c>
      <c r="B415" s="81"/>
      <c r="C415" s="19" t="s">
        <v>1415</v>
      </c>
      <c r="D415" s="19" t="s">
        <v>1945</v>
      </c>
      <c r="E415" s="20">
        <v>45590</v>
      </c>
    </row>
    <row r="416" spans="1:5">
      <c r="A416" s="80" t="s">
        <v>1946</v>
      </c>
      <c r="B416" s="81"/>
      <c r="C416" s="19" t="s">
        <v>1415</v>
      </c>
      <c r="D416" s="19" t="s">
        <v>1946</v>
      </c>
      <c r="E416" s="20">
        <v>45590</v>
      </c>
    </row>
    <row r="417" spans="1:5">
      <c r="A417" s="80" t="s">
        <v>1947</v>
      </c>
      <c r="B417" s="81"/>
      <c r="C417" s="19" t="s">
        <v>1415</v>
      </c>
      <c r="D417" s="19" t="s">
        <v>1948</v>
      </c>
      <c r="E417" s="20">
        <v>45590</v>
      </c>
    </row>
    <row r="418" spans="1:5">
      <c r="A418" s="80" t="s">
        <v>1949</v>
      </c>
      <c r="B418" s="81"/>
      <c r="C418" s="19" t="s">
        <v>1415</v>
      </c>
      <c r="D418" s="19" t="s">
        <v>1950</v>
      </c>
      <c r="E418" s="20">
        <v>45590</v>
      </c>
    </row>
    <row r="419" spans="1:5">
      <c r="A419" s="80" t="s">
        <v>1951</v>
      </c>
      <c r="B419" s="81"/>
      <c r="C419" s="19" t="s">
        <v>1415</v>
      </c>
      <c r="D419" s="19" t="s">
        <v>1951</v>
      </c>
      <c r="E419" s="20">
        <v>45590</v>
      </c>
    </row>
    <row r="420" spans="1:5">
      <c r="A420" s="80" t="s">
        <v>1952</v>
      </c>
      <c r="B420" s="81"/>
      <c r="C420" s="19" t="s">
        <v>1415</v>
      </c>
      <c r="D420" s="19" t="s">
        <v>1952</v>
      </c>
      <c r="E420" s="20">
        <v>45590</v>
      </c>
    </row>
    <row r="421" spans="1:5">
      <c r="A421" s="80" t="s">
        <v>1953</v>
      </c>
      <c r="B421" s="81"/>
      <c r="C421" s="19" t="s">
        <v>1312</v>
      </c>
      <c r="D421" s="19" t="s">
        <v>1954</v>
      </c>
      <c r="E421" s="20">
        <v>45593</v>
      </c>
    </row>
    <row r="422" spans="1:5">
      <c r="A422" s="80" t="s">
        <v>1955</v>
      </c>
      <c r="B422" s="81"/>
      <c r="C422" s="19" t="s">
        <v>1322</v>
      </c>
      <c r="D422" s="19" t="s">
        <v>1956</v>
      </c>
      <c r="E422" s="20">
        <v>45593</v>
      </c>
    </row>
    <row r="423" spans="1:5">
      <c r="A423" s="80" t="s">
        <v>1957</v>
      </c>
      <c r="B423" s="81"/>
      <c r="C423" s="19" t="s">
        <v>1312</v>
      </c>
      <c r="D423" s="19" t="s">
        <v>1958</v>
      </c>
      <c r="E423" s="20">
        <v>45593</v>
      </c>
    </row>
    <row r="424" spans="1:5">
      <c r="A424" s="80" t="s">
        <v>1959</v>
      </c>
      <c r="B424" s="81"/>
      <c r="C424" s="19" t="s">
        <v>1312</v>
      </c>
      <c r="D424" s="19" t="s">
        <v>1960</v>
      </c>
      <c r="E424" s="20">
        <v>45593</v>
      </c>
    </row>
    <row r="425" spans="1:5">
      <c r="A425" s="80" t="s">
        <v>1961</v>
      </c>
      <c r="B425" s="81"/>
      <c r="C425" s="19" t="s">
        <v>1322</v>
      </c>
      <c r="D425" s="19" t="s">
        <v>1962</v>
      </c>
      <c r="E425" s="20">
        <v>45593</v>
      </c>
    </row>
    <row r="426" spans="1:5">
      <c r="A426" s="80" t="s">
        <v>1963</v>
      </c>
      <c r="B426" s="81"/>
      <c r="C426" s="19" t="s">
        <v>1312</v>
      </c>
      <c r="D426" s="19" t="s">
        <v>1964</v>
      </c>
      <c r="E426" s="20">
        <v>45593</v>
      </c>
    </row>
    <row r="427" spans="1:5">
      <c r="A427" s="80" t="s">
        <v>1965</v>
      </c>
      <c r="B427" s="81"/>
      <c r="C427" s="19" t="s">
        <v>1312</v>
      </c>
      <c r="D427" s="19" t="s">
        <v>1966</v>
      </c>
      <c r="E427" s="20">
        <v>45593</v>
      </c>
    </row>
    <row r="428" spans="1:5">
      <c r="A428" s="80" t="s">
        <v>1967</v>
      </c>
      <c r="B428" s="81"/>
      <c r="C428" s="19" t="s">
        <v>1322</v>
      </c>
      <c r="D428" s="19" t="s">
        <v>1968</v>
      </c>
      <c r="E428" s="20">
        <v>45593</v>
      </c>
    </row>
    <row r="429" spans="1:5">
      <c r="A429" s="80" t="s">
        <v>1969</v>
      </c>
      <c r="B429" s="81"/>
      <c r="C429" s="19" t="s">
        <v>1312</v>
      </c>
      <c r="D429" s="19" t="s">
        <v>1970</v>
      </c>
      <c r="E429" s="20">
        <v>45593</v>
      </c>
    </row>
    <row r="430" spans="1:5">
      <c r="A430" s="80" t="s">
        <v>1971</v>
      </c>
      <c r="B430" s="81"/>
      <c r="C430" s="19" t="s">
        <v>1312</v>
      </c>
      <c r="D430" s="19" t="s">
        <v>1964</v>
      </c>
      <c r="E430" s="20">
        <v>45593</v>
      </c>
    </row>
    <row r="431" spans="1:5">
      <c r="A431" s="80" t="s">
        <v>1972</v>
      </c>
      <c r="B431" s="81"/>
      <c r="C431" s="19" t="s">
        <v>1312</v>
      </c>
      <c r="D431" s="19" t="s">
        <v>1973</v>
      </c>
      <c r="E431" s="20">
        <v>45593</v>
      </c>
    </row>
    <row r="432" spans="1:5">
      <c r="A432" s="80" t="s">
        <v>1974</v>
      </c>
      <c r="B432" s="81"/>
      <c r="C432" s="19" t="s">
        <v>1312</v>
      </c>
      <c r="D432" s="19" t="s">
        <v>1975</v>
      </c>
      <c r="E432" s="20">
        <v>45593</v>
      </c>
    </row>
    <row r="433" spans="1:5">
      <c r="A433" s="80" t="s">
        <v>1976</v>
      </c>
      <c r="B433" s="81"/>
      <c r="C433" s="19" t="s">
        <v>1312</v>
      </c>
      <c r="D433" s="19" t="s">
        <v>1977</v>
      </c>
      <c r="E433" s="20">
        <v>45593</v>
      </c>
    </row>
    <row r="434" spans="1:5">
      <c r="A434" s="80" t="s">
        <v>1978</v>
      </c>
      <c r="B434" s="81"/>
      <c r="C434" s="19" t="s">
        <v>1312</v>
      </c>
      <c r="D434" s="19" t="s">
        <v>1979</v>
      </c>
      <c r="E434" s="20">
        <v>45593</v>
      </c>
    </row>
    <row r="435" spans="1:5">
      <c r="A435" s="80" t="s">
        <v>1980</v>
      </c>
      <c r="B435" s="81"/>
      <c r="C435" s="19" t="s">
        <v>1322</v>
      </c>
      <c r="D435" s="19" t="s">
        <v>1980</v>
      </c>
      <c r="E435" s="20">
        <v>45593</v>
      </c>
    </row>
    <row r="436" spans="1:5">
      <c r="A436" s="80" t="s">
        <v>1981</v>
      </c>
      <c r="B436" s="81"/>
      <c r="C436" s="19" t="s">
        <v>1312</v>
      </c>
      <c r="D436" s="19" t="s">
        <v>1982</v>
      </c>
      <c r="E436" s="20">
        <v>45593</v>
      </c>
    </row>
    <row r="437" spans="1:5">
      <c r="A437" s="80" t="s">
        <v>1983</v>
      </c>
      <c r="B437" s="81"/>
      <c r="C437" s="19" t="s">
        <v>1312</v>
      </c>
      <c r="D437" s="19" t="s">
        <v>1984</v>
      </c>
      <c r="E437" s="20">
        <v>45593</v>
      </c>
    </row>
    <row r="438" spans="1:5">
      <c r="A438" s="80" t="s">
        <v>1985</v>
      </c>
      <c r="B438" s="81"/>
      <c r="C438" s="19" t="s">
        <v>1312</v>
      </c>
      <c r="D438" s="19" t="s">
        <v>1964</v>
      </c>
      <c r="E438" s="20">
        <v>45593</v>
      </c>
    </row>
    <row r="439" spans="1:5">
      <c r="A439" s="80" t="s">
        <v>1981</v>
      </c>
      <c r="B439" s="81"/>
      <c r="C439" s="19" t="s">
        <v>1312</v>
      </c>
      <c r="D439" s="19" t="s">
        <v>1982</v>
      </c>
      <c r="E439" s="20">
        <v>45593</v>
      </c>
    </row>
    <row r="440" spans="1:5">
      <c r="A440" s="80" t="s">
        <v>1986</v>
      </c>
      <c r="B440" s="81"/>
      <c r="C440" s="19" t="s">
        <v>1312</v>
      </c>
      <c r="D440" s="19" t="s">
        <v>1987</v>
      </c>
      <c r="E440" s="20">
        <v>45593</v>
      </c>
    </row>
    <row r="441" spans="1:5">
      <c r="A441" s="80" t="s">
        <v>1988</v>
      </c>
      <c r="B441" s="81"/>
      <c r="C441" s="19" t="s">
        <v>1312</v>
      </c>
      <c r="D441" s="19" t="s">
        <v>1989</v>
      </c>
      <c r="E441" s="20">
        <v>45593</v>
      </c>
    </row>
    <row r="442" spans="1:5">
      <c r="A442" s="80" t="s">
        <v>1990</v>
      </c>
      <c r="B442" s="81"/>
      <c r="C442" s="19" t="s">
        <v>1312</v>
      </c>
      <c r="D442" s="19" t="s">
        <v>1991</v>
      </c>
      <c r="E442" s="20">
        <v>45593</v>
      </c>
    </row>
    <row r="443" spans="1:5">
      <c r="A443" s="80" t="s">
        <v>1992</v>
      </c>
      <c r="B443" s="81"/>
      <c r="C443" s="19" t="s">
        <v>1312</v>
      </c>
      <c r="D443" s="19" t="s">
        <v>1964</v>
      </c>
      <c r="E443" s="20">
        <v>45593</v>
      </c>
    </row>
    <row r="444" spans="1:5">
      <c r="A444" s="80" t="s">
        <v>1993</v>
      </c>
      <c r="B444" s="81"/>
      <c r="C444" s="19" t="s">
        <v>1312</v>
      </c>
      <c r="D444" s="19" t="s">
        <v>1994</v>
      </c>
      <c r="E444" s="20">
        <v>45593</v>
      </c>
    </row>
    <row r="445" spans="1:5">
      <c r="A445" s="80" t="s">
        <v>1995</v>
      </c>
      <c r="B445" s="81"/>
      <c r="C445" s="19" t="s">
        <v>1322</v>
      </c>
      <c r="D445" s="19" t="s">
        <v>1996</v>
      </c>
      <c r="E445" s="20">
        <v>45593</v>
      </c>
    </row>
    <row r="446" spans="1:5">
      <c r="A446" s="80" t="s">
        <v>1997</v>
      </c>
      <c r="B446" s="81"/>
      <c r="C446" s="19" t="s">
        <v>1312</v>
      </c>
      <c r="D446" s="19" t="s">
        <v>1998</v>
      </c>
      <c r="E446" s="20">
        <v>45593</v>
      </c>
    </row>
    <row r="447" spans="1:5">
      <c r="A447" s="80" t="s">
        <v>1999</v>
      </c>
      <c r="B447" s="81"/>
      <c r="C447" s="19" t="s">
        <v>1312</v>
      </c>
      <c r="D447" s="19" t="s">
        <v>2000</v>
      </c>
      <c r="E447" s="20">
        <v>45593</v>
      </c>
    </row>
    <row r="448" spans="1:5">
      <c r="A448" s="80" t="s">
        <v>2001</v>
      </c>
      <c r="B448" s="81"/>
      <c r="C448" s="19" t="s">
        <v>1312</v>
      </c>
      <c r="D448" s="19" t="s">
        <v>2002</v>
      </c>
      <c r="E448" s="20">
        <v>45593</v>
      </c>
    </row>
    <row r="449" spans="1:5">
      <c r="A449" s="80" t="s">
        <v>2003</v>
      </c>
      <c r="B449" s="81"/>
      <c r="C449" s="19" t="s">
        <v>1322</v>
      </c>
      <c r="D449" s="19" t="s">
        <v>2004</v>
      </c>
      <c r="E449" s="20">
        <v>45593</v>
      </c>
    </row>
    <row r="450" spans="1:5">
      <c r="A450" s="80" t="s">
        <v>2005</v>
      </c>
      <c r="B450" s="81"/>
      <c r="C450" s="19" t="s">
        <v>1312</v>
      </c>
      <c r="D450" s="19" t="s">
        <v>2006</v>
      </c>
      <c r="E450" s="20">
        <v>45593</v>
      </c>
    </row>
    <row r="451" spans="1:5">
      <c r="A451" s="80" t="s">
        <v>2007</v>
      </c>
      <c r="B451" s="81"/>
      <c r="C451" s="19" t="s">
        <v>1312</v>
      </c>
      <c r="D451" s="19" t="s">
        <v>2008</v>
      </c>
      <c r="E451" s="20">
        <v>45593</v>
      </c>
    </row>
    <row r="452" spans="1:5">
      <c r="A452" s="80" t="s">
        <v>2009</v>
      </c>
      <c r="B452" s="81"/>
      <c r="C452" s="19" t="s">
        <v>1312</v>
      </c>
      <c r="D452" s="19" t="s">
        <v>2010</v>
      </c>
      <c r="E452" s="20">
        <v>45593</v>
      </c>
    </row>
    <row r="453" spans="1:5">
      <c r="A453" s="80" t="s">
        <v>2011</v>
      </c>
      <c r="B453" s="81"/>
      <c r="C453" s="19" t="s">
        <v>1312</v>
      </c>
      <c r="D453" s="19" t="s">
        <v>1989</v>
      </c>
      <c r="E453" s="20">
        <v>45593</v>
      </c>
    </row>
    <row r="454" spans="1:5">
      <c r="A454" s="80" t="s">
        <v>2012</v>
      </c>
      <c r="B454" s="81"/>
      <c r="C454" s="19" t="s">
        <v>1322</v>
      </c>
      <c r="D454" s="19" t="s">
        <v>2013</v>
      </c>
      <c r="E454" s="20">
        <v>45593</v>
      </c>
    </row>
    <row r="455" spans="1:5">
      <c r="A455" s="80" t="s">
        <v>2014</v>
      </c>
      <c r="B455" s="81"/>
      <c r="C455" s="19" t="s">
        <v>1312</v>
      </c>
      <c r="D455" s="19" t="s">
        <v>1317</v>
      </c>
      <c r="E455" s="20">
        <v>45593</v>
      </c>
    </row>
    <row r="456" spans="1:5">
      <c r="A456" s="80" t="s">
        <v>2015</v>
      </c>
      <c r="B456" s="81"/>
      <c r="C456" s="19" t="s">
        <v>1312</v>
      </c>
      <c r="D456" s="19" t="s">
        <v>2016</v>
      </c>
      <c r="E456" s="20">
        <v>45593</v>
      </c>
    </row>
    <row r="457" spans="1:5">
      <c r="A457" s="80" t="s">
        <v>2017</v>
      </c>
      <c r="B457" s="81"/>
      <c r="C457" s="19" t="s">
        <v>1312</v>
      </c>
      <c r="D457" s="19" t="s">
        <v>2018</v>
      </c>
      <c r="E457" s="20">
        <v>45593</v>
      </c>
    </row>
    <row r="458" spans="1:5">
      <c r="A458" s="80" t="s">
        <v>2019</v>
      </c>
      <c r="B458" s="81"/>
      <c r="C458" s="19" t="s">
        <v>1312</v>
      </c>
      <c r="D458" s="19" t="s">
        <v>2020</v>
      </c>
      <c r="E458" s="20">
        <v>45593</v>
      </c>
    </row>
    <row r="459" spans="1:5">
      <c r="A459" s="80" t="s">
        <v>2021</v>
      </c>
      <c r="B459" s="81"/>
      <c r="C459" s="19" t="s">
        <v>1312</v>
      </c>
      <c r="D459" s="19" t="s">
        <v>2022</v>
      </c>
      <c r="E459" s="20">
        <v>45593</v>
      </c>
    </row>
    <row r="460" spans="1:5">
      <c r="A460" s="80" t="s">
        <v>2023</v>
      </c>
      <c r="B460" s="81"/>
      <c r="C460" s="19" t="s">
        <v>1312</v>
      </c>
      <c r="D460" s="19" t="s">
        <v>1463</v>
      </c>
      <c r="E460" s="20">
        <v>45593</v>
      </c>
    </row>
    <row r="461" spans="1:5">
      <c r="A461" s="80" t="s">
        <v>2024</v>
      </c>
      <c r="B461" s="81"/>
      <c r="C461" s="19" t="s">
        <v>1312</v>
      </c>
      <c r="D461" s="19" t="s">
        <v>2025</v>
      </c>
      <c r="E461" s="20">
        <v>45593</v>
      </c>
    </row>
    <row r="462" spans="1:5">
      <c r="A462" s="80" t="s">
        <v>2026</v>
      </c>
      <c r="B462" s="81"/>
      <c r="C462" s="19" t="s">
        <v>1312</v>
      </c>
      <c r="D462" s="19" t="s">
        <v>2027</v>
      </c>
      <c r="E462" s="20">
        <v>45593</v>
      </c>
    </row>
    <row r="463" spans="1:5">
      <c r="A463" s="80" t="s">
        <v>2028</v>
      </c>
      <c r="B463" s="81"/>
      <c r="C463" s="19" t="s">
        <v>1322</v>
      </c>
      <c r="D463" s="19" t="s">
        <v>2029</v>
      </c>
      <c r="E463" s="20">
        <v>45593</v>
      </c>
    </row>
    <row r="464" spans="1:5">
      <c r="A464" s="80" t="s">
        <v>2030</v>
      </c>
      <c r="B464" s="81"/>
      <c r="C464" s="19" t="s">
        <v>1322</v>
      </c>
      <c r="D464" s="19" t="s">
        <v>2031</v>
      </c>
      <c r="E464" s="20">
        <v>45593</v>
      </c>
    </row>
    <row r="465" spans="1:5">
      <c r="A465" s="80" t="s">
        <v>2032</v>
      </c>
      <c r="B465" s="81"/>
      <c r="C465" s="19" t="s">
        <v>1322</v>
      </c>
      <c r="D465" s="19" t="s">
        <v>2033</v>
      </c>
      <c r="E465" s="20">
        <v>45593</v>
      </c>
    </row>
    <row r="466" spans="1:5">
      <c r="A466" s="80" t="s">
        <v>2034</v>
      </c>
      <c r="B466" s="81"/>
      <c r="C466" s="19" t="s">
        <v>1322</v>
      </c>
      <c r="D466" s="19" t="s">
        <v>2035</v>
      </c>
      <c r="E466" s="20">
        <v>45593</v>
      </c>
    </row>
    <row r="467" spans="1:5">
      <c r="A467" s="80" t="s">
        <v>2036</v>
      </c>
      <c r="B467" s="81"/>
      <c r="C467" s="19" t="s">
        <v>1312</v>
      </c>
      <c r="D467" s="19" t="s">
        <v>1982</v>
      </c>
      <c r="E467" s="20">
        <v>45593</v>
      </c>
    </row>
    <row r="468" spans="1:5">
      <c r="A468" s="80" t="s">
        <v>2037</v>
      </c>
      <c r="B468" s="81"/>
      <c r="C468" s="19" t="s">
        <v>1322</v>
      </c>
      <c r="D468" s="19" t="s">
        <v>2038</v>
      </c>
      <c r="E468" s="20">
        <v>45593</v>
      </c>
    </row>
    <row r="469" spans="1:5">
      <c r="A469" s="80" t="s">
        <v>2039</v>
      </c>
      <c r="B469" s="81"/>
      <c r="C469" s="19" t="s">
        <v>1312</v>
      </c>
      <c r="D469" s="19" t="s">
        <v>2040</v>
      </c>
      <c r="E469" s="20">
        <v>45593</v>
      </c>
    </row>
    <row r="470" spans="1:5">
      <c r="A470" s="80" t="s">
        <v>2041</v>
      </c>
      <c r="B470" s="81"/>
      <c r="C470" s="19" t="s">
        <v>1312</v>
      </c>
      <c r="D470" s="19" t="s">
        <v>2042</v>
      </c>
      <c r="E470" s="20">
        <v>45593</v>
      </c>
    </row>
    <row r="471" spans="1:5">
      <c r="A471" s="80" t="s">
        <v>2043</v>
      </c>
      <c r="B471" s="81"/>
      <c r="C471" s="19" t="s">
        <v>1312</v>
      </c>
      <c r="D471" s="19" t="s">
        <v>1319</v>
      </c>
      <c r="E471" s="20">
        <v>45593</v>
      </c>
    </row>
    <row r="472" spans="1:5">
      <c r="A472" s="80" t="s">
        <v>2044</v>
      </c>
      <c r="B472" s="81"/>
      <c r="C472" s="19" t="s">
        <v>1312</v>
      </c>
      <c r="D472" s="19" t="s">
        <v>1994</v>
      </c>
      <c r="E472" s="20">
        <v>45593</v>
      </c>
    </row>
    <row r="473" spans="1:5">
      <c r="A473" s="80" t="s">
        <v>1980</v>
      </c>
      <c r="B473" s="81"/>
      <c r="C473" s="19" t="s">
        <v>1312</v>
      </c>
      <c r="D473" s="19" t="s">
        <v>1980</v>
      </c>
      <c r="E473" s="20">
        <v>45593</v>
      </c>
    </row>
    <row r="474" spans="1:5">
      <c r="A474" s="80" t="s">
        <v>1988</v>
      </c>
      <c r="B474" s="81"/>
      <c r="C474" s="19" t="s">
        <v>1312</v>
      </c>
      <c r="D474" s="19" t="s">
        <v>1989</v>
      </c>
      <c r="E474" s="20">
        <v>45593</v>
      </c>
    </row>
    <row r="475" spans="1:5">
      <c r="A475" s="80" t="s">
        <v>2045</v>
      </c>
      <c r="B475" s="81"/>
      <c r="C475" s="19" t="s">
        <v>1312</v>
      </c>
      <c r="D475" s="19" t="s">
        <v>2046</v>
      </c>
      <c r="E475" s="20">
        <v>45593</v>
      </c>
    </row>
    <row r="476" spans="1:5">
      <c r="A476" s="80" t="s">
        <v>2047</v>
      </c>
      <c r="B476" s="81"/>
      <c r="C476" s="19" t="s">
        <v>1312</v>
      </c>
      <c r="D476" s="19" t="s">
        <v>1319</v>
      </c>
      <c r="E476" s="20">
        <v>45593</v>
      </c>
    </row>
    <row r="477" spans="1:5">
      <c r="A477" s="80" t="s">
        <v>2048</v>
      </c>
      <c r="B477" s="81"/>
      <c r="C477" s="19" t="s">
        <v>1312</v>
      </c>
      <c r="D477" s="19" t="s">
        <v>1319</v>
      </c>
      <c r="E477" s="20">
        <v>45593</v>
      </c>
    </row>
    <row r="478" spans="1:5">
      <c r="A478" s="80" t="s">
        <v>2049</v>
      </c>
      <c r="B478" s="81"/>
      <c r="C478" s="19" t="s">
        <v>1312</v>
      </c>
      <c r="D478" s="19" t="s">
        <v>1970</v>
      </c>
      <c r="E478" s="20">
        <v>45593</v>
      </c>
    </row>
    <row r="479" spans="1:5">
      <c r="A479" s="80" t="s">
        <v>2050</v>
      </c>
      <c r="B479" s="81"/>
      <c r="C479" s="19" t="s">
        <v>1322</v>
      </c>
      <c r="D479" s="19" t="s">
        <v>2029</v>
      </c>
      <c r="E479" s="20">
        <v>45593</v>
      </c>
    </row>
    <row r="480" spans="1:5">
      <c r="A480" s="80" t="s">
        <v>2051</v>
      </c>
      <c r="B480" s="81"/>
      <c r="C480" s="19" t="s">
        <v>1322</v>
      </c>
      <c r="D480" s="19" t="s">
        <v>1968</v>
      </c>
      <c r="E480" s="20">
        <v>45593</v>
      </c>
    </row>
    <row r="481" spans="1:5">
      <c r="A481" s="80" t="s">
        <v>2052</v>
      </c>
      <c r="B481" s="81"/>
      <c r="C481" s="19" t="s">
        <v>1322</v>
      </c>
      <c r="D481" s="19" t="s">
        <v>1326</v>
      </c>
      <c r="E481" s="20">
        <v>45593</v>
      </c>
    </row>
    <row r="482" spans="1:5">
      <c r="A482" s="80" t="s">
        <v>2053</v>
      </c>
      <c r="B482" s="81"/>
      <c r="C482" s="19" t="s">
        <v>1312</v>
      </c>
      <c r="D482" s="19" t="s">
        <v>1191</v>
      </c>
      <c r="E482" s="20">
        <v>45593</v>
      </c>
    </row>
    <row r="483" spans="1:5">
      <c r="A483" s="80" t="s">
        <v>2054</v>
      </c>
      <c r="B483" s="81"/>
      <c r="C483" s="19" t="s">
        <v>1322</v>
      </c>
      <c r="D483" s="19" t="s">
        <v>1962</v>
      </c>
      <c r="E483" s="20">
        <v>45593</v>
      </c>
    </row>
    <row r="484" spans="1:5">
      <c r="A484" s="80" t="s">
        <v>2055</v>
      </c>
      <c r="B484" s="81"/>
      <c r="C484" s="19" t="s">
        <v>1312</v>
      </c>
      <c r="D484" s="19" t="s">
        <v>2056</v>
      </c>
      <c r="E484" s="20">
        <v>45593</v>
      </c>
    </row>
    <row r="485" spans="1:5">
      <c r="A485" s="80" t="s">
        <v>2057</v>
      </c>
      <c r="B485" s="81"/>
      <c r="C485" s="19" t="s">
        <v>1312</v>
      </c>
      <c r="D485" s="19" t="s">
        <v>1984</v>
      </c>
      <c r="E485" s="20">
        <v>45593</v>
      </c>
    </row>
    <row r="486" spans="1:5">
      <c r="A486" s="80" t="s">
        <v>2058</v>
      </c>
      <c r="B486" s="81"/>
      <c r="C486" s="19" t="s">
        <v>1312</v>
      </c>
      <c r="D486" s="19" t="s">
        <v>1313</v>
      </c>
      <c r="E486" s="20">
        <v>45593</v>
      </c>
    </row>
    <row r="487" spans="1:5">
      <c r="A487" s="80" t="s">
        <v>2058</v>
      </c>
      <c r="B487" s="81"/>
      <c r="C487" s="19" t="s">
        <v>1312</v>
      </c>
      <c r="D487" s="19" t="s">
        <v>1313</v>
      </c>
      <c r="E487" s="20">
        <v>45593</v>
      </c>
    </row>
    <row r="488" spans="1:5">
      <c r="A488" s="80" t="s">
        <v>2059</v>
      </c>
      <c r="B488" s="81"/>
      <c r="C488" s="19" t="s">
        <v>1322</v>
      </c>
      <c r="D488" s="19" t="s">
        <v>2060</v>
      </c>
      <c r="E488" s="20">
        <v>45593</v>
      </c>
    </row>
    <row r="489" spans="1:5">
      <c r="A489" s="80" t="s">
        <v>2061</v>
      </c>
      <c r="B489" s="81"/>
      <c r="C489" s="19" t="s">
        <v>1312</v>
      </c>
      <c r="D489" s="19" t="s">
        <v>1313</v>
      </c>
      <c r="E489" s="20">
        <v>45593</v>
      </c>
    </row>
    <row r="490" spans="1:5">
      <c r="A490" s="80" t="s">
        <v>2062</v>
      </c>
      <c r="B490" s="81"/>
      <c r="C490" s="19" t="s">
        <v>1322</v>
      </c>
      <c r="D490" s="19" t="s">
        <v>2063</v>
      </c>
      <c r="E490" s="20">
        <v>45593</v>
      </c>
    </row>
    <row r="491" spans="1:5">
      <c r="A491" s="80" t="s">
        <v>2064</v>
      </c>
      <c r="B491" s="81"/>
      <c r="C491" s="19" t="s">
        <v>1312</v>
      </c>
      <c r="D491" s="19" t="s">
        <v>2065</v>
      </c>
      <c r="E491" s="20">
        <v>45593</v>
      </c>
    </row>
    <row r="492" spans="1:5">
      <c r="A492" s="80" t="s">
        <v>2066</v>
      </c>
      <c r="B492" s="81"/>
      <c r="C492" s="19" t="s">
        <v>1322</v>
      </c>
      <c r="D492" s="19" t="s">
        <v>2067</v>
      </c>
      <c r="E492" s="20">
        <v>45593</v>
      </c>
    </row>
    <row r="493" spans="1:5">
      <c r="A493" s="80" t="s">
        <v>2068</v>
      </c>
      <c r="B493" s="81"/>
      <c r="C493" s="19" t="s">
        <v>1312</v>
      </c>
      <c r="D493" s="19" t="s">
        <v>2069</v>
      </c>
      <c r="E493" s="20">
        <v>45593</v>
      </c>
    </row>
    <row r="494" spans="1:5">
      <c r="A494" s="80" t="s">
        <v>2070</v>
      </c>
      <c r="B494" s="81"/>
      <c r="C494" s="19" t="s">
        <v>1312</v>
      </c>
      <c r="D494" s="19" t="s">
        <v>2071</v>
      </c>
      <c r="E494" s="20">
        <v>45593</v>
      </c>
    </row>
    <row r="495" spans="1:5">
      <c r="A495" s="80" t="s">
        <v>2072</v>
      </c>
      <c r="B495" s="81"/>
      <c r="C495" s="19" t="s">
        <v>1312</v>
      </c>
      <c r="D495" s="19" t="s">
        <v>2073</v>
      </c>
      <c r="E495" s="20">
        <v>45593</v>
      </c>
    </row>
    <row r="496" spans="1:5">
      <c r="A496" s="80" t="s">
        <v>2074</v>
      </c>
      <c r="B496" s="81"/>
      <c r="C496" s="19" t="s">
        <v>1312</v>
      </c>
      <c r="D496" s="19" t="s">
        <v>2075</v>
      </c>
      <c r="E496" s="20">
        <v>45593</v>
      </c>
    </row>
    <row r="497" spans="1:5">
      <c r="A497" s="80" t="s">
        <v>2076</v>
      </c>
      <c r="B497" s="81"/>
      <c r="C497" s="19" t="s">
        <v>1312</v>
      </c>
      <c r="D497" s="19" t="s">
        <v>1964</v>
      </c>
      <c r="E497" s="20">
        <v>45593</v>
      </c>
    </row>
    <row r="498" spans="1:5">
      <c r="A498" s="80" t="s">
        <v>2077</v>
      </c>
      <c r="B498" s="81"/>
      <c r="C498" s="19" t="s">
        <v>1322</v>
      </c>
      <c r="D498" s="19" t="s">
        <v>1323</v>
      </c>
      <c r="E498" s="20">
        <v>45593</v>
      </c>
    </row>
    <row r="499" spans="1:5">
      <c r="A499" s="80" t="s">
        <v>2078</v>
      </c>
      <c r="B499" s="81"/>
      <c r="C499" s="19" t="s">
        <v>1312</v>
      </c>
      <c r="D499" s="19" t="s">
        <v>1472</v>
      </c>
      <c r="E499" s="20">
        <v>45593</v>
      </c>
    </row>
    <row r="500" spans="1:5">
      <c r="A500" s="80" t="s">
        <v>2079</v>
      </c>
      <c r="B500" s="81"/>
      <c r="C500" s="19" t="s">
        <v>1312</v>
      </c>
      <c r="D500" s="19" t="s">
        <v>2080</v>
      </c>
      <c r="E500" s="20">
        <v>45593</v>
      </c>
    </row>
    <row r="501" spans="1:5">
      <c r="A501" s="80" t="s">
        <v>2081</v>
      </c>
      <c r="B501" s="81"/>
      <c r="C501" s="19" t="s">
        <v>1312</v>
      </c>
      <c r="D501" s="19" t="s">
        <v>1387</v>
      </c>
      <c r="E501" s="20">
        <v>45593</v>
      </c>
    </row>
    <row r="502" spans="1:5">
      <c r="A502" s="80" t="s">
        <v>2082</v>
      </c>
      <c r="B502" s="81"/>
      <c r="C502" s="19" t="s">
        <v>1322</v>
      </c>
      <c r="D502" s="19" t="s">
        <v>2083</v>
      </c>
      <c r="E502" s="20">
        <v>45593</v>
      </c>
    </row>
    <row r="503" spans="1:5">
      <c r="A503" s="80" t="s">
        <v>2084</v>
      </c>
      <c r="B503" s="81"/>
      <c r="C503" s="19" t="s">
        <v>1312</v>
      </c>
      <c r="D503" s="19" t="s">
        <v>2084</v>
      </c>
      <c r="E503" s="20">
        <v>45593</v>
      </c>
    </row>
    <row r="504" spans="1:5">
      <c r="A504" s="80" t="s">
        <v>2085</v>
      </c>
      <c r="B504" s="81"/>
      <c r="C504" s="19" t="s">
        <v>1312</v>
      </c>
      <c r="D504" s="19" t="s">
        <v>2085</v>
      </c>
      <c r="E504" s="20">
        <v>45593</v>
      </c>
    </row>
    <row r="505" spans="1:5">
      <c r="A505" s="80" t="s">
        <v>2086</v>
      </c>
      <c r="B505" s="81"/>
      <c r="C505" s="19" t="s">
        <v>1312</v>
      </c>
      <c r="D505" s="19" t="s">
        <v>2087</v>
      </c>
      <c r="E505" s="20">
        <v>45593</v>
      </c>
    </row>
    <row r="506" spans="1:5">
      <c r="A506" s="80" t="s">
        <v>2088</v>
      </c>
      <c r="B506" s="81"/>
      <c r="C506" s="19" t="s">
        <v>1312</v>
      </c>
      <c r="D506" s="19" t="s">
        <v>1191</v>
      </c>
      <c r="E506" s="20">
        <v>45593</v>
      </c>
    </row>
    <row r="507" spans="1:5">
      <c r="A507" s="80" t="s">
        <v>2089</v>
      </c>
      <c r="B507" s="81"/>
      <c r="C507" s="19" t="s">
        <v>1312</v>
      </c>
      <c r="D507" s="19" t="s">
        <v>1387</v>
      </c>
      <c r="E507" s="20">
        <v>45593</v>
      </c>
    </row>
    <row r="508" spans="1:5">
      <c r="A508" s="80" t="s">
        <v>2090</v>
      </c>
      <c r="B508" s="81"/>
      <c r="C508" s="19" t="s">
        <v>1312</v>
      </c>
      <c r="D508" s="19" t="s">
        <v>1315</v>
      </c>
      <c r="E508" s="20">
        <v>45593</v>
      </c>
    </row>
    <row r="509" spans="1:5">
      <c r="A509" s="80" t="s">
        <v>2091</v>
      </c>
      <c r="B509" s="81"/>
      <c r="C509" s="19" t="s">
        <v>1312</v>
      </c>
      <c r="D509" s="19" t="s">
        <v>2092</v>
      </c>
      <c r="E509" s="20">
        <v>45593</v>
      </c>
    </row>
    <row r="510" spans="1:5">
      <c r="A510" s="80" t="s">
        <v>2093</v>
      </c>
      <c r="B510" s="81"/>
      <c r="C510" s="19" t="s">
        <v>1312</v>
      </c>
      <c r="D510" s="19" t="s">
        <v>1987</v>
      </c>
      <c r="E510" s="20">
        <v>45593</v>
      </c>
    </row>
    <row r="511" spans="1:5">
      <c r="A511" s="80" t="s">
        <v>2094</v>
      </c>
      <c r="B511" s="81"/>
      <c r="C511" s="19" t="s">
        <v>1312</v>
      </c>
      <c r="D511" s="19" t="s">
        <v>1387</v>
      </c>
      <c r="E511" s="20">
        <v>45593</v>
      </c>
    </row>
    <row r="512" spans="1:5">
      <c r="A512" s="80" t="s">
        <v>2095</v>
      </c>
      <c r="B512" s="81"/>
      <c r="C512" s="19" t="s">
        <v>1322</v>
      </c>
      <c r="D512" s="19" t="s">
        <v>2096</v>
      </c>
      <c r="E512" s="20">
        <v>45593</v>
      </c>
    </row>
    <row r="513" spans="1:5">
      <c r="A513" s="80" t="s">
        <v>2097</v>
      </c>
      <c r="B513" s="81"/>
      <c r="C513" s="19" t="s">
        <v>1312</v>
      </c>
      <c r="D513" s="19" t="s">
        <v>2098</v>
      </c>
      <c r="E513" s="20">
        <v>45593</v>
      </c>
    </row>
    <row r="514" spans="1:5">
      <c r="A514" s="80" t="s">
        <v>2099</v>
      </c>
      <c r="B514" s="81"/>
      <c r="C514" s="19" t="s">
        <v>1312</v>
      </c>
      <c r="D514" s="19" t="s">
        <v>2002</v>
      </c>
      <c r="E514" s="20">
        <v>45593</v>
      </c>
    </row>
    <row r="515" spans="1:5">
      <c r="A515" s="80" t="s">
        <v>2100</v>
      </c>
      <c r="B515" s="81"/>
      <c r="C515" s="19" t="s">
        <v>1312</v>
      </c>
      <c r="D515" s="19" t="s">
        <v>1387</v>
      </c>
      <c r="E515" s="20">
        <v>45593</v>
      </c>
    </row>
    <row r="516" spans="1:5">
      <c r="A516" s="80" t="s">
        <v>2101</v>
      </c>
      <c r="B516" s="81"/>
      <c r="C516" s="19" t="s">
        <v>1312</v>
      </c>
      <c r="D516" s="19" t="s">
        <v>1473</v>
      </c>
      <c r="E516" s="20">
        <v>45593</v>
      </c>
    </row>
    <row r="517" spans="1:5">
      <c r="A517" s="80" t="s">
        <v>2102</v>
      </c>
      <c r="B517" s="81"/>
      <c r="C517" s="19" t="s">
        <v>1312</v>
      </c>
      <c r="D517" s="19" t="s">
        <v>2103</v>
      </c>
      <c r="E517" s="20">
        <v>45593</v>
      </c>
    </row>
    <row r="518" spans="1:5">
      <c r="A518" s="80" t="s">
        <v>2104</v>
      </c>
      <c r="B518" s="81"/>
      <c r="C518" s="19" t="s">
        <v>1322</v>
      </c>
      <c r="D518" s="19" t="s">
        <v>2105</v>
      </c>
      <c r="E518" s="20">
        <v>45593</v>
      </c>
    </row>
    <row r="519" spans="1:5">
      <c r="A519" s="80" t="s">
        <v>2106</v>
      </c>
      <c r="B519" s="81"/>
      <c r="C519" s="19" t="s">
        <v>1312</v>
      </c>
      <c r="D519" s="19" t="s">
        <v>2107</v>
      </c>
      <c r="E519" s="20">
        <v>45593</v>
      </c>
    </row>
    <row r="520" spans="1:5">
      <c r="A520" s="80" t="s">
        <v>2108</v>
      </c>
      <c r="B520" s="81"/>
      <c r="C520" s="19" t="s">
        <v>1322</v>
      </c>
      <c r="D520" s="19" t="s">
        <v>2109</v>
      </c>
      <c r="E520" s="20">
        <v>45593</v>
      </c>
    </row>
    <row r="521" spans="1:5">
      <c r="A521" s="80" t="s">
        <v>2110</v>
      </c>
      <c r="B521" s="81"/>
      <c r="C521" s="19" t="s">
        <v>1312</v>
      </c>
      <c r="D521" s="19" t="s">
        <v>2111</v>
      </c>
      <c r="E521" s="20">
        <v>45593</v>
      </c>
    </row>
    <row r="522" spans="1:5">
      <c r="A522" s="80" t="s">
        <v>2112</v>
      </c>
      <c r="B522" s="81"/>
      <c r="C522" s="19" t="s">
        <v>1312</v>
      </c>
      <c r="D522" s="19" t="s">
        <v>2113</v>
      </c>
      <c r="E522" s="20">
        <v>45593</v>
      </c>
    </row>
    <row r="523" spans="1:5">
      <c r="A523" s="80" t="s">
        <v>2114</v>
      </c>
      <c r="B523" s="81"/>
      <c r="C523" s="19" t="s">
        <v>1312</v>
      </c>
      <c r="D523" s="19" t="s">
        <v>2115</v>
      </c>
      <c r="E523" s="20">
        <v>45593</v>
      </c>
    </row>
    <row r="524" spans="1:5">
      <c r="A524" s="80" t="s">
        <v>2116</v>
      </c>
      <c r="B524" s="81"/>
      <c r="C524" s="19" t="s">
        <v>1312</v>
      </c>
      <c r="D524" s="19" t="s">
        <v>2117</v>
      </c>
      <c r="E524" s="20">
        <v>45593</v>
      </c>
    </row>
    <row r="525" spans="1:5">
      <c r="A525" s="80" t="s">
        <v>2118</v>
      </c>
      <c r="B525" s="81"/>
      <c r="C525" s="19" t="s">
        <v>1277</v>
      </c>
      <c r="D525" s="19" t="s">
        <v>767</v>
      </c>
      <c r="E525" s="20">
        <v>45595</v>
      </c>
    </row>
    <row r="526" spans="1:5">
      <c r="A526" s="80" t="s">
        <v>2119</v>
      </c>
      <c r="B526" s="81"/>
      <c r="C526" s="19" t="s">
        <v>1277</v>
      </c>
      <c r="D526" s="19" t="s">
        <v>2120</v>
      </c>
      <c r="E526" s="20">
        <v>45597</v>
      </c>
    </row>
    <row r="527" spans="1:5">
      <c r="A527" s="80" t="s">
        <v>2121</v>
      </c>
      <c r="B527" s="81"/>
      <c r="C527" s="19" t="s">
        <v>1277</v>
      </c>
      <c r="D527" s="19" t="s">
        <v>1302</v>
      </c>
      <c r="E527" s="20">
        <v>45598</v>
      </c>
    </row>
    <row r="528" spans="1:5">
      <c r="A528" s="80" t="s">
        <v>2122</v>
      </c>
      <c r="B528" s="81"/>
      <c r="C528" s="19" t="s">
        <v>1288</v>
      </c>
      <c r="D528" s="19" t="s">
        <v>2123</v>
      </c>
      <c r="E528" s="20">
        <v>45600</v>
      </c>
    </row>
    <row r="529" spans="1:5">
      <c r="A529" s="80" t="s">
        <v>2124</v>
      </c>
      <c r="B529" s="81"/>
      <c r="C529" s="19" t="s">
        <v>1465</v>
      </c>
      <c r="D529" s="19" t="s">
        <v>2125</v>
      </c>
      <c r="E529" s="20">
        <v>45601</v>
      </c>
    </row>
    <row r="530" spans="1:5">
      <c r="A530" s="80" t="s">
        <v>2126</v>
      </c>
      <c r="B530" s="81"/>
      <c r="C530" s="19" t="s">
        <v>1465</v>
      </c>
      <c r="D530" s="19" t="s">
        <v>2073</v>
      </c>
      <c r="E530" s="20">
        <v>45601</v>
      </c>
    </row>
    <row r="531" spans="1:5">
      <c r="A531" s="80" t="s">
        <v>2127</v>
      </c>
      <c r="B531" s="81"/>
      <c r="C531" s="19" t="s">
        <v>2128</v>
      </c>
      <c r="D531" s="19" t="s">
        <v>2129</v>
      </c>
      <c r="E531" s="20">
        <v>45604</v>
      </c>
    </row>
    <row r="532" spans="1:5">
      <c r="A532" s="80" t="s">
        <v>2130</v>
      </c>
      <c r="B532" s="81"/>
      <c r="C532" s="19" t="s">
        <v>1277</v>
      </c>
      <c r="D532" s="19" t="s">
        <v>2131</v>
      </c>
      <c r="E532" s="20">
        <v>45604</v>
      </c>
    </row>
    <row r="533" spans="1:5">
      <c r="A533" s="80" t="s">
        <v>2132</v>
      </c>
      <c r="B533" s="81"/>
      <c r="C533" s="19" t="s">
        <v>1277</v>
      </c>
      <c r="D533" s="19" t="s">
        <v>2133</v>
      </c>
      <c r="E533" s="20">
        <v>45604</v>
      </c>
    </row>
    <row r="534" spans="1:5">
      <c r="A534" s="80" t="s">
        <v>2134</v>
      </c>
      <c r="B534" s="81"/>
      <c r="C534" s="19" t="s">
        <v>1277</v>
      </c>
      <c r="D534" s="19" t="s">
        <v>1282</v>
      </c>
      <c r="E534" s="20">
        <v>45606</v>
      </c>
    </row>
    <row r="535" spans="1:5">
      <c r="A535" s="80" t="s">
        <v>2135</v>
      </c>
      <c r="B535" s="81"/>
      <c r="C535" s="19" t="s">
        <v>1277</v>
      </c>
      <c r="D535" s="19" t="s">
        <v>2136</v>
      </c>
      <c r="E535" s="20">
        <v>45607</v>
      </c>
    </row>
    <row r="536" spans="1:5">
      <c r="A536" s="80" t="s">
        <v>2137</v>
      </c>
      <c r="B536" s="81"/>
      <c r="C536" s="19" t="s">
        <v>1277</v>
      </c>
      <c r="D536" s="19" t="s">
        <v>2138</v>
      </c>
      <c r="E536" s="20">
        <v>45607</v>
      </c>
    </row>
    <row r="537" spans="1:5">
      <c r="A537" s="80" t="s">
        <v>2139</v>
      </c>
      <c r="B537" s="81"/>
      <c r="C537" s="19" t="s">
        <v>1277</v>
      </c>
      <c r="D537" s="19" t="s">
        <v>1302</v>
      </c>
      <c r="E537" s="20">
        <v>45607</v>
      </c>
    </row>
    <row r="538" spans="1:5">
      <c r="A538" s="80" t="s">
        <v>2140</v>
      </c>
      <c r="B538" s="81"/>
      <c r="C538" s="19" t="s">
        <v>1277</v>
      </c>
      <c r="D538" s="19" t="s">
        <v>1441</v>
      </c>
      <c r="E538" s="20">
        <v>45607</v>
      </c>
    </row>
    <row r="539" spans="1:5">
      <c r="A539" s="80" t="s">
        <v>2141</v>
      </c>
      <c r="B539" s="81"/>
      <c r="C539" s="19" t="s">
        <v>1277</v>
      </c>
      <c r="D539" s="19" t="s">
        <v>2142</v>
      </c>
      <c r="E539" s="20">
        <v>45607</v>
      </c>
    </row>
    <row r="540" spans="1:5">
      <c r="A540" s="80" t="s">
        <v>2143</v>
      </c>
      <c r="B540" s="81"/>
      <c r="C540" s="19" t="s">
        <v>1288</v>
      </c>
      <c r="D540" s="19" t="s">
        <v>2144</v>
      </c>
      <c r="E540" s="20">
        <v>45607</v>
      </c>
    </row>
    <row r="541" spans="1:5">
      <c r="A541" s="80" t="s">
        <v>2145</v>
      </c>
      <c r="B541" s="81"/>
      <c r="C541" s="19" t="s">
        <v>1277</v>
      </c>
      <c r="D541" s="19" t="s">
        <v>1476</v>
      </c>
      <c r="E541" s="20">
        <v>45608</v>
      </c>
    </row>
    <row r="542" spans="1:5">
      <c r="A542" s="80" t="s">
        <v>2146</v>
      </c>
      <c r="B542" s="81"/>
      <c r="C542" s="19" t="s">
        <v>1277</v>
      </c>
      <c r="D542" s="19" t="s">
        <v>2147</v>
      </c>
      <c r="E542" s="20">
        <v>45611</v>
      </c>
    </row>
    <row r="543" spans="1:5">
      <c r="A543" s="80" t="s">
        <v>2148</v>
      </c>
      <c r="B543" s="81"/>
      <c r="C543" s="19" t="s">
        <v>1277</v>
      </c>
      <c r="D543" s="19" t="s">
        <v>1556</v>
      </c>
      <c r="E543" s="20">
        <v>45612</v>
      </c>
    </row>
    <row r="544" spans="1:5">
      <c r="A544" s="80" t="s">
        <v>2149</v>
      </c>
      <c r="B544" s="81"/>
      <c r="C544" s="19" t="s">
        <v>1277</v>
      </c>
      <c r="D544" s="19" t="s">
        <v>2150</v>
      </c>
      <c r="E544" s="20">
        <v>45614</v>
      </c>
    </row>
    <row r="545" spans="1:5">
      <c r="A545" s="80" t="s">
        <v>2151</v>
      </c>
      <c r="B545" s="81"/>
      <c r="C545" s="19" t="s">
        <v>1288</v>
      </c>
      <c r="D545" s="19" t="s">
        <v>1592</v>
      </c>
      <c r="E545" s="20">
        <v>45615</v>
      </c>
    </row>
    <row r="546" spans="1:5">
      <c r="A546" s="80" t="s">
        <v>2152</v>
      </c>
      <c r="B546" s="81"/>
      <c r="C546" s="19" t="s">
        <v>1277</v>
      </c>
      <c r="D546" s="19" t="s">
        <v>1449</v>
      </c>
      <c r="E546" s="20">
        <v>45615</v>
      </c>
    </row>
    <row r="547" spans="1:5">
      <c r="A547" s="80" t="s">
        <v>2153</v>
      </c>
      <c r="B547" s="81"/>
      <c r="C547" s="19" t="s">
        <v>1277</v>
      </c>
      <c r="D547" s="19" t="s">
        <v>1334</v>
      </c>
      <c r="E547" s="20">
        <v>45620</v>
      </c>
    </row>
    <row r="548" spans="1:5">
      <c r="A548" s="80" t="s">
        <v>2154</v>
      </c>
      <c r="B548" s="81"/>
      <c r="C548" s="19" t="s">
        <v>1277</v>
      </c>
      <c r="D548" s="19" t="s">
        <v>1401</v>
      </c>
      <c r="E548" s="20">
        <v>45620</v>
      </c>
    </row>
    <row r="549" spans="1:5">
      <c r="A549" s="80" t="s">
        <v>2155</v>
      </c>
      <c r="B549" s="81"/>
      <c r="C549" s="19" t="s">
        <v>1277</v>
      </c>
      <c r="D549" s="19" t="s">
        <v>2156</v>
      </c>
      <c r="E549" s="20">
        <v>45621</v>
      </c>
    </row>
    <row r="550" spans="1:5">
      <c r="A550" s="80" t="s">
        <v>2157</v>
      </c>
      <c r="B550" s="81"/>
      <c r="C550" s="19" t="s">
        <v>1277</v>
      </c>
      <c r="D550" s="19" t="s">
        <v>1278</v>
      </c>
      <c r="E550" s="20">
        <v>45621</v>
      </c>
    </row>
    <row r="551" spans="1:5">
      <c r="A551" s="80" t="s">
        <v>2158</v>
      </c>
      <c r="B551" s="81"/>
      <c r="C551" s="19" t="s">
        <v>1288</v>
      </c>
      <c r="D551" s="19" t="s">
        <v>64</v>
      </c>
      <c r="E551" s="20">
        <v>45622</v>
      </c>
    </row>
    <row r="552" spans="1:5">
      <c r="A552" s="80" t="s">
        <v>2159</v>
      </c>
      <c r="B552" s="81"/>
      <c r="C552" s="19" t="s">
        <v>1277</v>
      </c>
      <c r="D552" s="19" t="s">
        <v>1304</v>
      </c>
      <c r="E552" s="20">
        <v>45622</v>
      </c>
    </row>
    <row r="553" spans="1:5">
      <c r="A553" s="80" t="s">
        <v>2160</v>
      </c>
      <c r="B553" s="81"/>
      <c r="C553" s="19" t="s">
        <v>1277</v>
      </c>
      <c r="D553" s="19" t="s">
        <v>1603</v>
      </c>
      <c r="E553" s="20">
        <v>45623</v>
      </c>
    </row>
    <row r="554" spans="1:5">
      <c r="A554" s="80" t="s">
        <v>2161</v>
      </c>
      <c r="B554" s="81"/>
      <c r="C554" s="19" t="s">
        <v>1277</v>
      </c>
      <c r="D554" s="19" t="s">
        <v>2162</v>
      </c>
      <c r="E554" s="20">
        <v>45623</v>
      </c>
    </row>
    <row r="555" spans="1:5">
      <c r="A555" s="80" t="s">
        <v>2163</v>
      </c>
      <c r="B555" s="81"/>
      <c r="C555" s="19" t="s">
        <v>1288</v>
      </c>
      <c r="D555" s="19" t="s">
        <v>2164</v>
      </c>
      <c r="E555" s="20">
        <v>45623</v>
      </c>
    </row>
    <row r="556" spans="1:5">
      <c r="A556" s="80" t="s">
        <v>2165</v>
      </c>
      <c r="B556" s="81"/>
      <c r="C556" s="19" t="s">
        <v>1288</v>
      </c>
      <c r="D556" s="19" t="s">
        <v>2166</v>
      </c>
      <c r="E556" s="20">
        <v>45623</v>
      </c>
    </row>
    <row r="557" spans="1:5">
      <c r="A557" s="80" t="s">
        <v>2167</v>
      </c>
      <c r="B557" s="81"/>
      <c r="C557" s="19" t="s">
        <v>1288</v>
      </c>
      <c r="D557" s="19" t="s">
        <v>1338</v>
      </c>
      <c r="E557" s="20">
        <v>45624</v>
      </c>
    </row>
    <row r="558" spans="1:5">
      <c r="A558" s="80" t="s">
        <v>2033</v>
      </c>
      <c r="B558" s="81"/>
      <c r="C558" s="19" t="s">
        <v>1322</v>
      </c>
      <c r="D558" s="19" t="s">
        <v>2033</v>
      </c>
      <c r="E558" s="20">
        <v>45624</v>
      </c>
    </row>
    <row r="559" spans="1:5">
      <c r="A559" s="80" t="s">
        <v>2067</v>
      </c>
      <c r="B559" s="81"/>
      <c r="C559" s="19" t="s">
        <v>1322</v>
      </c>
      <c r="D559" s="19" t="s">
        <v>2067</v>
      </c>
      <c r="E559" s="20">
        <v>45624</v>
      </c>
    </row>
    <row r="560" spans="1:5">
      <c r="A560" s="80" t="s">
        <v>2168</v>
      </c>
      <c r="B560" s="81"/>
      <c r="C560" s="19" t="s">
        <v>1277</v>
      </c>
      <c r="D560" s="19" t="s">
        <v>1486</v>
      </c>
      <c r="E560" s="20">
        <v>45624</v>
      </c>
    </row>
    <row r="561" spans="1:5">
      <c r="A561" s="80" t="s">
        <v>2169</v>
      </c>
      <c r="B561" s="81"/>
      <c r="C561" s="19" t="s">
        <v>1277</v>
      </c>
      <c r="D561" s="19" t="s">
        <v>1486</v>
      </c>
      <c r="E561" s="20">
        <v>45624</v>
      </c>
    </row>
    <row r="562" spans="1:5">
      <c r="A562" s="80" t="s">
        <v>2170</v>
      </c>
      <c r="B562" s="81"/>
      <c r="C562" s="19" t="s">
        <v>1312</v>
      </c>
      <c r="D562" s="19" t="s">
        <v>2171</v>
      </c>
      <c r="E562" s="20">
        <v>45625</v>
      </c>
    </row>
    <row r="563" spans="1:5">
      <c r="A563" s="80" t="s">
        <v>2110</v>
      </c>
      <c r="B563" s="81"/>
      <c r="C563" s="19" t="s">
        <v>1312</v>
      </c>
      <c r="D563" s="19" t="s">
        <v>2172</v>
      </c>
      <c r="E563" s="20">
        <v>45625</v>
      </c>
    </row>
    <row r="564" spans="1:5">
      <c r="A564" s="80" t="s">
        <v>2110</v>
      </c>
      <c r="B564" s="81"/>
      <c r="C564" s="19" t="s">
        <v>1312</v>
      </c>
      <c r="D564" s="19" t="s">
        <v>2173</v>
      </c>
      <c r="E564" s="20">
        <v>45625</v>
      </c>
    </row>
    <row r="565" spans="1:5">
      <c r="A565" s="80" t="s">
        <v>2174</v>
      </c>
      <c r="B565" s="81"/>
      <c r="C565" s="19" t="s">
        <v>1322</v>
      </c>
      <c r="D565" s="19" t="s">
        <v>2174</v>
      </c>
      <c r="E565" s="20">
        <v>45625</v>
      </c>
    </row>
    <row r="566" spans="1:5">
      <c r="A566" s="80" t="s">
        <v>2175</v>
      </c>
      <c r="B566" s="81"/>
      <c r="C566" s="19" t="s">
        <v>1277</v>
      </c>
      <c r="D566" s="19" t="s">
        <v>1396</v>
      </c>
      <c r="E566" s="20">
        <v>45625</v>
      </c>
    </row>
    <row r="567" spans="1:5">
      <c r="A567" s="80" t="s">
        <v>2176</v>
      </c>
      <c r="B567" s="81"/>
      <c r="C567" s="19" t="s">
        <v>1277</v>
      </c>
      <c r="D567" s="19" t="s">
        <v>2177</v>
      </c>
      <c r="E567" s="20">
        <v>45626</v>
      </c>
    </row>
    <row r="568" spans="1:5">
      <c r="A568" s="80" t="s">
        <v>2178</v>
      </c>
      <c r="B568" s="81"/>
      <c r="C568" s="19" t="s">
        <v>1277</v>
      </c>
      <c r="D568" s="19" t="s">
        <v>2179</v>
      </c>
      <c r="E568" s="20">
        <v>45627</v>
      </c>
    </row>
    <row r="569" spans="1:5">
      <c r="A569" s="80" t="s">
        <v>2180</v>
      </c>
      <c r="B569" s="81"/>
      <c r="C569" s="19" t="s">
        <v>1277</v>
      </c>
      <c r="D569" s="19" t="s">
        <v>1302</v>
      </c>
      <c r="E569" s="20">
        <v>45628</v>
      </c>
    </row>
    <row r="570" spans="1:5">
      <c r="A570" s="80" t="s">
        <v>2181</v>
      </c>
      <c r="B570" s="81"/>
      <c r="C570" s="19" t="s">
        <v>1277</v>
      </c>
      <c r="D570" s="19" t="s">
        <v>2182</v>
      </c>
      <c r="E570" s="20">
        <v>45629</v>
      </c>
    </row>
    <row r="571" spans="1:5">
      <c r="A571" s="80" t="s">
        <v>2183</v>
      </c>
      <c r="B571" s="81"/>
      <c r="C571" s="19" t="s">
        <v>1277</v>
      </c>
      <c r="D571" s="19" t="s">
        <v>2184</v>
      </c>
      <c r="E571" s="20">
        <v>45630</v>
      </c>
    </row>
    <row r="572" spans="1:5">
      <c r="A572" s="80" t="s">
        <v>2185</v>
      </c>
      <c r="B572" s="81"/>
      <c r="C572" s="19" t="s">
        <v>1277</v>
      </c>
      <c r="D572" s="19" t="s">
        <v>1449</v>
      </c>
      <c r="E572" s="20">
        <v>45630</v>
      </c>
    </row>
    <row r="573" spans="1:5">
      <c r="A573" s="80" t="s">
        <v>2186</v>
      </c>
      <c r="B573" s="81"/>
      <c r="C573" s="19" t="s">
        <v>1277</v>
      </c>
      <c r="D573" s="19" t="s">
        <v>1449</v>
      </c>
      <c r="E573" s="20">
        <v>45630</v>
      </c>
    </row>
    <row r="574" spans="1:5">
      <c r="A574" s="80" t="s">
        <v>2187</v>
      </c>
      <c r="B574" s="81"/>
      <c r="C574" s="19" t="s">
        <v>1277</v>
      </c>
      <c r="D574" s="19" t="s">
        <v>2188</v>
      </c>
      <c r="E574" s="20">
        <v>45631</v>
      </c>
    </row>
    <row r="575" spans="1:5">
      <c r="A575" s="80" t="s">
        <v>2189</v>
      </c>
      <c r="B575" s="81"/>
      <c r="C575" s="19" t="s">
        <v>1277</v>
      </c>
      <c r="D575" s="19" t="s">
        <v>2190</v>
      </c>
      <c r="E575" s="20">
        <v>45632</v>
      </c>
    </row>
    <row r="576" spans="1:5">
      <c r="A576" s="80" t="s">
        <v>2191</v>
      </c>
      <c r="B576" s="81"/>
      <c r="C576" s="19" t="s">
        <v>1277</v>
      </c>
      <c r="D576" s="19" t="s">
        <v>2192</v>
      </c>
      <c r="E576" s="20">
        <v>45632</v>
      </c>
    </row>
    <row r="577" spans="1:5">
      <c r="A577" s="80" t="s">
        <v>2193</v>
      </c>
      <c r="B577" s="81"/>
      <c r="C577" s="19" t="s">
        <v>1288</v>
      </c>
      <c r="D577" s="19" t="s">
        <v>2194</v>
      </c>
      <c r="E577" s="20">
        <v>45632</v>
      </c>
    </row>
    <row r="578" spans="1:5">
      <c r="A578" s="80" t="s">
        <v>2195</v>
      </c>
      <c r="B578" s="81"/>
      <c r="C578" s="19" t="s">
        <v>1277</v>
      </c>
      <c r="D578" s="19" t="s">
        <v>1278</v>
      </c>
      <c r="E578" s="20">
        <v>45632</v>
      </c>
    </row>
    <row r="579" spans="1:5">
      <c r="A579" s="80" t="s">
        <v>2196</v>
      </c>
      <c r="B579" s="81"/>
      <c r="C579" s="19" t="s">
        <v>1277</v>
      </c>
      <c r="D579" s="19" t="s">
        <v>2197</v>
      </c>
      <c r="E579" s="20">
        <v>45632</v>
      </c>
    </row>
    <row r="580" spans="1:5">
      <c r="A580" s="80" t="s">
        <v>2198</v>
      </c>
      <c r="B580" s="81"/>
      <c r="C580" s="19" t="s">
        <v>1277</v>
      </c>
      <c r="D580" s="19" t="s">
        <v>1449</v>
      </c>
      <c r="E580" s="20">
        <v>45636</v>
      </c>
    </row>
    <row r="581" spans="1:5">
      <c r="A581" s="80" t="s">
        <v>2199</v>
      </c>
      <c r="B581" s="81"/>
      <c r="C581" s="19" t="s">
        <v>1277</v>
      </c>
      <c r="D581" s="19" t="s">
        <v>1346</v>
      </c>
      <c r="E581" s="20">
        <v>45636</v>
      </c>
    </row>
    <row r="582" spans="1:5">
      <c r="A582" s="80" t="s">
        <v>2200</v>
      </c>
      <c r="B582" s="81"/>
      <c r="C582" s="19" t="s">
        <v>1277</v>
      </c>
      <c r="D582" s="19" t="s">
        <v>2201</v>
      </c>
      <c r="E582" s="20">
        <v>45637</v>
      </c>
    </row>
    <row r="583" spans="1:5">
      <c r="A583" s="80" t="s">
        <v>2202</v>
      </c>
      <c r="B583" s="81"/>
      <c r="C583" s="19" t="s">
        <v>1277</v>
      </c>
      <c r="D583" s="19" t="s">
        <v>1548</v>
      </c>
      <c r="E583" s="20">
        <v>45637</v>
      </c>
    </row>
    <row r="584" spans="1:5">
      <c r="A584" s="80" t="s">
        <v>2203</v>
      </c>
      <c r="B584" s="81"/>
      <c r="C584" s="19" t="s">
        <v>1288</v>
      </c>
      <c r="D584" s="19" t="s">
        <v>109</v>
      </c>
      <c r="E584" s="20">
        <v>45638</v>
      </c>
    </row>
    <row r="585" spans="1:5">
      <c r="A585" s="80" t="s">
        <v>2204</v>
      </c>
      <c r="B585" s="81"/>
      <c r="C585" s="19" t="s">
        <v>1415</v>
      </c>
      <c r="D585" s="19" t="s">
        <v>2205</v>
      </c>
      <c r="E585" s="20">
        <v>45638</v>
      </c>
    </row>
    <row r="586" spans="1:5">
      <c r="A586" s="80" t="s">
        <v>2206</v>
      </c>
      <c r="B586" s="81"/>
      <c r="C586" s="19" t="s">
        <v>1415</v>
      </c>
      <c r="D586" s="19" t="s">
        <v>2206</v>
      </c>
      <c r="E586" s="20">
        <v>45638</v>
      </c>
    </row>
    <row r="587" spans="1:5">
      <c r="A587" s="80" t="s">
        <v>2207</v>
      </c>
      <c r="B587" s="81"/>
      <c r="C587" s="19" t="s">
        <v>1277</v>
      </c>
      <c r="D587" s="19" t="s">
        <v>1302</v>
      </c>
      <c r="E587" s="20">
        <v>45642</v>
      </c>
    </row>
    <row r="588" spans="1:5">
      <c r="A588" s="80" t="s">
        <v>2208</v>
      </c>
      <c r="B588" s="81"/>
      <c r="C588" s="19" t="s">
        <v>1277</v>
      </c>
      <c r="D588" s="19" t="s">
        <v>1550</v>
      </c>
      <c r="E588" s="20">
        <v>45642</v>
      </c>
    </row>
    <row r="589" spans="1:5">
      <c r="A589" s="80" t="s">
        <v>2209</v>
      </c>
      <c r="B589" s="81"/>
      <c r="C589" s="19" t="s">
        <v>1288</v>
      </c>
      <c r="D589" s="19" t="s">
        <v>2210</v>
      </c>
      <c r="E589" s="20">
        <v>45643</v>
      </c>
    </row>
    <row r="590" spans="1:5">
      <c r="A590" s="80" t="s">
        <v>2211</v>
      </c>
      <c r="B590" s="81"/>
      <c r="C590" s="19" t="s">
        <v>1288</v>
      </c>
      <c r="D590" s="19" t="s">
        <v>2212</v>
      </c>
      <c r="E590" s="20">
        <v>45643</v>
      </c>
    </row>
    <row r="591" spans="1:5">
      <c r="A591" s="80" t="s">
        <v>2213</v>
      </c>
      <c r="B591" s="81"/>
      <c r="C591" s="19" t="s">
        <v>1277</v>
      </c>
      <c r="D591" s="19" t="s">
        <v>2214</v>
      </c>
      <c r="E591" s="20">
        <v>45644</v>
      </c>
    </row>
    <row r="592" spans="1:5">
      <c r="A592" s="80" t="s">
        <v>2215</v>
      </c>
      <c r="B592" s="81"/>
      <c r="C592" s="19" t="s">
        <v>1277</v>
      </c>
      <c r="D592" s="19" t="s">
        <v>1396</v>
      </c>
      <c r="E592" s="20">
        <v>45645</v>
      </c>
    </row>
    <row r="593" spans="1:5">
      <c r="A593" s="80" t="s">
        <v>2216</v>
      </c>
      <c r="B593" s="81"/>
      <c r="C593" s="19" t="s">
        <v>1277</v>
      </c>
      <c r="D593" s="19" t="s">
        <v>2217</v>
      </c>
      <c r="E593" s="20">
        <v>45652</v>
      </c>
    </row>
    <row r="594" spans="1:5">
      <c r="A594" s="80" t="s">
        <v>2218</v>
      </c>
      <c r="B594" s="81"/>
      <c r="C594" s="19" t="s">
        <v>1277</v>
      </c>
      <c r="D594" s="19" t="s">
        <v>1362</v>
      </c>
      <c r="E594" s="20">
        <v>45653</v>
      </c>
    </row>
    <row r="595" spans="1:5">
      <c r="A595" s="80" t="s">
        <v>2219</v>
      </c>
      <c r="B595" s="81"/>
      <c r="C595" s="19" t="s">
        <v>1277</v>
      </c>
      <c r="D595" s="19" t="s">
        <v>1431</v>
      </c>
      <c r="E595" s="20">
        <v>45653</v>
      </c>
    </row>
    <row r="596" spans="1:5">
      <c r="A596" s="80" t="s">
        <v>2220</v>
      </c>
      <c r="B596" s="81"/>
      <c r="C596" s="19" t="s">
        <v>1277</v>
      </c>
      <c r="D596" s="19" t="s">
        <v>1278</v>
      </c>
      <c r="E596" s="20">
        <v>45653</v>
      </c>
    </row>
    <row r="597" spans="1:5">
      <c r="A597" s="80" t="s">
        <v>2221</v>
      </c>
      <c r="B597" s="81"/>
      <c r="C597" s="19" t="s">
        <v>1277</v>
      </c>
      <c r="D597" s="19" t="s">
        <v>1284</v>
      </c>
      <c r="E597" s="20">
        <v>45653</v>
      </c>
    </row>
    <row r="598" spans="1:5">
      <c r="A598" s="80" t="s">
        <v>2222</v>
      </c>
      <c r="B598" s="81"/>
      <c r="C598" s="19" t="s">
        <v>1288</v>
      </c>
      <c r="D598" s="19" t="s">
        <v>1543</v>
      </c>
      <c r="E598" s="20">
        <v>45653</v>
      </c>
    </row>
    <row r="599" spans="1:5">
      <c r="A599" s="80" t="s">
        <v>2223</v>
      </c>
      <c r="B599" s="81"/>
      <c r="C599" s="19" t="s">
        <v>1277</v>
      </c>
      <c r="D599" s="19" t="s">
        <v>1362</v>
      </c>
      <c r="E599" s="20">
        <v>45665</v>
      </c>
    </row>
    <row r="600" spans="1:5">
      <c r="A600" s="80" t="s">
        <v>2224</v>
      </c>
      <c r="B600" s="81"/>
      <c r="C600" s="19" t="s">
        <v>1277</v>
      </c>
      <c r="D600" s="19" t="s">
        <v>1681</v>
      </c>
      <c r="E600" s="20">
        <v>45666</v>
      </c>
    </row>
    <row r="601" spans="1:5">
      <c r="A601" s="80" t="s">
        <v>2225</v>
      </c>
      <c r="B601" s="81"/>
      <c r="C601" s="19" t="s">
        <v>1277</v>
      </c>
      <c r="D601" s="19" t="s">
        <v>1304</v>
      </c>
      <c r="E601" s="20">
        <v>45666</v>
      </c>
    </row>
    <row r="602" spans="1:5">
      <c r="A602" s="80" t="s">
        <v>2226</v>
      </c>
      <c r="B602" s="81"/>
      <c r="C602" s="19" t="s">
        <v>1277</v>
      </c>
      <c r="D602" s="19" t="s">
        <v>2227</v>
      </c>
      <c r="E602" s="20">
        <v>45666</v>
      </c>
    </row>
    <row r="603" spans="1:5">
      <c r="A603" s="80" t="s">
        <v>2228</v>
      </c>
      <c r="B603" s="81"/>
      <c r="C603" s="19" t="s">
        <v>1288</v>
      </c>
      <c r="D603" s="19" t="s">
        <v>1362</v>
      </c>
      <c r="E603" s="20">
        <v>45667</v>
      </c>
    </row>
    <row r="604" spans="1:5">
      <c r="A604" s="80" t="s">
        <v>2176</v>
      </c>
      <c r="B604" s="81"/>
      <c r="C604" s="19" t="s">
        <v>1277</v>
      </c>
      <c r="D604" s="19" t="s">
        <v>2229</v>
      </c>
      <c r="E604" s="20">
        <v>45667</v>
      </c>
    </row>
    <row r="605" spans="1:5">
      <c r="A605" s="80" t="s">
        <v>2230</v>
      </c>
      <c r="B605" s="81"/>
      <c r="C605" s="19" t="s">
        <v>1277</v>
      </c>
      <c r="D605" s="19" t="s">
        <v>1469</v>
      </c>
      <c r="E605" s="20">
        <v>45668</v>
      </c>
    </row>
    <row r="606" spans="1:5">
      <c r="A606" s="80" t="s">
        <v>2231</v>
      </c>
      <c r="B606" s="81"/>
      <c r="C606" s="19" t="s">
        <v>1288</v>
      </c>
      <c r="D606" s="19" t="s">
        <v>2232</v>
      </c>
      <c r="E606" s="20">
        <v>45673</v>
      </c>
    </row>
    <row r="607" spans="1:5">
      <c r="A607" s="80" t="s">
        <v>2233</v>
      </c>
      <c r="B607" s="81"/>
      <c r="C607" s="19" t="s">
        <v>1277</v>
      </c>
      <c r="D607" s="19" t="s">
        <v>1488</v>
      </c>
      <c r="E607" s="20">
        <v>45674</v>
      </c>
    </row>
    <row r="608" spans="1:5">
      <c r="A608" s="80" t="s">
        <v>2234</v>
      </c>
      <c r="B608" s="81"/>
      <c r="C608" s="19" t="s">
        <v>1288</v>
      </c>
      <c r="D608" s="19" t="s">
        <v>2235</v>
      </c>
      <c r="E608" s="20">
        <v>45677</v>
      </c>
    </row>
    <row r="609" spans="1:5">
      <c r="A609" s="80" t="s">
        <v>2236</v>
      </c>
      <c r="B609" s="81"/>
      <c r="C609" s="19" t="s">
        <v>1277</v>
      </c>
      <c r="D609" s="19" t="s">
        <v>1449</v>
      </c>
      <c r="E609" s="20">
        <v>45677</v>
      </c>
    </row>
    <row r="610" spans="1:5">
      <c r="A610" s="80" t="s">
        <v>2237</v>
      </c>
      <c r="B610" s="81"/>
      <c r="C610" s="19" t="s">
        <v>1288</v>
      </c>
      <c r="D610" s="19" t="s">
        <v>2238</v>
      </c>
      <c r="E610" s="20">
        <v>45677</v>
      </c>
    </row>
    <row r="611" spans="1:5">
      <c r="A611" s="80" t="s">
        <v>2239</v>
      </c>
      <c r="B611" s="81"/>
      <c r="C611" s="19" t="s">
        <v>1277</v>
      </c>
      <c r="D611" s="19" t="s">
        <v>1302</v>
      </c>
      <c r="E611" s="20">
        <v>45679</v>
      </c>
    </row>
    <row r="612" spans="1:5">
      <c r="A612" s="80" t="s">
        <v>2240</v>
      </c>
      <c r="B612" s="81"/>
      <c r="C612" s="19" t="s">
        <v>1277</v>
      </c>
      <c r="D612" s="19" t="s">
        <v>1282</v>
      </c>
      <c r="E612" s="20">
        <v>45681</v>
      </c>
    </row>
    <row r="613" spans="1:5">
      <c r="A613" s="80" t="s">
        <v>2241</v>
      </c>
      <c r="B613" s="81"/>
      <c r="C613" s="19" t="s">
        <v>1277</v>
      </c>
      <c r="D613" s="19" t="s">
        <v>1332</v>
      </c>
      <c r="E613" s="20">
        <v>45682</v>
      </c>
    </row>
    <row r="614" spans="1:5">
      <c r="A614" s="80" t="s">
        <v>1581</v>
      </c>
      <c r="B614" s="81"/>
      <c r="C614" s="19" t="s">
        <v>1277</v>
      </c>
      <c r="D614" s="19" t="s">
        <v>2242</v>
      </c>
      <c r="E614" s="20">
        <v>45682</v>
      </c>
    </row>
    <row r="615" spans="1:5">
      <c r="A615" s="80" t="s">
        <v>2243</v>
      </c>
      <c r="B615" s="81"/>
      <c r="C615" s="19" t="s">
        <v>1277</v>
      </c>
      <c r="D615" s="19" t="s">
        <v>2244</v>
      </c>
      <c r="E615" s="20">
        <v>45684</v>
      </c>
    </row>
    <row r="616" spans="1:5">
      <c r="A616" s="80" t="s">
        <v>2245</v>
      </c>
      <c r="B616" s="81"/>
      <c r="C616" s="19" t="s">
        <v>1277</v>
      </c>
      <c r="D616" s="19" t="s">
        <v>2246</v>
      </c>
      <c r="E616" s="20">
        <v>45686</v>
      </c>
    </row>
    <row r="617" spans="1:5">
      <c r="A617" s="80" t="s">
        <v>2247</v>
      </c>
      <c r="B617" s="81"/>
      <c r="C617" s="19" t="s">
        <v>1277</v>
      </c>
      <c r="D617" s="19" t="s">
        <v>1579</v>
      </c>
      <c r="E617" s="20">
        <v>45688</v>
      </c>
    </row>
    <row r="618" spans="1:5">
      <c r="A618" s="80" t="s">
        <v>2248</v>
      </c>
      <c r="B618" s="81"/>
      <c r="C618" s="19" t="s">
        <v>1288</v>
      </c>
      <c r="D618" s="19" t="s">
        <v>1710</v>
      </c>
      <c r="E618" s="20">
        <v>45688</v>
      </c>
    </row>
    <row r="619" spans="1:5">
      <c r="A619" s="80" t="s">
        <v>2249</v>
      </c>
      <c r="B619" s="81"/>
      <c r="C619" s="19" t="s">
        <v>1288</v>
      </c>
      <c r="D619" s="19" t="s">
        <v>2250</v>
      </c>
      <c r="E619" s="20">
        <v>45688</v>
      </c>
    </row>
    <row r="620" spans="1:5">
      <c r="A620" s="80" t="s">
        <v>2251</v>
      </c>
      <c r="B620" s="81"/>
      <c r="C620" s="19" t="s">
        <v>1277</v>
      </c>
      <c r="D620" s="19" t="s">
        <v>2252</v>
      </c>
      <c r="E620" s="20">
        <v>45691</v>
      </c>
    </row>
    <row r="621" spans="1:5">
      <c r="A621" s="80" t="s">
        <v>2253</v>
      </c>
      <c r="B621" s="81"/>
      <c r="C621" s="19" t="s">
        <v>1277</v>
      </c>
      <c r="D621" s="19" t="s">
        <v>1396</v>
      </c>
      <c r="E621" s="20">
        <v>45691</v>
      </c>
    </row>
    <row r="622" spans="1:5">
      <c r="A622" s="80" t="s">
        <v>2254</v>
      </c>
      <c r="B622" s="81"/>
      <c r="C622" s="19" t="s">
        <v>1415</v>
      </c>
      <c r="D622" s="19" t="s">
        <v>2255</v>
      </c>
      <c r="E622" s="20">
        <v>45692</v>
      </c>
    </row>
    <row r="623" spans="1:5">
      <c r="A623" s="80" t="s">
        <v>2256</v>
      </c>
      <c r="B623" s="81"/>
      <c r="C623" s="19" t="s">
        <v>1277</v>
      </c>
      <c r="D623" s="19" t="s">
        <v>1469</v>
      </c>
      <c r="E623" s="20">
        <v>45694</v>
      </c>
    </row>
    <row r="624" spans="1:5">
      <c r="A624" s="80" t="s">
        <v>2257</v>
      </c>
      <c r="B624" s="81"/>
      <c r="C624" s="19" t="s">
        <v>1277</v>
      </c>
      <c r="D624" s="19" t="s">
        <v>1449</v>
      </c>
      <c r="E624" s="20">
        <v>45695</v>
      </c>
    </row>
    <row r="625" spans="1:5">
      <c r="A625" s="80" t="s">
        <v>2258</v>
      </c>
      <c r="B625" s="81"/>
      <c r="C625" s="19" t="s">
        <v>1322</v>
      </c>
      <c r="D625" s="19" t="s">
        <v>1332</v>
      </c>
      <c r="E625" s="20">
        <v>45695</v>
      </c>
    </row>
    <row r="626" spans="1:5">
      <c r="A626" s="80" t="s">
        <v>2259</v>
      </c>
      <c r="B626" s="81"/>
      <c r="C626" s="19" t="s">
        <v>1277</v>
      </c>
      <c r="D626" s="19" t="s">
        <v>1543</v>
      </c>
      <c r="E626" s="20">
        <v>45701</v>
      </c>
    </row>
    <row r="627" spans="1:5">
      <c r="A627" s="80" t="s">
        <v>2260</v>
      </c>
      <c r="B627" s="81"/>
      <c r="C627" s="19" t="s">
        <v>1277</v>
      </c>
      <c r="D627" s="19" t="s">
        <v>2261</v>
      </c>
      <c r="E627" s="20">
        <v>45702</v>
      </c>
    </row>
    <row r="628" spans="1:5">
      <c r="A628" s="80" t="s">
        <v>2262</v>
      </c>
      <c r="B628" s="81"/>
      <c r="C628" s="19" t="s">
        <v>1277</v>
      </c>
      <c r="D628" s="19" t="s">
        <v>1406</v>
      </c>
      <c r="E628" s="20">
        <v>45702</v>
      </c>
    </row>
    <row r="629" spans="1:5">
      <c r="A629" s="80" t="s">
        <v>2263</v>
      </c>
      <c r="B629" s="81"/>
      <c r="C629" s="19" t="s">
        <v>1277</v>
      </c>
      <c r="D629" s="19" t="s">
        <v>1302</v>
      </c>
      <c r="E629" s="20">
        <v>45702</v>
      </c>
    </row>
    <row r="630" spans="1:5">
      <c r="A630" s="80" t="s">
        <v>2176</v>
      </c>
      <c r="B630" s="81"/>
      <c r="C630" s="19" t="s">
        <v>1277</v>
      </c>
      <c r="D630" s="19" t="s">
        <v>1531</v>
      </c>
      <c r="E630" s="20">
        <v>45703</v>
      </c>
    </row>
    <row r="631" spans="1:5">
      <c r="A631" s="80" t="s">
        <v>2264</v>
      </c>
      <c r="B631" s="81"/>
      <c r="C631" s="19" t="s">
        <v>1277</v>
      </c>
      <c r="D631" s="19" t="s">
        <v>2252</v>
      </c>
      <c r="E631" s="20">
        <v>45705</v>
      </c>
    </row>
    <row r="632" spans="1:5">
      <c r="A632" s="80" t="s">
        <v>2265</v>
      </c>
      <c r="B632" s="81"/>
      <c r="C632" s="19" t="s">
        <v>1277</v>
      </c>
      <c r="D632" s="19" t="s">
        <v>2266</v>
      </c>
      <c r="E632" s="20">
        <v>45706</v>
      </c>
    </row>
    <row r="633" spans="1:5">
      <c r="A633" s="80" t="s">
        <v>2267</v>
      </c>
      <c r="B633" s="81"/>
      <c r="C633" s="19" t="s">
        <v>1277</v>
      </c>
      <c r="D633" s="19" t="s">
        <v>2268</v>
      </c>
      <c r="E633" s="20">
        <v>45708</v>
      </c>
    </row>
    <row r="634" spans="1:5">
      <c r="A634" s="80" t="s">
        <v>2269</v>
      </c>
      <c r="B634" s="81"/>
      <c r="C634" s="19" t="s">
        <v>1277</v>
      </c>
      <c r="D634" s="19" t="s">
        <v>2270</v>
      </c>
      <c r="E634" s="20">
        <v>45712</v>
      </c>
    </row>
    <row r="635" spans="1:5">
      <c r="A635" s="80" t="s">
        <v>2271</v>
      </c>
      <c r="B635" s="81"/>
      <c r="C635" s="19" t="s">
        <v>1277</v>
      </c>
      <c r="D635" s="19" t="s">
        <v>1334</v>
      </c>
      <c r="E635" s="20">
        <v>45712</v>
      </c>
    </row>
    <row r="636" spans="1:5">
      <c r="A636" s="80" t="s">
        <v>2272</v>
      </c>
      <c r="B636" s="81"/>
      <c r="C636" s="19" t="s">
        <v>1277</v>
      </c>
      <c r="D636" s="19" t="s">
        <v>1302</v>
      </c>
      <c r="E636" s="20">
        <v>45712</v>
      </c>
    </row>
    <row r="637" spans="1:5">
      <c r="A637" s="80" t="s">
        <v>2273</v>
      </c>
      <c r="B637" s="81"/>
      <c r="C637" s="19" t="s">
        <v>1277</v>
      </c>
      <c r="D637" s="19" t="s">
        <v>2274</v>
      </c>
      <c r="E637" s="20">
        <v>45713</v>
      </c>
    </row>
    <row r="638" spans="1:5">
      <c r="A638" s="80" t="s">
        <v>2275</v>
      </c>
      <c r="B638" s="81"/>
      <c r="C638" s="19" t="s">
        <v>1277</v>
      </c>
      <c r="D638" s="19" t="s">
        <v>2276</v>
      </c>
      <c r="E638" s="20">
        <v>45715</v>
      </c>
    </row>
    <row r="639" spans="1:5">
      <c r="A639" s="80" t="s">
        <v>2277</v>
      </c>
      <c r="B639" s="81"/>
      <c r="C639" s="19" t="s">
        <v>1277</v>
      </c>
      <c r="D639" s="19" t="s">
        <v>2278</v>
      </c>
      <c r="E639" s="20">
        <v>45715</v>
      </c>
    </row>
    <row r="640" spans="1:5">
      <c r="A640" s="80" t="s">
        <v>2279</v>
      </c>
      <c r="B640" s="81"/>
      <c r="C640" s="19" t="s">
        <v>1277</v>
      </c>
      <c r="D640" s="19" t="s">
        <v>2280</v>
      </c>
      <c r="E640" s="20">
        <v>45715</v>
      </c>
    </row>
    <row r="641" spans="1:5">
      <c r="A641" s="80" t="s">
        <v>2281</v>
      </c>
      <c r="B641" s="81"/>
      <c r="C641" s="19" t="s">
        <v>1277</v>
      </c>
      <c r="D641" s="19" t="s">
        <v>1362</v>
      </c>
      <c r="E641" s="20">
        <v>45716</v>
      </c>
    </row>
    <row r="642" spans="1:5">
      <c r="A642" s="80" t="s">
        <v>2282</v>
      </c>
      <c r="B642" s="81"/>
      <c r="C642" s="19" t="s">
        <v>1277</v>
      </c>
      <c r="D642" s="19" t="s">
        <v>1550</v>
      </c>
      <c r="E642" s="20">
        <v>45722</v>
      </c>
    </row>
    <row r="643" spans="1:5">
      <c r="A643" s="80" t="s">
        <v>2283</v>
      </c>
      <c r="B643" s="81"/>
      <c r="C643" s="19" t="s">
        <v>1288</v>
      </c>
      <c r="D643" s="19" t="s">
        <v>1647</v>
      </c>
      <c r="E643" s="20">
        <v>45723</v>
      </c>
    </row>
    <row r="644" spans="1:5">
      <c r="A644" s="80" t="s">
        <v>2284</v>
      </c>
      <c r="B644" s="81"/>
      <c r="C644" s="19" t="s">
        <v>1277</v>
      </c>
      <c r="D644" s="19" t="s">
        <v>2285</v>
      </c>
      <c r="E644" s="20">
        <v>45723</v>
      </c>
    </row>
    <row r="645" spans="1:5">
      <c r="A645" s="80" t="s">
        <v>2286</v>
      </c>
      <c r="B645" s="81"/>
      <c r="C645" s="19" t="s">
        <v>1277</v>
      </c>
      <c r="D645" s="19" t="s">
        <v>2287</v>
      </c>
      <c r="E645" s="20">
        <v>45724</v>
      </c>
    </row>
    <row r="646" spans="1:5">
      <c r="A646" s="80" t="s">
        <v>2288</v>
      </c>
      <c r="B646" s="81"/>
      <c r="C646" s="19" t="s">
        <v>1277</v>
      </c>
      <c r="D646" s="19" t="s">
        <v>1664</v>
      </c>
      <c r="E646" s="20">
        <v>45726</v>
      </c>
    </row>
    <row r="647" spans="1:5">
      <c r="A647" s="80" t="s">
        <v>2289</v>
      </c>
      <c r="B647" s="81"/>
      <c r="C647" s="19" t="s">
        <v>1277</v>
      </c>
      <c r="D647" s="19" t="s">
        <v>1334</v>
      </c>
      <c r="E647" s="20">
        <v>45727</v>
      </c>
    </row>
    <row r="648" spans="1:5">
      <c r="A648" s="80" t="s">
        <v>2290</v>
      </c>
      <c r="B648" s="81"/>
      <c r="C648" s="19" t="s">
        <v>1277</v>
      </c>
      <c r="D648" s="19" t="s">
        <v>2291</v>
      </c>
      <c r="E648" s="20">
        <v>45727</v>
      </c>
    </row>
    <row r="649" spans="1:5">
      <c r="A649" s="80" t="s">
        <v>2292</v>
      </c>
      <c r="B649" s="81"/>
      <c r="C649" s="19" t="s">
        <v>1277</v>
      </c>
      <c r="D649" s="19" t="s">
        <v>2291</v>
      </c>
      <c r="E649" s="20">
        <v>45727</v>
      </c>
    </row>
    <row r="650" spans="1:5">
      <c r="A650" s="80" t="s">
        <v>2293</v>
      </c>
      <c r="B650" s="81"/>
      <c r="C650" s="19" t="s">
        <v>2128</v>
      </c>
      <c r="D650" s="19" t="s">
        <v>2294</v>
      </c>
      <c r="E650" s="20">
        <v>45728</v>
      </c>
    </row>
    <row r="651" spans="1:5">
      <c r="A651" s="80" t="s">
        <v>2295</v>
      </c>
      <c r="B651" s="81"/>
      <c r="C651" s="19" t="s">
        <v>1277</v>
      </c>
      <c r="D651" s="19" t="s">
        <v>2188</v>
      </c>
      <c r="E651" s="20">
        <v>45730</v>
      </c>
    </row>
    <row r="652" spans="1:5">
      <c r="A652" s="80" t="s">
        <v>2296</v>
      </c>
      <c r="B652" s="81"/>
      <c r="C652" s="19" t="s">
        <v>1277</v>
      </c>
      <c r="D652" s="19" t="s">
        <v>2297</v>
      </c>
      <c r="E652" s="20">
        <v>45730</v>
      </c>
    </row>
    <row r="653" spans="1:5">
      <c r="A653" s="80" t="s">
        <v>2298</v>
      </c>
      <c r="B653" s="81"/>
      <c r="C653" s="19" t="s">
        <v>1277</v>
      </c>
      <c r="D653" s="19" t="s">
        <v>2299</v>
      </c>
      <c r="E653" s="20">
        <v>45733</v>
      </c>
    </row>
    <row r="654" spans="1:5">
      <c r="A654" s="80" t="s">
        <v>2300</v>
      </c>
      <c r="B654" s="81"/>
      <c r="C654" s="19" t="s">
        <v>1415</v>
      </c>
      <c r="D654" s="19" t="s">
        <v>2301</v>
      </c>
      <c r="E654" s="20">
        <v>45734</v>
      </c>
    </row>
    <row r="655" spans="1:5">
      <c r="A655" s="80" t="s">
        <v>2302</v>
      </c>
      <c r="B655" s="81"/>
      <c r="C655" s="19" t="s">
        <v>1415</v>
      </c>
      <c r="D655" s="19" t="s">
        <v>2303</v>
      </c>
      <c r="E655" s="20">
        <v>45734</v>
      </c>
    </row>
    <row r="656" spans="1:5">
      <c r="A656" s="80" t="s">
        <v>2304</v>
      </c>
      <c r="B656" s="81"/>
      <c r="C656" s="19" t="s">
        <v>1415</v>
      </c>
      <c r="D656" s="19" t="s">
        <v>2305</v>
      </c>
      <c r="E656" s="20">
        <v>45734</v>
      </c>
    </row>
    <row r="657" spans="1:5">
      <c r="A657" s="80" t="s">
        <v>2306</v>
      </c>
      <c r="B657" s="81"/>
      <c r="C657" s="19" t="s">
        <v>1415</v>
      </c>
      <c r="D657" s="19" t="s">
        <v>2307</v>
      </c>
      <c r="E657" s="20">
        <v>45734</v>
      </c>
    </row>
    <row r="658" spans="1:5">
      <c r="A658" s="80" t="s">
        <v>2308</v>
      </c>
      <c r="B658" s="81"/>
      <c r="C658" s="19" t="s">
        <v>1277</v>
      </c>
      <c r="D658" s="19" t="s">
        <v>1362</v>
      </c>
      <c r="E658" s="20">
        <v>45737</v>
      </c>
    </row>
    <row r="659" spans="1:5">
      <c r="A659" s="80" t="s">
        <v>2309</v>
      </c>
      <c r="B659" s="81"/>
      <c r="C659" s="19" t="s">
        <v>1288</v>
      </c>
      <c r="D659" s="19" t="s">
        <v>197</v>
      </c>
      <c r="E659" s="20">
        <v>45737</v>
      </c>
    </row>
    <row r="660" spans="1:5">
      <c r="A660" s="80" t="s">
        <v>2310</v>
      </c>
      <c r="B660" s="81"/>
      <c r="C660" s="19" t="s">
        <v>1277</v>
      </c>
      <c r="D660" s="19" t="s">
        <v>1302</v>
      </c>
      <c r="E660" s="20">
        <v>45737</v>
      </c>
    </row>
    <row r="661" spans="1:5">
      <c r="A661" s="80" t="s">
        <v>2311</v>
      </c>
      <c r="B661" s="81"/>
      <c r="C661" s="19" t="s">
        <v>1277</v>
      </c>
      <c r="D661" s="19" t="s">
        <v>1302</v>
      </c>
      <c r="E661" s="20">
        <v>45740</v>
      </c>
    </row>
    <row r="662" spans="1:5">
      <c r="A662" s="80" t="s">
        <v>2312</v>
      </c>
      <c r="B662" s="81"/>
      <c r="C662" s="19" t="s">
        <v>1277</v>
      </c>
      <c r="D662" s="19" t="s">
        <v>1449</v>
      </c>
      <c r="E662" s="20">
        <v>45741</v>
      </c>
    </row>
    <row r="663" spans="1:5">
      <c r="A663" s="80" t="s">
        <v>2313</v>
      </c>
      <c r="B663" s="81"/>
      <c r="C663" s="19" t="s">
        <v>1277</v>
      </c>
      <c r="D663" s="19" t="s">
        <v>1469</v>
      </c>
      <c r="E663" s="20">
        <v>45742</v>
      </c>
    </row>
    <row r="664" spans="1:5">
      <c r="A664" s="80" t="s">
        <v>2314</v>
      </c>
      <c r="B664" s="81"/>
      <c r="C664" s="19" t="s">
        <v>1277</v>
      </c>
      <c r="D664" s="19" t="s">
        <v>1278</v>
      </c>
      <c r="E664" s="20">
        <v>45743</v>
      </c>
    </row>
    <row r="665" spans="1:5">
      <c r="A665" s="80" t="s">
        <v>2315</v>
      </c>
      <c r="B665" s="81"/>
      <c r="C665" s="19" t="s">
        <v>1277</v>
      </c>
      <c r="D665" s="19" t="s">
        <v>2120</v>
      </c>
      <c r="E665" s="20">
        <v>45744</v>
      </c>
    </row>
    <row r="666" spans="1:5">
      <c r="A666" s="80" t="s">
        <v>2316</v>
      </c>
      <c r="B666" s="81"/>
      <c r="C666" s="19" t="s">
        <v>1277</v>
      </c>
      <c r="D666" s="19" t="s">
        <v>1579</v>
      </c>
      <c r="E666" s="20">
        <v>45744</v>
      </c>
    </row>
    <row r="667" spans="1:5">
      <c r="A667" s="80" t="s">
        <v>2317</v>
      </c>
      <c r="B667" s="81"/>
      <c r="C667" s="19" t="s">
        <v>1277</v>
      </c>
      <c r="D667" s="19" t="s">
        <v>2318</v>
      </c>
      <c r="E667" s="20">
        <v>45751</v>
      </c>
    </row>
    <row r="668" spans="1:5">
      <c r="A668" s="80" t="s">
        <v>2319</v>
      </c>
      <c r="B668" s="81"/>
      <c r="C668" s="19" t="s">
        <v>1277</v>
      </c>
      <c r="D668" s="19" t="s">
        <v>2318</v>
      </c>
      <c r="E668" s="20">
        <v>45751</v>
      </c>
    </row>
    <row r="669" spans="1:5">
      <c r="A669" s="80" t="s">
        <v>2320</v>
      </c>
      <c r="B669" s="81"/>
      <c r="C669" s="19" t="s">
        <v>1277</v>
      </c>
      <c r="D669" s="19" t="s">
        <v>1469</v>
      </c>
      <c r="E669" s="20">
        <v>45753</v>
      </c>
    </row>
    <row r="670" spans="1:5">
      <c r="A670" s="80" t="s">
        <v>2321</v>
      </c>
      <c r="B670" s="81"/>
      <c r="C670" s="19" t="s">
        <v>1288</v>
      </c>
      <c r="D670" s="19" t="s">
        <v>1302</v>
      </c>
      <c r="E670" s="20">
        <v>45755</v>
      </c>
    </row>
    <row r="671" spans="1:5">
      <c r="A671" s="80" t="s">
        <v>2322</v>
      </c>
      <c r="B671" s="81"/>
      <c r="C671" s="19" t="s">
        <v>1277</v>
      </c>
      <c r="D671" s="19" t="s">
        <v>2323</v>
      </c>
      <c r="E671" s="20">
        <v>45756</v>
      </c>
    </row>
    <row r="672" spans="1:5">
      <c r="A672" s="80" t="s">
        <v>2324</v>
      </c>
      <c r="B672" s="81"/>
      <c r="C672" s="19" t="s">
        <v>1277</v>
      </c>
      <c r="D672" s="19" t="s">
        <v>2325</v>
      </c>
      <c r="E672" s="20">
        <v>45756</v>
      </c>
    </row>
    <row r="673" spans="1:5">
      <c r="A673" s="80" t="s">
        <v>2326</v>
      </c>
      <c r="B673" s="81"/>
      <c r="C673" s="19" t="s">
        <v>1277</v>
      </c>
      <c r="D673" s="19" t="s">
        <v>2327</v>
      </c>
      <c r="E673" s="20">
        <v>45758</v>
      </c>
    </row>
    <row r="674" spans="1:5">
      <c r="A674" s="80" t="s">
        <v>2328</v>
      </c>
      <c r="B674" s="81"/>
      <c r="C674" s="19" t="s">
        <v>1288</v>
      </c>
      <c r="D674" s="19" t="s">
        <v>310</v>
      </c>
      <c r="E674" s="20">
        <v>45762</v>
      </c>
    </row>
    <row r="675" spans="1:5">
      <c r="A675" s="80" t="s">
        <v>2329</v>
      </c>
      <c r="B675" s="81"/>
      <c r="C675" s="19" t="s">
        <v>1277</v>
      </c>
      <c r="D675" s="19" t="s">
        <v>2330</v>
      </c>
      <c r="E675" s="20">
        <v>45765</v>
      </c>
    </row>
    <row r="676" spans="1:5">
      <c r="A676" s="80" t="s">
        <v>2331</v>
      </c>
      <c r="B676" s="81"/>
      <c r="C676" s="19" t="s">
        <v>1277</v>
      </c>
      <c r="D676" s="19" t="s">
        <v>2332</v>
      </c>
      <c r="E676" s="20">
        <v>45765</v>
      </c>
    </row>
    <row r="677" spans="1:5">
      <c r="A677" s="80" t="s">
        <v>2333</v>
      </c>
      <c r="B677" s="81"/>
      <c r="C677" s="19" t="s">
        <v>1277</v>
      </c>
      <c r="D677" s="19" t="s">
        <v>1572</v>
      </c>
      <c r="E677" s="20">
        <v>45770</v>
      </c>
    </row>
    <row r="678" spans="1:5">
      <c r="A678" s="80" t="s">
        <v>2334</v>
      </c>
      <c r="B678" s="81"/>
      <c r="C678" s="19" t="s">
        <v>1288</v>
      </c>
      <c r="D678" s="19" t="s">
        <v>2335</v>
      </c>
      <c r="E678" s="20">
        <v>45771</v>
      </c>
    </row>
    <row r="679" spans="1:5">
      <c r="A679" s="80" t="s">
        <v>2328</v>
      </c>
      <c r="B679" s="81"/>
      <c r="C679" s="19" t="s">
        <v>1288</v>
      </c>
      <c r="D679" s="19" t="s">
        <v>2336</v>
      </c>
      <c r="E679" s="20">
        <v>45771</v>
      </c>
    </row>
    <row r="680" spans="1:5">
      <c r="A680" s="80" t="s">
        <v>2337</v>
      </c>
      <c r="B680" s="81"/>
      <c r="C680" s="19" t="s">
        <v>1277</v>
      </c>
      <c r="D680" s="19" t="s">
        <v>2338</v>
      </c>
      <c r="E680" s="20">
        <v>45772</v>
      </c>
    </row>
    <row r="681" spans="1:5">
      <c r="A681" s="80" t="s">
        <v>2339</v>
      </c>
      <c r="B681" s="81"/>
      <c r="C681" s="19" t="s">
        <v>1277</v>
      </c>
      <c r="D681" s="19" t="s">
        <v>2338</v>
      </c>
      <c r="E681" s="20">
        <v>45772</v>
      </c>
    </row>
    <row r="682" spans="1:5">
      <c r="A682" s="80" t="s">
        <v>2340</v>
      </c>
      <c r="B682" s="81"/>
      <c r="C682" s="19" t="s">
        <v>1277</v>
      </c>
      <c r="D682" s="19" t="s">
        <v>2341</v>
      </c>
      <c r="E682" s="20">
        <v>45772</v>
      </c>
    </row>
    <row r="683" spans="1:5">
      <c r="A683" s="80" t="s">
        <v>2342</v>
      </c>
      <c r="B683" s="81"/>
      <c r="C683" s="19" t="s">
        <v>1277</v>
      </c>
      <c r="D683" s="19" t="s">
        <v>1334</v>
      </c>
      <c r="E683" s="20">
        <v>45773</v>
      </c>
    </row>
    <row r="684" spans="1:5">
      <c r="A684" s="80" t="s">
        <v>2343</v>
      </c>
      <c r="B684" s="81"/>
      <c r="C684" s="19" t="s">
        <v>1277</v>
      </c>
      <c r="D684" s="19" t="s">
        <v>1548</v>
      </c>
      <c r="E684" s="20">
        <v>45773</v>
      </c>
    </row>
    <row r="685" spans="1:5">
      <c r="A685" s="80" t="s">
        <v>2344</v>
      </c>
      <c r="B685" s="81"/>
      <c r="C685" s="19" t="s">
        <v>1277</v>
      </c>
      <c r="D685" s="19" t="s">
        <v>2345</v>
      </c>
      <c r="E685" s="20">
        <v>45777</v>
      </c>
    </row>
    <row r="686" spans="1:5">
      <c r="A686" s="80" t="s">
        <v>2346</v>
      </c>
      <c r="B686" s="81"/>
      <c r="C686" s="19" t="s">
        <v>1277</v>
      </c>
      <c r="D686" s="19" t="s">
        <v>2214</v>
      </c>
      <c r="E686" s="20">
        <v>45778</v>
      </c>
    </row>
    <row r="687" spans="1:5">
      <c r="A687" s="80" t="s">
        <v>2347</v>
      </c>
      <c r="B687" s="81"/>
      <c r="C687" s="19" t="s">
        <v>1277</v>
      </c>
      <c r="D687" s="19" t="s">
        <v>1419</v>
      </c>
      <c r="E687" s="20">
        <v>45778</v>
      </c>
    </row>
    <row r="688" spans="1:5">
      <c r="A688" s="80" t="s">
        <v>2348</v>
      </c>
      <c r="B688" s="81"/>
      <c r="C688" s="19" t="s">
        <v>1277</v>
      </c>
      <c r="D688" s="19" t="s">
        <v>2332</v>
      </c>
      <c r="E688" s="20">
        <v>45778</v>
      </c>
    </row>
    <row r="689" spans="1:5">
      <c r="A689" s="80" t="s">
        <v>2349</v>
      </c>
      <c r="B689" s="81"/>
      <c r="C689" s="19" t="s">
        <v>1277</v>
      </c>
      <c r="D689" s="19" t="s">
        <v>1598</v>
      </c>
      <c r="E689" s="20">
        <v>45778</v>
      </c>
    </row>
    <row r="690" spans="1:5">
      <c r="A690" s="80" t="s">
        <v>2350</v>
      </c>
      <c r="B690" s="81"/>
      <c r="C690" s="19" t="s">
        <v>1277</v>
      </c>
      <c r="D690" s="19" t="s">
        <v>2351</v>
      </c>
      <c r="E690" s="20">
        <v>45778</v>
      </c>
    </row>
    <row r="691" spans="1:5">
      <c r="A691" s="80" t="s">
        <v>2352</v>
      </c>
      <c r="B691" s="81"/>
      <c r="C691" s="19" t="s">
        <v>1277</v>
      </c>
      <c r="D691" s="19" t="s">
        <v>2345</v>
      </c>
      <c r="E691" s="20">
        <v>45778</v>
      </c>
    </row>
    <row r="692" spans="1:5">
      <c r="A692" s="80" t="s">
        <v>2353</v>
      </c>
      <c r="B692" s="81"/>
      <c r="C692" s="19" t="s">
        <v>1277</v>
      </c>
      <c r="D692" s="19" t="s">
        <v>1302</v>
      </c>
      <c r="E692" s="20">
        <v>45783</v>
      </c>
    </row>
    <row r="693" spans="1:5">
      <c r="A693" s="80" t="s">
        <v>2354</v>
      </c>
      <c r="B693" s="81"/>
      <c r="C693" s="19" t="s">
        <v>1277</v>
      </c>
      <c r="D693" s="19" t="s">
        <v>1302</v>
      </c>
      <c r="E693" s="20">
        <v>45783</v>
      </c>
    </row>
    <row r="694" spans="1:5">
      <c r="A694" s="80" t="s">
        <v>2355</v>
      </c>
      <c r="B694" s="81"/>
      <c r="C694" s="19" t="s">
        <v>1277</v>
      </c>
      <c r="D694" s="19" t="s">
        <v>1302</v>
      </c>
      <c r="E694" s="20">
        <v>45783</v>
      </c>
    </row>
    <row r="695" spans="1:5">
      <c r="A695" s="80" t="s">
        <v>2356</v>
      </c>
      <c r="B695" s="81"/>
      <c r="C695" s="19" t="s">
        <v>1288</v>
      </c>
      <c r="D695" s="19" t="s">
        <v>2357</v>
      </c>
      <c r="E695" s="20">
        <v>45784</v>
      </c>
    </row>
    <row r="696" spans="1:5">
      <c r="A696" s="80" t="s">
        <v>2358</v>
      </c>
      <c r="B696" s="81"/>
      <c r="C696" s="19" t="s">
        <v>1277</v>
      </c>
      <c r="D696" s="19" t="s">
        <v>1681</v>
      </c>
      <c r="E696" s="20">
        <v>45784</v>
      </c>
    </row>
    <row r="697" spans="1:5">
      <c r="A697" s="80" t="s">
        <v>2359</v>
      </c>
      <c r="B697" s="81"/>
      <c r="C697" s="19" t="s">
        <v>1277</v>
      </c>
      <c r="D697" s="19" t="s">
        <v>1310</v>
      </c>
      <c r="E697" s="20">
        <v>45786</v>
      </c>
    </row>
    <row r="698" spans="1:5">
      <c r="A698" s="80" t="s">
        <v>2360</v>
      </c>
      <c r="B698" s="81"/>
      <c r="C698" s="19" t="s">
        <v>1277</v>
      </c>
      <c r="D698" s="19" t="s">
        <v>2327</v>
      </c>
      <c r="E698" s="20">
        <v>45786</v>
      </c>
    </row>
    <row r="699" spans="1:5">
      <c r="A699" s="80" t="s">
        <v>2361</v>
      </c>
      <c r="B699" s="81"/>
      <c r="C699" s="19" t="s">
        <v>1277</v>
      </c>
      <c r="D699" s="19" t="s">
        <v>1600</v>
      </c>
      <c r="E699" s="20">
        <v>45789</v>
      </c>
    </row>
    <row r="700" spans="1:5">
      <c r="A700" s="80" t="s">
        <v>2362</v>
      </c>
      <c r="B700" s="81"/>
      <c r="C700" s="19" t="s">
        <v>1277</v>
      </c>
      <c r="D700" s="19" t="s">
        <v>1659</v>
      </c>
      <c r="E700" s="20">
        <v>45789</v>
      </c>
    </row>
    <row r="701" spans="1:5">
      <c r="A701" s="80" t="s">
        <v>2363</v>
      </c>
      <c r="B701" s="81"/>
      <c r="C701" s="19" t="s">
        <v>1277</v>
      </c>
      <c r="D701" s="19" t="s">
        <v>2364</v>
      </c>
      <c r="E701" s="20">
        <v>45790</v>
      </c>
    </row>
    <row r="702" spans="1:5">
      <c r="A702" s="80" t="s">
        <v>2365</v>
      </c>
      <c r="B702" s="81"/>
      <c r="C702" s="19" t="s">
        <v>1412</v>
      </c>
      <c r="D702" s="19" t="s">
        <v>2366</v>
      </c>
      <c r="E702" s="20">
        <v>45791</v>
      </c>
    </row>
    <row r="703" spans="1:5">
      <c r="A703" s="80" t="s">
        <v>2367</v>
      </c>
      <c r="B703" s="81"/>
      <c r="C703" s="19" t="s">
        <v>1277</v>
      </c>
      <c r="D703" s="19" t="s">
        <v>1572</v>
      </c>
      <c r="E703" s="20">
        <v>45792</v>
      </c>
    </row>
    <row r="704" spans="1:5">
      <c r="A704" s="80" t="s">
        <v>2368</v>
      </c>
      <c r="B704" s="81"/>
      <c r="C704" s="19" t="s">
        <v>1277</v>
      </c>
      <c r="D704" s="19" t="s">
        <v>1572</v>
      </c>
      <c r="E704" s="20">
        <v>45792</v>
      </c>
    </row>
    <row r="705" spans="1:5">
      <c r="A705" s="80" t="s">
        <v>2369</v>
      </c>
      <c r="B705" s="81"/>
      <c r="C705" s="19" t="s">
        <v>1277</v>
      </c>
      <c r="D705" s="19" t="s">
        <v>2370</v>
      </c>
      <c r="E705" s="20">
        <v>45792</v>
      </c>
    </row>
    <row r="706" spans="1:5">
      <c r="A706" s="80" t="s">
        <v>2371</v>
      </c>
      <c r="B706" s="81"/>
      <c r="C706" s="19" t="s">
        <v>1277</v>
      </c>
      <c r="D706" s="19" t="s">
        <v>89</v>
      </c>
      <c r="E706" s="20">
        <v>45793</v>
      </c>
    </row>
    <row r="707" spans="1:5">
      <c r="A707" s="80" t="s">
        <v>2372</v>
      </c>
      <c r="B707" s="81"/>
      <c r="C707" s="19" t="s">
        <v>2373</v>
      </c>
      <c r="D707" s="19" t="s">
        <v>2374</v>
      </c>
      <c r="E707" s="20">
        <v>45796</v>
      </c>
    </row>
    <row r="708" spans="1:5">
      <c r="A708" s="80" t="s">
        <v>2375</v>
      </c>
      <c r="B708" s="81"/>
      <c r="C708" s="19" t="s">
        <v>1288</v>
      </c>
      <c r="D708" s="19" t="s">
        <v>402</v>
      </c>
      <c r="E708" s="20">
        <v>45796</v>
      </c>
    </row>
    <row r="709" spans="1:5">
      <c r="A709" s="80" t="s">
        <v>2376</v>
      </c>
      <c r="B709" s="81"/>
      <c r="C709" s="19" t="s">
        <v>2373</v>
      </c>
      <c r="D709" s="19" t="s">
        <v>2377</v>
      </c>
      <c r="E709" s="20">
        <v>45796</v>
      </c>
    </row>
    <row r="710" spans="1:5">
      <c r="A710" s="80" t="s">
        <v>2378</v>
      </c>
      <c r="B710" s="81"/>
      <c r="C710" s="19" t="s">
        <v>2373</v>
      </c>
      <c r="D710" s="19" t="s">
        <v>2379</v>
      </c>
      <c r="E710" s="20">
        <v>45796</v>
      </c>
    </row>
    <row r="711" spans="1:5">
      <c r="A711" s="80" t="s">
        <v>2380</v>
      </c>
      <c r="B711" s="81"/>
      <c r="C711" s="19" t="s">
        <v>2373</v>
      </c>
      <c r="D711" s="19" t="s">
        <v>2379</v>
      </c>
      <c r="E711" s="20">
        <v>45796</v>
      </c>
    </row>
    <row r="712" spans="1:5">
      <c r="A712" s="80" t="s">
        <v>2381</v>
      </c>
      <c r="B712" s="81"/>
      <c r="C712" s="19" t="s">
        <v>2373</v>
      </c>
      <c r="D712" s="19" t="s">
        <v>2377</v>
      </c>
      <c r="E712" s="20">
        <v>45796</v>
      </c>
    </row>
    <row r="713" spans="1:5">
      <c r="A713" s="80" t="s">
        <v>2382</v>
      </c>
      <c r="B713" s="81"/>
      <c r="C713" s="19" t="s">
        <v>1277</v>
      </c>
      <c r="D713" s="19" t="s">
        <v>1431</v>
      </c>
      <c r="E713" s="20">
        <v>45797</v>
      </c>
    </row>
    <row r="714" spans="1:5">
      <c r="A714" s="80" t="s">
        <v>2383</v>
      </c>
      <c r="B714" s="81"/>
      <c r="C714" s="19" t="s">
        <v>1277</v>
      </c>
      <c r="D714" s="19" t="s">
        <v>2384</v>
      </c>
      <c r="E714" s="20">
        <v>45797</v>
      </c>
    </row>
    <row r="715" spans="1:5">
      <c r="A715" s="80" t="s">
        <v>2385</v>
      </c>
      <c r="B715" s="81"/>
      <c r="C715" s="19" t="s">
        <v>1277</v>
      </c>
      <c r="D715" s="19" t="s">
        <v>2386</v>
      </c>
      <c r="E715" s="20">
        <v>45798</v>
      </c>
    </row>
    <row r="716" spans="1:5">
      <c r="A716" s="80" t="s">
        <v>2387</v>
      </c>
      <c r="B716" s="81"/>
      <c r="C716" s="19" t="s">
        <v>1277</v>
      </c>
      <c r="D716" s="19" t="s">
        <v>1334</v>
      </c>
      <c r="E716" s="20">
        <v>45800</v>
      </c>
    </row>
    <row r="717" spans="1:5">
      <c r="A717" s="80" t="s">
        <v>2388</v>
      </c>
      <c r="B717" s="81"/>
      <c r="C717" s="19" t="s">
        <v>1277</v>
      </c>
      <c r="D717" s="19" t="s">
        <v>2276</v>
      </c>
      <c r="E717" s="20">
        <v>45804</v>
      </c>
    </row>
    <row r="718" spans="1:5">
      <c r="A718" s="80" t="s">
        <v>2389</v>
      </c>
      <c r="B718" s="81"/>
      <c r="C718" s="19" t="s">
        <v>2373</v>
      </c>
      <c r="D718" s="19" t="s">
        <v>2379</v>
      </c>
      <c r="E718" s="20">
        <v>45805</v>
      </c>
    </row>
    <row r="719" spans="1:5">
      <c r="A719" s="80" t="s">
        <v>2390</v>
      </c>
      <c r="B719" s="81"/>
      <c r="C719" s="19" t="s">
        <v>2373</v>
      </c>
      <c r="D719" s="19" t="s">
        <v>2391</v>
      </c>
      <c r="E719" s="20">
        <v>45805</v>
      </c>
    </row>
    <row r="720" spans="1:5">
      <c r="A720" s="80" t="s">
        <v>2392</v>
      </c>
      <c r="B720" s="81"/>
      <c r="C720" s="19" t="s">
        <v>2373</v>
      </c>
      <c r="D720" s="19" t="s">
        <v>2377</v>
      </c>
      <c r="E720" s="20">
        <v>45805</v>
      </c>
    </row>
    <row r="721" spans="1:5">
      <c r="A721" s="80" t="s">
        <v>2393</v>
      </c>
      <c r="B721" s="81"/>
      <c r="C721" s="19" t="s">
        <v>1277</v>
      </c>
      <c r="D721" s="19" t="s">
        <v>1278</v>
      </c>
      <c r="E721" s="20">
        <v>45806</v>
      </c>
    </row>
    <row r="722" spans="1:5">
      <c r="A722" s="80" t="s">
        <v>2394</v>
      </c>
      <c r="B722" s="81"/>
      <c r="C722" s="19" t="s">
        <v>1288</v>
      </c>
      <c r="D722" s="19" t="s">
        <v>2395</v>
      </c>
      <c r="E722" s="20">
        <v>45806</v>
      </c>
    </row>
    <row r="723" spans="1:5">
      <c r="A723" s="80" t="s">
        <v>2396</v>
      </c>
      <c r="B723" s="81"/>
      <c r="C723" s="19" t="s">
        <v>1277</v>
      </c>
      <c r="D723" s="19" t="s">
        <v>1449</v>
      </c>
      <c r="E723" s="20">
        <v>45806</v>
      </c>
    </row>
    <row r="724" spans="1:5">
      <c r="A724" s="80" t="s">
        <v>2397</v>
      </c>
      <c r="B724" s="81"/>
      <c r="C724" s="19" t="s">
        <v>1277</v>
      </c>
      <c r="D724" s="19" t="s">
        <v>2398</v>
      </c>
      <c r="E724" s="20">
        <v>45807</v>
      </c>
    </row>
    <row r="725" spans="1:5">
      <c r="A725" s="80" t="s">
        <v>2399</v>
      </c>
      <c r="B725" s="81"/>
      <c r="C725" s="19" t="s">
        <v>1277</v>
      </c>
      <c r="D725" s="19" t="s">
        <v>2400</v>
      </c>
      <c r="E725" s="20">
        <v>45807</v>
      </c>
    </row>
    <row r="726" spans="1:5">
      <c r="A726" s="80" t="s">
        <v>2401</v>
      </c>
      <c r="B726" s="81"/>
      <c r="C726" s="19" t="s">
        <v>1277</v>
      </c>
      <c r="D726" s="19" t="s">
        <v>2270</v>
      </c>
      <c r="E726" s="20">
        <v>45807</v>
      </c>
    </row>
    <row r="727" spans="1:5">
      <c r="A727" s="80" t="s">
        <v>2402</v>
      </c>
      <c r="B727" s="81"/>
      <c r="C727" s="19" t="s">
        <v>1277</v>
      </c>
      <c r="D727" s="19" t="s">
        <v>1302</v>
      </c>
      <c r="E727" s="20">
        <v>45809</v>
      </c>
    </row>
    <row r="728" spans="1:5">
      <c r="A728" s="80" t="s">
        <v>2403</v>
      </c>
      <c r="B728" s="81"/>
      <c r="C728" s="19" t="s">
        <v>1277</v>
      </c>
      <c r="D728" s="19" t="s">
        <v>1304</v>
      </c>
      <c r="E728" s="20">
        <v>45809</v>
      </c>
    </row>
    <row r="729" spans="1:5">
      <c r="A729" s="80" t="s">
        <v>2404</v>
      </c>
      <c r="B729" s="81"/>
      <c r="C729" s="19" t="s">
        <v>1277</v>
      </c>
      <c r="D729" s="19" t="s">
        <v>2405</v>
      </c>
      <c r="E729" s="20">
        <v>45810</v>
      </c>
    </row>
    <row r="730" spans="1:5">
      <c r="A730" s="80" t="s">
        <v>2406</v>
      </c>
      <c r="B730" s="81"/>
      <c r="C730" s="19" t="s">
        <v>2373</v>
      </c>
      <c r="D730" s="19" t="s">
        <v>2407</v>
      </c>
      <c r="E730" s="20">
        <v>45810</v>
      </c>
    </row>
    <row r="731" spans="1:5">
      <c r="A731" s="80" t="s">
        <v>2408</v>
      </c>
      <c r="B731" s="81"/>
      <c r="C731" s="19" t="s">
        <v>1277</v>
      </c>
      <c r="D731" s="19" t="s">
        <v>2409</v>
      </c>
      <c r="E731" s="20">
        <v>45810</v>
      </c>
    </row>
    <row r="732" spans="1:5">
      <c r="A732" s="80" t="s">
        <v>2410</v>
      </c>
      <c r="B732" s="81"/>
      <c r="C732" s="19" t="s">
        <v>1277</v>
      </c>
      <c r="D732" s="19" t="s">
        <v>1389</v>
      </c>
      <c r="E732" s="20">
        <v>45810</v>
      </c>
    </row>
    <row r="733" spans="1:5">
      <c r="A733" s="80" t="s">
        <v>2411</v>
      </c>
      <c r="B733" s="81"/>
      <c r="C733" s="19" t="s">
        <v>1277</v>
      </c>
      <c r="D733" s="19" t="s">
        <v>1605</v>
      </c>
      <c r="E733" s="20">
        <v>45810</v>
      </c>
    </row>
    <row r="734" spans="1:5">
      <c r="A734" s="80" t="s">
        <v>2412</v>
      </c>
      <c r="B734" s="81"/>
      <c r="C734" s="19" t="s">
        <v>1277</v>
      </c>
      <c r="D734" s="19" t="s">
        <v>2266</v>
      </c>
      <c r="E734" s="20">
        <v>45810</v>
      </c>
    </row>
    <row r="735" spans="1:5">
      <c r="A735" s="80" t="s">
        <v>2413</v>
      </c>
      <c r="B735" s="81"/>
      <c r="C735" s="19" t="s">
        <v>1288</v>
      </c>
      <c r="D735" s="19" t="s">
        <v>1579</v>
      </c>
      <c r="E735" s="20">
        <v>45811</v>
      </c>
    </row>
    <row r="736" spans="1:5">
      <c r="A736" s="80" t="s">
        <v>2414</v>
      </c>
      <c r="B736" s="81"/>
      <c r="C736" s="19" t="s">
        <v>2373</v>
      </c>
      <c r="D736" s="19" t="s">
        <v>2377</v>
      </c>
      <c r="E736" s="20">
        <v>45812</v>
      </c>
    </row>
    <row r="737" spans="1:5">
      <c r="A737" s="80" t="s">
        <v>2415</v>
      </c>
      <c r="B737" s="81"/>
      <c r="C737" s="19" t="s">
        <v>2373</v>
      </c>
      <c r="D737" s="19" t="s">
        <v>2416</v>
      </c>
      <c r="E737" s="20">
        <v>45812</v>
      </c>
    </row>
    <row r="738" spans="1:5">
      <c r="A738" s="80" t="s">
        <v>2417</v>
      </c>
      <c r="B738" s="81"/>
      <c r="C738" s="19" t="s">
        <v>2373</v>
      </c>
      <c r="D738" s="19" t="s">
        <v>2416</v>
      </c>
      <c r="E738" s="20">
        <v>45812</v>
      </c>
    </row>
    <row r="739" spans="1:5">
      <c r="A739" s="80" t="s">
        <v>2418</v>
      </c>
      <c r="B739" s="81"/>
      <c r="C739" s="19" t="s">
        <v>2373</v>
      </c>
      <c r="D739" s="19" t="s">
        <v>2377</v>
      </c>
      <c r="E739" s="20">
        <v>45812</v>
      </c>
    </row>
    <row r="740" spans="1:5">
      <c r="A740" s="80" t="s">
        <v>2419</v>
      </c>
      <c r="B740" s="81"/>
      <c r="C740" s="19" t="s">
        <v>2373</v>
      </c>
      <c r="D740" s="19" t="s">
        <v>2377</v>
      </c>
      <c r="E740" s="20">
        <v>45812</v>
      </c>
    </row>
    <row r="741" spans="1:5">
      <c r="A741" s="80" t="s">
        <v>2420</v>
      </c>
      <c r="B741" s="81"/>
      <c r="C741" s="19" t="s">
        <v>2373</v>
      </c>
      <c r="D741" s="19" t="s">
        <v>2377</v>
      </c>
      <c r="E741" s="20">
        <v>45812</v>
      </c>
    </row>
    <row r="742" spans="1:5">
      <c r="A742" s="80" t="s">
        <v>2421</v>
      </c>
      <c r="B742" s="81"/>
      <c r="C742" s="19" t="s">
        <v>2373</v>
      </c>
      <c r="D742" s="19" t="s">
        <v>2422</v>
      </c>
      <c r="E742" s="20">
        <v>45812</v>
      </c>
    </row>
    <row r="743" spans="1:5">
      <c r="A743" s="80" t="s">
        <v>2423</v>
      </c>
      <c r="B743" s="81"/>
      <c r="C743" s="19" t="s">
        <v>2373</v>
      </c>
      <c r="D743" s="19" t="s">
        <v>2377</v>
      </c>
      <c r="E743" s="20">
        <v>45813</v>
      </c>
    </row>
    <row r="744" spans="1:5">
      <c r="A744" s="80" t="s">
        <v>2424</v>
      </c>
      <c r="B744" s="81"/>
      <c r="C744" s="19" t="s">
        <v>2373</v>
      </c>
      <c r="D744" s="19" t="s">
        <v>2377</v>
      </c>
      <c r="E744" s="20">
        <v>45813</v>
      </c>
    </row>
    <row r="745" spans="1:5">
      <c r="A745" s="80" t="s">
        <v>2425</v>
      </c>
      <c r="B745" s="81"/>
      <c r="C745" s="19" t="s">
        <v>2373</v>
      </c>
      <c r="D745" s="19" t="s">
        <v>2426</v>
      </c>
      <c r="E745" s="20">
        <v>45813</v>
      </c>
    </row>
    <row r="746" spans="1:5">
      <c r="A746" s="80" t="s">
        <v>2427</v>
      </c>
      <c r="B746" s="81"/>
      <c r="C746" s="19" t="s">
        <v>2373</v>
      </c>
      <c r="D746" s="19" t="s">
        <v>2426</v>
      </c>
      <c r="E746" s="20">
        <v>45813</v>
      </c>
    </row>
    <row r="747" spans="1:5">
      <c r="A747" s="80" t="s">
        <v>2428</v>
      </c>
      <c r="B747" s="81"/>
      <c r="C747" s="19" t="s">
        <v>1277</v>
      </c>
      <c r="D747" s="19" t="s">
        <v>1282</v>
      </c>
      <c r="E747" s="20">
        <v>45813</v>
      </c>
    </row>
    <row r="748" spans="1:5">
      <c r="A748" s="80" t="s">
        <v>2429</v>
      </c>
      <c r="B748" s="81"/>
      <c r="C748" s="19" t="s">
        <v>1277</v>
      </c>
      <c r="D748" s="19" t="s">
        <v>1278</v>
      </c>
      <c r="E748" s="20">
        <v>45813</v>
      </c>
    </row>
    <row r="749" spans="1:5">
      <c r="A749" s="80" t="s">
        <v>2430</v>
      </c>
      <c r="B749" s="81"/>
      <c r="C749" s="19" t="s">
        <v>2373</v>
      </c>
      <c r="D749" s="19" t="s">
        <v>2377</v>
      </c>
      <c r="E749" s="20">
        <v>45813</v>
      </c>
    </row>
    <row r="750" spans="1:5">
      <c r="A750" s="80" t="s">
        <v>2431</v>
      </c>
      <c r="B750" s="81"/>
      <c r="C750" s="19" t="s">
        <v>2373</v>
      </c>
      <c r="D750" s="19" t="s">
        <v>2377</v>
      </c>
      <c r="E750" s="20">
        <v>45814</v>
      </c>
    </row>
    <row r="751" spans="1:5">
      <c r="A751" s="80" t="s">
        <v>2432</v>
      </c>
      <c r="B751" s="81"/>
      <c r="C751" s="19" t="s">
        <v>2373</v>
      </c>
      <c r="D751" s="19" t="s">
        <v>2377</v>
      </c>
      <c r="E751" s="20">
        <v>45814</v>
      </c>
    </row>
    <row r="752" spans="1:5">
      <c r="A752" s="80" t="s">
        <v>2433</v>
      </c>
      <c r="B752" s="81"/>
      <c r="C752" s="19" t="s">
        <v>1277</v>
      </c>
      <c r="D752" s="19" t="s">
        <v>1396</v>
      </c>
      <c r="E752" s="20">
        <v>45814</v>
      </c>
    </row>
    <row r="753" spans="1:5">
      <c r="A753" s="80" t="s">
        <v>2434</v>
      </c>
      <c r="B753" s="81"/>
      <c r="C753" s="19" t="s">
        <v>1277</v>
      </c>
      <c r="D753" s="19" t="s">
        <v>1396</v>
      </c>
      <c r="E753" s="20">
        <v>45814</v>
      </c>
    </row>
    <row r="754" spans="1:5">
      <c r="A754" s="80" t="s">
        <v>2435</v>
      </c>
      <c r="B754" s="81"/>
      <c r="C754" s="19" t="s">
        <v>2373</v>
      </c>
      <c r="D754" s="19" t="s">
        <v>2436</v>
      </c>
      <c r="E754" s="20">
        <v>45814</v>
      </c>
    </row>
    <row r="755" spans="1:5">
      <c r="A755" s="80" t="s">
        <v>2437</v>
      </c>
      <c r="B755" s="81"/>
      <c r="C755" s="19" t="s">
        <v>1288</v>
      </c>
      <c r="D755" s="19" t="s">
        <v>2438</v>
      </c>
      <c r="E755" s="20">
        <v>45814</v>
      </c>
    </row>
    <row r="756" spans="1:5">
      <c r="A756" s="80" t="s">
        <v>2439</v>
      </c>
      <c r="B756" s="81"/>
      <c r="C756" s="19" t="s">
        <v>1277</v>
      </c>
      <c r="D756" s="19" t="s">
        <v>2440</v>
      </c>
      <c r="E756" s="20">
        <v>45816</v>
      </c>
    </row>
    <row r="757" spans="1:5">
      <c r="A757" s="80" t="s">
        <v>2441</v>
      </c>
      <c r="B757" s="81"/>
      <c r="C757" s="19" t="s">
        <v>1340</v>
      </c>
      <c r="D757" s="19" t="s">
        <v>2377</v>
      </c>
      <c r="E757" s="20">
        <v>45817</v>
      </c>
    </row>
    <row r="758" spans="1:5">
      <c r="A758" s="80" t="s">
        <v>2442</v>
      </c>
      <c r="B758" s="81"/>
      <c r="C758" s="19" t="s">
        <v>2373</v>
      </c>
      <c r="D758" s="19" t="s">
        <v>2422</v>
      </c>
      <c r="E758" s="20">
        <v>45817</v>
      </c>
    </row>
    <row r="759" spans="1:5">
      <c r="A759" s="80" t="s">
        <v>2443</v>
      </c>
      <c r="B759" s="81"/>
      <c r="C759" s="19" t="s">
        <v>2373</v>
      </c>
      <c r="D759" s="19" t="s">
        <v>2444</v>
      </c>
      <c r="E759" s="20">
        <v>45817</v>
      </c>
    </row>
    <row r="760" spans="1:5">
      <c r="A760" s="80" t="s">
        <v>2445</v>
      </c>
      <c r="B760" s="81"/>
      <c r="C760" s="19" t="s">
        <v>1277</v>
      </c>
      <c r="D760" s="19" t="s">
        <v>2446</v>
      </c>
      <c r="E760" s="20">
        <v>45817</v>
      </c>
    </row>
    <row r="761" spans="1:5">
      <c r="A761" s="80" t="s">
        <v>2447</v>
      </c>
      <c r="B761" s="81"/>
      <c r="C761" s="19" t="s">
        <v>1277</v>
      </c>
      <c r="D761" s="19" t="s">
        <v>1300</v>
      </c>
      <c r="E761" s="20">
        <v>45817</v>
      </c>
    </row>
    <row r="762" spans="1:5">
      <c r="A762" s="80" t="s">
        <v>2448</v>
      </c>
      <c r="B762" s="81"/>
      <c r="C762" s="19" t="s">
        <v>2373</v>
      </c>
      <c r="D762" s="19" t="s">
        <v>2407</v>
      </c>
      <c r="E762" s="20">
        <v>45819</v>
      </c>
    </row>
    <row r="763" spans="1:5">
      <c r="A763" s="80" t="s">
        <v>2449</v>
      </c>
      <c r="B763" s="81"/>
      <c r="C763" s="19" t="s">
        <v>2373</v>
      </c>
      <c r="D763" s="19" t="s">
        <v>2377</v>
      </c>
      <c r="E763" s="20">
        <v>45819</v>
      </c>
    </row>
    <row r="764" spans="1:5">
      <c r="A764" s="80" t="s">
        <v>2450</v>
      </c>
      <c r="B764" s="81"/>
      <c r="C764" s="19" t="s">
        <v>2373</v>
      </c>
      <c r="D764" s="19" t="s">
        <v>2377</v>
      </c>
      <c r="E764" s="20">
        <v>45819</v>
      </c>
    </row>
    <row r="765" spans="1:5">
      <c r="A765" s="80" t="s">
        <v>2451</v>
      </c>
      <c r="B765" s="81"/>
      <c r="C765" s="19" t="s">
        <v>2373</v>
      </c>
      <c r="D765" s="19" t="s">
        <v>2391</v>
      </c>
      <c r="E765" s="20">
        <v>45819</v>
      </c>
    </row>
    <row r="766" spans="1:5">
      <c r="A766" s="80" t="s">
        <v>2452</v>
      </c>
      <c r="B766" s="81"/>
      <c r="C766" s="19" t="s">
        <v>1277</v>
      </c>
      <c r="D766" s="19" t="s">
        <v>1449</v>
      </c>
      <c r="E766" s="20">
        <v>45819</v>
      </c>
    </row>
    <row r="767" spans="1:5">
      <c r="A767" s="80" t="s">
        <v>2453</v>
      </c>
      <c r="B767" s="81"/>
      <c r="C767" s="19" t="s">
        <v>1288</v>
      </c>
      <c r="D767" s="19" t="s">
        <v>2454</v>
      </c>
      <c r="E767" s="20">
        <v>45820</v>
      </c>
    </row>
    <row r="768" spans="1:5">
      <c r="A768" s="80" t="s">
        <v>2455</v>
      </c>
      <c r="B768" s="81"/>
      <c r="C768" s="19" t="s">
        <v>1277</v>
      </c>
      <c r="D768" s="19" t="s">
        <v>2456</v>
      </c>
      <c r="E768" s="20">
        <v>45820</v>
      </c>
    </row>
    <row r="769" spans="1:5">
      <c r="A769" s="80" t="s">
        <v>2457</v>
      </c>
      <c r="B769" s="81"/>
      <c r="C769" s="19" t="s">
        <v>1277</v>
      </c>
      <c r="D769" s="19" t="s">
        <v>2458</v>
      </c>
      <c r="E769" s="20">
        <v>45820</v>
      </c>
    </row>
    <row r="770" spans="1:5">
      <c r="A770" s="80" t="s">
        <v>2459</v>
      </c>
      <c r="B770" s="81"/>
      <c r="C770" s="19" t="s">
        <v>1277</v>
      </c>
      <c r="D770" s="19" t="s">
        <v>2460</v>
      </c>
      <c r="E770" s="20">
        <v>45821</v>
      </c>
    </row>
    <row r="771" spans="1:5">
      <c r="A771" s="80" t="s">
        <v>2461</v>
      </c>
      <c r="B771" s="81"/>
      <c r="C771" s="19" t="s">
        <v>2373</v>
      </c>
      <c r="D771" s="19" t="s">
        <v>2377</v>
      </c>
      <c r="E771" s="20">
        <v>45822</v>
      </c>
    </row>
    <row r="772" spans="1:5">
      <c r="A772" s="80" t="s">
        <v>2462</v>
      </c>
      <c r="B772" s="81"/>
      <c r="C772" s="19" t="s">
        <v>2373</v>
      </c>
      <c r="D772" s="19" t="s">
        <v>2463</v>
      </c>
      <c r="E772" s="20">
        <v>45822</v>
      </c>
    </row>
    <row r="773" spans="1:5">
      <c r="A773" s="80" t="s">
        <v>2464</v>
      </c>
      <c r="B773" s="81"/>
      <c r="C773" s="19" t="s">
        <v>2373</v>
      </c>
      <c r="D773" s="19" t="s">
        <v>2377</v>
      </c>
      <c r="E773" s="20">
        <v>45826</v>
      </c>
    </row>
    <row r="774" spans="1:5">
      <c r="A774" s="80" t="s">
        <v>2465</v>
      </c>
      <c r="B774" s="81"/>
      <c r="C774" s="19" t="s">
        <v>2373</v>
      </c>
      <c r="D774" s="19" t="s">
        <v>2377</v>
      </c>
      <c r="E774" s="20">
        <v>45826</v>
      </c>
    </row>
    <row r="775" spans="1:5">
      <c r="A775" s="80" t="s">
        <v>2414</v>
      </c>
      <c r="B775" s="81"/>
      <c r="C775" s="19" t="s">
        <v>2373</v>
      </c>
      <c r="D775" s="19" t="s">
        <v>2377</v>
      </c>
      <c r="E775" s="20">
        <v>45826</v>
      </c>
    </row>
    <row r="776" spans="1:5">
      <c r="A776" s="80" t="s">
        <v>2466</v>
      </c>
      <c r="B776" s="81"/>
      <c r="C776" s="19" t="s">
        <v>1415</v>
      </c>
      <c r="D776" s="19" t="s">
        <v>2467</v>
      </c>
      <c r="E776" s="20">
        <v>45826</v>
      </c>
    </row>
    <row r="777" spans="1:5">
      <c r="A777" s="80" t="s">
        <v>2468</v>
      </c>
      <c r="B777" s="81"/>
      <c r="C777" s="19" t="s">
        <v>1415</v>
      </c>
      <c r="D777" s="19" t="s">
        <v>2469</v>
      </c>
      <c r="E777" s="20">
        <v>45826</v>
      </c>
    </row>
    <row r="778" spans="1:5">
      <c r="A778" s="80" t="s">
        <v>2470</v>
      </c>
      <c r="B778" s="81"/>
      <c r="C778" s="19" t="s">
        <v>1415</v>
      </c>
      <c r="D778" s="19" t="s">
        <v>2471</v>
      </c>
      <c r="E778" s="20">
        <v>45826</v>
      </c>
    </row>
    <row r="779" spans="1:5">
      <c r="A779" s="80" t="s">
        <v>2470</v>
      </c>
      <c r="B779" s="81"/>
      <c r="C779" s="19" t="s">
        <v>1415</v>
      </c>
      <c r="D779" s="19" t="s">
        <v>2472</v>
      </c>
      <c r="E779" s="20">
        <v>45826</v>
      </c>
    </row>
    <row r="780" spans="1:5">
      <c r="A780" s="80" t="s">
        <v>2473</v>
      </c>
      <c r="B780" s="81"/>
      <c r="C780" s="19" t="s">
        <v>2373</v>
      </c>
      <c r="D780" s="19" t="s">
        <v>2377</v>
      </c>
      <c r="E780" s="20">
        <v>45827</v>
      </c>
    </row>
    <row r="781" spans="1:5">
      <c r="A781" s="80" t="s">
        <v>2474</v>
      </c>
      <c r="B781" s="81"/>
      <c r="C781" s="19" t="s">
        <v>2373</v>
      </c>
      <c r="D781" s="19" t="s">
        <v>2407</v>
      </c>
      <c r="E781" s="20">
        <v>45827</v>
      </c>
    </row>
    <row r="782" spans="1:5">
      <c r="A782" s="80" t="s">
        <v>2475</v>
      </c>
      <c r="B782" s="81"/>
      <c r="C782" s="19" t="s">
        <v>2373</v>
      </c>
      <c r="D782" s="19" t="s">
        <v>2377</v>
      </c>
      <c r="E782" s="20">
        <v>45827</v>
      </c>
    </row>
    <row r="783" spans="1:5">
      <c r="A783" s="80" t="s">
        <v>2418</v>
      </c>
      <c r="B783" s="81"/>
      <c r="C783" s="19" t="s">
        <v>2373</v>
      </c>
      <c r="D783" s="19" t="s">
        <v>2377</v>
      </c>
      <c r="E783" s="20">
        <v>45827</v>
      </c>
    </row>
    <row r="784" spans="1:5">
      <c r="A784" s="80" t="s">
        <v>2476</v>
      </c>
      <c r="B784" s="81"/>
      <c r="C784" s="19" t="s">
        <v>2373</v>
      </c>
      <c r="D784" s="19" t="s">
        <v>2422</v>
      </c>
      <c r="E784" s="20">
        <v>45827</v>
      </c>
    </row>
    <row r="785" spans="1:5">
      <c r="A785" s="80" t="s">
        <v>2477</v>
      </c>
      <c r="B785" s="81"/>
      <c r="C785" s="19" t="s">
        <v>2373</v>
      </c>
      <c r="D785" s="19" t="s">
        <v>2377</v>
      </c>
      <c r="E785" s="20">
        <v>45827</v>
      </c>
    </row>
    <row r="786" spans="1:5">
      <c r="A786" s="80" t="s">
        <v>2478</v>
      </c>
      <c r="B786" s="81"/>
      <c r="C786" s="19" t="s">
        <v>2373</v>
      </c>
      <c r="D786" s="19" t="s">
        <v>2426</v>
      </c>
      <c r="E786" s="20">
        <v>45828</v>
      </c>
    </row>
    <row r="787" spans="1:5">
      <c r="A787" s="80" t="s">
        <v>2479</v>
      </c>
      <c r="B787" s="81"/>
      <c r="C787" s="19" t="s">
        <v>2373</v>
      </c>
      <c r="D787" s="19" t="s">
        <v>2377</v>
      </c>
      <c r="E787" s="20">
        <v>45832</v>
      </c>
    </row>
    <row r="788" spans="1:5">
      <c r="A788" s="80" t="s">
        <v>2480</v>
      </c>
      <c r="B788" s="81"/>
      <c r="C788" s="19" t="s">
        <v>2128</v>
      </c>
      <c r="D788" s="19" t="s">
        <v>2374</v>
      </c>
      <c r="E788" s="20">
        <v>45834</v>
      </c>
    </row>
    <row r="789" spans="1:5">
      <c r="A789" s="80" t="s">
        <v>2481</v>
      </c>
      <c r="B789" s="81"/>
      <c r="C789" s="19" t="s">
        <v>1288</v>
      </c>
      <c r="D789" s="19" t="s">
        <v>2374</v>
      </c>
      <c r="E789" s="20">
        <v>45834</v>
      </c>
    </row>
    <row r="790" spans="1:5">
      <c r="A790" s="80" t="s">
        <v>2482</v>
      </c>
      <c r="B790" s="81"/>
      <c r="C790" s="19" t="s">
        <v>1288</v>
      </c>
      <c r="D790" s="19" t="s">
        <v>2483</v>
      </c>
      <c r="E790" s="20">
        <v>45834</v>
      </c>
    </row>
    <row r="791" spans="1:5">
      <c r="A791" s="80" t="s">
        <v>2484</v>
      </c>
      <c r="B791" s="81"/>
      <c r="C791" s="19" t="s">
        <v>1277</v>
      </c>
      <c r="D791" s="19" t="s">
        <v>1449</v>
      </c>
      <c r="E791" s="20">
        <v>45838</v>
      </c>
    </row>
    <row r="792" spans="1:5">
      <c r="A792" s="80" t="s">
        <v>2485</v>
      </c>
      <c r="B792" s="81"/>
      <c r="C792" s="19" t="s">
        <v>2373</v>
      </c>
      <c r="D792" s="19" t="s">
        <v>2485</v>
      </c>
      <c r="E792" s="20">
        <v>45838</v>
      </c>
    </row>
    <row r="793" spans="1:5">
      <c r="A793" s="80" t="s">
        <v>2486</v>
      </c>
      <c r="B793" s="81"/>
      <c r="C793" s="19" t="s">
        <v>1277</v>
      </c>
      <c r="D793" s="19" t="s">
        <v>1302</v>
      </c>
      <c r="E793" s="20">
        <v>45838</v>
      </c>
    </row>
    <row r="794" spans="1:5">
      <c r="A794" s="80" t="s">
        <v>2487</v>
      </c>
      <c r="B794" s="81"/>
      <c r="C794" s="19" t="s">
        <v>1277</v>
      </c>
      <c r="D794" s="19" t="s">
        <v>1302</v>
      </c>
      <c r="E794" s="20">
        <v>45838</v>
      </c>
    </row>
    <row r="795" spans="1:5">
      <c r="A795" s="80" t="s">
        <v>2488</v>
      </c>
      <c r="B795" s="81"/>
      <c r="C795" s="19" t="s">
        <v>1277</v>
      </c>
      <c r="D795" s="19" t="s">
        <v>1302</v>
      </c>
      <c r="E795" s="20">
        <v>45838</v>
      </c>
    </row>
    <row r="796" spans="1:5">
      <c r="A796" s="80" t="s">
        <v>2489</v>
      </c>
      <c r="B796" s="81"/>
      <c r="C796" s="19" t="s">
        <v>1277</v>
      </c>
      <c r="D796" s="19" t="s">
        <v>1302</v>
      </c>
      <c r="E796" s="20">
        <v>45838</v>
      </c>
    </row>
    <row r="797" spans="1:5">
      <c r="A797" s="80" t="s">
        <v>2490</v>
      </c>
      <c r="B797" s="81"/>
      <c r="C797" s="19" t="s">
        <v>1277</v>
      </c>
      <c r="D797" s="19" t="s">
        <v>1302</v>
      </c>
      <c r="E797" s="20">
        <v>45838</v>
      </c>
    </row>
    <row r="798" spans="1:5">
      <c r="A798" s="80" t="s">
        <v>2491</v>
      </c>
      <c r="B798" s="81"/>
      <c r="C798" s="19" t="s">
        <v>1288</v>
      </c>
      <c r="D798" s="19" t="s">
        <v>2492</v>
      </c>
      <c r="E798" s="20">
        <v>45838</v>
      </c>
    </row>
    <row r="799" spans="1:5">
      <c r="A799" s="80" t="s">
        <v>2493</v>
      </c>
      <c r="B799" s="81"/>
      <c r="C799" s="19" t="s">
        <v>1277</v>
      </c>
      <c r="D799" s="19" t="s">
        <v>1278</v>
      </c>
      <c r="E799" s="20">
        <v>45839</v>
      </c>
    </row>
    <row r="800" spans="1:5">
      <c r="A800" s="80" t="s">
        <v>2494</v>
      </c>
      <c r="B800" s="81"/>
      <c r="C800" s="19" t="s">
        <v>1277</v>
      </c>
      <c r="D800" s="19" t="s">
        <v>2192</v>
      </c>
      <c r="E800" s="20">
        <v>45840</v>
      </c>
    </row>
    <row r="801" spans="1:5">
      <c r="A801" s="80" t="s">
        <v>2495</v>
      </c>
      <c r="B801" s="81"/>
      <c r="C801" s="19" t="s">
        <v>2373</v>
      </c>
      <c r="D801" s="19" t="s">
        <v>2496</v>
      </c>
      <c r="E801" s="20">
        <v>45840</v>
      </c>
    </row>
    <row r="802" spans="1:5">
      <c r="A802" s="80" t="s">
        <v>2497</v>
      </c>
      <c r="B802" s="81"/>
      <c r="C802" s="19" t="s">
        <v>1277</v>
      </c>
      <c r="D802" s="19" t="s">
        <v>2498</v>
      </c>
      <c r="E802" s="20">
        <v>45840</v>
      </c>
    </row>
    <row r="803" spans="1:5">
      <c r="A803" s="80" t="s">
        <v>2499</v>
      </c>
      <c r="B803" s="81"/>
      <c r="C803" s="19" t="s">
        <v>2373</v>
      </c>
      <c r="D803" s="19" t="s">
        <v>2377</v>
      </c>
      <c r="E803" s="20">
        <v>45845</v>
      </c>
    </row>
    <row r="804" spans="1:5">
      <c r="A804" s="80" t="s">
        <v>2500</v>
      </c>
      <c r="B804" s="81"/>
      <c r="C804" s="19" t="s">
        <v>1288</v>
      </c>
      <c r="D804" s="19" t="s">
        <v>2501</v>
      </c>
      <c r="E804" s="20">
        <v>45846</v>
      </c>
    </row>
    <row r="805" spans="1:5">
      <c r="A805" s="80" t="s">
        <v>2502</v>
      </c>
      <c r="B805" s="81"/>
      <c r="C805" s="19" t="s">
        <v>1288</v>
      </c>
      <c r="D805" s="19" t="s">
        <v>2503</v>
      </c>
      <c r="E805" s="20">
        <v>45848</v>
      </c>
    </row>
    <row r="806" spans="1:5">
      <c r="A806" s="80" t="s">
        <v>2504</v>
      </c>
      <c r="B806" s="81"/>
      <c r="C806" s="19" t="s">
        <v>1277</v>
      </c>
      <c r="D806" s="19" t="s">
        <v>2505</v>
      </c>
      <c r="E806" s="20">
        <v>45848</v>
      </c>
    </row>
    <row r="807" spans="1:5">
      <c r="A807" s="80" t="s">
        <v>2506</v>
      </c>
      <c r="B807" s="81"/>
      <c r="C807" s="19" t="s">
        <v>1277</v>
      </c>
      <c r="D807" s="19" t="s">
        <v>1404</v>
      </c>
      <c r="E807" s="20">
        <v>45849</v>
      </c>
    </row>
    <row r="808" spans="1:5">
      <c r="A808" s="80" t="s">
        <v>2507</v>
      </c>
      <c r="B808" s="81"/>
      <c r="C808" s="19" t="s">
        <v>1277</v>
      </c>
      <c r="D808" s="19" t="s">
        <v>1664</v>
      </c>
      <c r="E808" s="20">
        <v>45852</v>
      </c>
    </row>
    <row r="809" spans="1:5">
      <c r="A809" s="80" t="s">
        <v>2508</v>
      </c>
      <c r="B809" s="81"/>
      <c r="C809" s="19" t="s">
        <v>1288</v>
      </c>
      <c r="D809" s="19" t="s">
        <v>1304</v>
      </c>
      <c r="E809" s="20">
        <v>45852</v>
      </c>
    </row>
    <row r="810" spans="1:5">
      <c r="A810" s="80" t="s">
        <v>2509</v>
      </c>
      <c r="B810" s="81"/>
      <c r="C810" s="19" t="s">
        <v>1288</v>
      </c>
      <c r="D810" s="19" t="s">
        <v>2510</v>
      </c>
      <c r="E810" s="20">
        <v>45853</v>
      </c>
    </row>
    <row r="811" spans="1:5">
      <c r="A811" s="80" t="s">
        <v>2442</v>
      </c>
      <c r="B811" s="81"/>
      <c r="C811" s="19" t="s">
        <v>2373</v>
      </c>
      <c r="D811" s="19" t="s">
        <v>2511</v>
      </c>
      <c r="E811" s="20">
        <v>45856</v>
      </c>
    </row>
    <row r="812" spans="1:5">
      <c r="A812" s="80" t="s">
        <v>2512</v>
      </c>
      <c r="B812" s="81"/>
      <c r="C812" s="19" t="s">
        <v>1312</v>
      </c>
      <c r="D812" s="19" t="s">
        <v>2049</v>
      </c>
      <c r="E812" s="20">
        <v>45856</v>
      </c>
    </row>
    <row r="813" spans="1:5">
      <c r="A813" s="80" t="s">
        <v>2513</v>
      </c>
      <c r="B813" s="81"/>
      <c r="C813" s="19" t="s">
        <v>1340</v>
      </c>
      <c r="D813" s="19" t="s">
        <v>2514</v>
      </c>
      <c r="E813" s="20">
        <v>45856</v>
      </c>
    </row>
    <row r="814" spans="1:5">
      <c r="A814" s="80" t="s">
        <v>2515</v>
      </c>
      <c r="B814" s="81"/>
      <c r="C814" s="19" t="s">
        <v>1277</v>
      </c>
      <c r="D814" s="19" t="s">
        <v>1406</v>
      </c>
      <c r="E814" s="20">
        <v>45856</v>
      </c>
    </row>
    <row r="815" spans="1:5">
      <c r="A815" s="80" t="s">
        <v>2516</v>
      </c>
      <c r="B815" s="81"/>
      <c r="C815" s="19" t="s">
        <v>1277</v>
      </c>
      <c r="D815" s="19" t="s">
        <v>2458</v>
      </c>
      <c r="E815" s="20">
        <v>45856</v>
      </c>
    </row>
    <row r="816" spans="1:5">
      <c r="A816" s="80" t="s">
        <v>2517</v>
      </c>
      <c r="B816" s="81"/>
      <c r="C816" s="19" t="s">
        <v>1277</v>
      </c>
      <c r="D816" s="19" t="s">
        <v>1378</v>
      </c>
      <c r="E816" s="20">
        <v>45858</v>
      </c>
    </row>
    <row r="817" spans="1:5">
      <c r="A817" s="80" t="s">
        <v>2518</v>
      </c>
      <c r="B817" s="81"/>
      <c r="C817" s="19" t="s">
        <v>1277</v>
      </c>
      <c r="D817" s="19" t="s">
        <v>2217</v>
      </c>
      <c r="E817" s="20">
        <v>45860</v>
      </c>
    </row>
    <row r="818" spans="1:5">
      <c r="A818" s="80" t="s">
        <v>2519</v>
      </c>
      <c r="B818" s="81"/>
      <c r="C818" s="19" t="s">
        <v>1277</v>
      </c>
      <c r="D818" s="19" t="s">
        <v>1362</v>
      </c>
      <c r="E818" s="20">
        <v>45860</v>
      </c>
    </row>
    <row r="819" spans="1:5">
      <c r="A819" s="80" t="s">
        <v>2520</v>
      </c>
      <c r="B819" s="81"/>
      <c r="C819" s="19" t="s">
        <v>1277</v>
      </c>
      <c r="D819" s="19" t="s">
        <v>1362</v>
      </c>
      <c r="E819" s="20">
        <v>45860</v>
      </c>
    </row>
    <row r="820" spans="1:5">
      <c r="A820" s="80" t="s">
        <v>2521</v>
      </c>
      <c r="B820" s="81"/>
      <c r="C820" s="19" t="s">
        <v>1277</v>
      </c>
      <c r="D820" s="19" t="s">
        <v>1476</v>
      </c>
      <c r="E820" s="20">
        <v>45860</v>
      </c>
    </row>
    <row r="821" spans="1:5">
      <c r="A821" s="80" t="s">
        <v>2522</v>
      </c>
      <c r="B821" s="81"/>
      <c r="C821" s="19" t="s">
        <v>1277</v>
      </c>
      <c r="D821" s="19" t="s">
        <v>1302</v>
      </c>
      <c r="E821" s="20">
        <v>45860</v>
      </c>
    </row>
    <row r="822" spans="1:5">
      <c r="A822" s="80" t="s">
        <v>2523</v>
      </c>
      <c r="B822" s="81"/>
      <c r="C822" s="19" t="s">
        <v>1277</v>
      </c>
      <c r="D822" s="19" t="s">
        <v>1302</v>
      </c>
      <c r="E822" s="20">
        <v>45860</v>
      </c>
    </row>
    <row r="823" spans="1:5">
      <c r="A823" s="80" t="s">
        <v>2524</v>
      </c>
      <c r="B823" s="81"/>
      <c r="C823" s="19" t="s">
        <v>1277</v>
      </c>
      <c r="D823" s="19" t="s">
        <v>1425</v>
      </c>
      <c r="E823" s="20">
        <v>45860</v>
      </c>
    </row>
    <row r="824" spans="1:5">
      <c r="A824" s="80" t="s">
        <v>2525</v>
      </c>
      <c r="B824" s="81"/>
      <c r="C824" s="19" t="s">
        <v>1288</v>
      </c>
      <c r="D824" s="19" t="s">
        <v>2374</v>
      </c>
      <c r="E824" s="20">
        <v>45860</v>
      </c>
    </row>
    <row r="825" spans="1:5">
      <c r="A825" s="80" t="s">
        <v>2526</v>
      </c>
      <c r="B825" s="81"/>
      <c r="C825" s="19" t="s">
        <v>1277</v>
      </c>
      <c r="D825" s="19" t="s">
        <v>2527</v>
      </c>
      <c r="E825" s="20">
        <v>45861</v>
      </c>
    </row>
    <row r="826" spans="1:5">
      <c r="A826" s="80" t="s">
        <v>2528</v>
      </c>
      <c r="B826" s="81"/>
      <c r="C826" s="19" t="s">
        <v>1277</v>
      </c>
      <c r="D826" s="19" t="s">
        <v>2529</v>
      </c>
      <c r="E826" s="20">
        <v>45861</v>
      </c>
    </row>
    <row r="827" spans="1:5">
      <c r="A827" s="80" t="s">
        <v>2530</v>
      </c>
      <c r="B827" s="81"/>
      <c r="C827" s="19" t="s">
        <v>1277</v>
      </c>
      <c r="D827" s="19" t="s">
        <v>2531</v>
      </c>
      <c r="E827" s="20">
        <v>45862</v>
      </c>
    </row>
    <row r="828" spans="1:5">
      <c r="A828" s="80" t="s">
        <v>2532</v>
      </c>
      <c r="B828" s="81"/>
      <c r="C828" s="19" t="s">
        <v>1277</v>
      </c>
      <c r="D828" s="19" t="s">
        <v>1334</v>
      </c>
      <c r="E828" s="20">
        <v>45863</v>
      </c>
    </row>
    <row r="829" spans="1:5">
      <c r="A829" s="80" t="s">
        <v>2533</v>
      </c>
      <c r="B829" s="81"/>
      <c r="C829" s="19" t="s">
        <v>1277</v>
      </c>
      <c r="D829" s="19" t="s">
        <v>1582</v>
      </c>
      <c r="E829" s="20">
        <v>45863</v>
      </c>
    </row>
    <row r="830" spans="1:5">
      <c r="A830" s="80" t="s">
        <v>2534</v>
      </c>
      <c r="B830" s="81"/>
      <c r="C830" s="19" t="s">
        <v>1277</v>
      </c>
      <c r="D830" s="19" t="s">
        <v>1488</v>
      </c>
      <c r="E830" s="20">
        <v>45863</v>
      </c>
    </row>
    <row r="831" spans="1:5">
      <c r="A831" s="80" t="s">
        <v>2535</v>
      </c>
      <c r="B831" s="81"/>
      <c r="C831" s="19" t="s">
        <v>1277</v>
      </c>
      <c r="D831" s="19" t="s">
        <v>1306</v>
      </c>
      <c r="E831" s="20">
        <v>45863</v>
      </c>
    </row>
    <row r="832" spans="1:5">
      <c r="A832" s="80" t="s">
        <v>2443</v>
      </c>
      <c r="B832" s="81"/>
      <c r="C832" s="19" t="s">
        <v>2373</v>
      </c>
      <c r="D832" s="19" t="s">
        <v>2536</v>
      </c>
      <c r="E832" s="20">
        <v>45863</v>
      </c>
    </row>
    <row r="833" spans="1:5">
      <c r="A833" s="80" t="s">
        <v>2537</v>
      </c>
      <c r="B833" s="81"/>
      <c r="C833" s="19" t="s">
        <v>1277</v>
      </c>
      <c r="D833" s="19" t="s">
        <v>2538</v>
      </c>
      <c r="E833" s="20">
        <v>45866</v>
      </c>
    </row>
    <row r="834" spans="1:5">
      <c r="A834" s="80" t="s">
        <v>2539</v>
      </c>
      <c r="B834" s="81"/>
      <c r="C834" s="19" t="s">
        <v>1277</v>
      </c>
      <c r="D834" s="19" t="s">
        <v>1284</v>
      </c>
      <c r="E834" s="20">
        <v>45866</v>
      </c>
    </row>
    <row r="835" spans="1:5">
      <c r="A835" s="80" t="s">
        <v>2540</v>
      </c>
      <c r="B835" s="81"/>
      <c r="C835" s="19" t="s">
        <v>2373</v>
      </c>
      <c r="D835" s="19" t="s">
        <v>2536</v>
      </c>
      <c r="E835" s="20">
        <v>45866</v>
      </c>
    </row>
    <row r="836" spans="1:5">
      <c r="A836" s="80" t="s">
        <v>2541</v>
      </c>
      <c r="B836" s="81"/>
      <c r="C836" s="19" t="s">
        <v>1277</v>
      </c>
      <c r="D836" s="19" t="s">
        <v>2542</v>
      </c>
      <c r="E836" s="20">
        <v>45867</v>
      </c>
    </row>
    <row r="837" spans="1:5">
      <c r="A837" s="80" t="s">
        <v>2017</v>
      </c>
      <c r="B837" s="81"/>
      <c r="C837" s="19" t="s">
        <v>1312</v>
      </c>
      <c r="D837" s="19" t="s">
        <v>2543</v>
      </c>
      <c r="E837" s="20">
        <v>45868</v>
      </c>
    </row>
    <row r="838" spans="1:5">
      <c r="A838" s="80" t="s">
        <v>2544</v>
      </c>
      <c r="B838" s="81"/>
      <c r="C838" s="19" t="s">
        <v>1322</v>
      </c>
      <c r="D838" s="19" t="s">
        <v>2544</v>
      </c>
      <c r="E838" s="20">
        <v>45868</v>
      </c>
    </row>
    <row r="839" spans="1:5">
      <c r="A839" s="80" t="s">
        <v>2545</v>
      </c>
      <c r="B839" s="81"/>
      <c r="C839" s="19" t="s">
        <v>1277</v>
      </c>
      <c r="D839" s="19" t="s">
        <v>1302</v>
      </c>
      <c r="E839" s="20">
        <v>45869</v>
      </c>
    </row>
    <row r="840" spans="1:5">
      <c r="A840" s="80" t="s">
        <v>2546</v>
      </c>
      <c r="B840" s="81"/>
      <c r="C840" s="19" t="s">
        <v>1277</v>
      </c>
      <c r="D840" s="19" t="s">
        <v>1302</v>
      </c>
      <c r="E840" s="20">
        <v>45869</v>
      </c>
    </row>
    <row r="841" spans="1:5">
      <c r="A841" s="80" t="s">
        <v>2547</v>
      </c>
      <c r="B841" s="81"/>
      <c r="C841" s="19" t="s">
        <v>1277</v>
      </c>
      <c r="D841" s="19" t="s">
        <v>1423</v>
      </c>
      <c r="E841" s="20">
        <v>45869</v>
      </c>
    </row>
    <row r="842" spans="1:5">
      <c r="A842" s="80" t="s">
        <v>2548</v>
      </c>
      <c r="B842" s="81"/>
      <c r="C842" s="19" t="s">
        <v>1277</v>
      </c>
      <c r="D842" s="19" t="s">
        <v>1423</v>
      </c>
      <c r="E842" s="20">
        <v>45869</v>
      </c>
    </row>
    <row r="843" spans="1:5">
      <c r="A843" s="80" t="s">
        <v>2549</v>
      </c>
      <c r="B843" s="81"/>
      <c r="C843" s="19" t="s">
        <v>1277</v>
      </c>
      <c r="D843" s="19" t="s">
        <v>2550</v>
      </c>
      <c r="E843" s="20">
        <v>45870</v>
      </c>
    </row>
    <row r="844" spans="1:5">
      <c r="A844" s="80" t="s">
        <v>2030</v>
      </c>
      <c r="B844" s="81"/>
      <c r="C844" s="19" t="s">
        <v>1322</v>
      </c>
      <c r="D844" s="19" t="s">
        <v>2030</v>
      </c>
      <c r="E844" s="20">
        <v>45873</v>
      </c>
    </row>
    <row r="845" spans="1:5">
      <c r="A845" s="80" t="s">
        <v>2551</v>
      </c>
      <c r="B845" s="81"/>
      <c r="C845" s="19" t="s">
        <v>1288</v>
      </c>
      <c r="D845" s="19" t="s">
        <v>2552</v>
      </c>
      <c r="E845" s="20">
        <v>45873</v>
      </c>
    </row>
    <row r="846" spans="1:5">
      <c r="A846" s="80" t="s">
        <v>2553</v>
      </c>
      <c r="B846" s="81"/>
      <c r="C846" s="19" t="s">
        <v>2373</v>
      </c>
      <c r="D846" s="19" t="s">
        <v>2554</v>
      </c>
      <c r="E846" s="20">
        <v>45873</v>
      </c>
    </row>
    <row r="847" spans="1:5">
      <c r="A847" s="80" t="s">
        <v>2555</v>
      </c>
      <c r="B847" s="81"/>
      <c r="C847" s="19" t="s">
        <v>1277</v>
      </c>
      <c r="D847" s="19" t="s">
        <v>1449</v>
      </c>
      <c r="E847" s="20">
        <v>45874</v>
      </c>
    </row>
    <row r="848" spans="1:5">
      <c r="A848" s="80" t="s">
        <v>2556</v>
      </c>
      <c r="B848" s="81"/>
      <c r="C848" s="19" t="s">
        <v>1277</v>
      </c>
      <c r="D848" s="19" t="s">
        <v>1469</v>
      </c>
      <c r="E848" s="20">
        <v>45875</v>
      </c>
    </row>
    <row r="849" spans="1:5">
      <c r="A849" s="80" t="s">
        <v>2557</v>
      </c>
      <c r="B849" s="81"/>
      <c r="C849" s="19" t="s">
        <v>1277</v>
      </c>
      <c r="D849" s="19" t="s">
        <v>2558</v>
      </c>
      <c r="E849" s="20">
        <v>45875</v>
      </c>
    </row>
    <row r="850" spans="1:5">
      <c r="A850" s="80" t="s">
        <v>2559</v>
      </c>
      <c r="B850" s="81"/>
      <c r="C850" s="19" t="s">
        <v>1277</v>
      </c>
      <c r="D850" s="19" t="s">
        <v>2560</v>
      </c>
      <c r="E850" s="20">
        <v>45876</v>
      </c>
    </row>
    <row r="851" spans="1:5">
      <c r="A851" s="80" t="s">
        <v>2561</v>
      </c>
      <c r="B851" s="81"/>
      <c r="C851" s="19" t="s">
        <v>1277</v>
      </c>
      <c r="D851" s="19" t="s">
        <v>2562</v>
      </c>
      <c r="E851" s="20">
        <v>45877</v>
      </c>
    </row>
    <row r="852" spans="1:5">
      <c r="A852" s="80" t="s">
        <v>2563</v>
      </c>
      <c r="B852" s="81"/>
      <c r="C852" s="19" t="s">
        <v>1277</v>
      </c>
      <c r="D852" s="19" t="s">
        <v>2562</v>
      </c>
      <c r="E852" s="20">
        <v>45877</v>
      </c>
    </row>
    <row r="853" spans="1:5">
      <c r="A853" s="80" t="s">
        <v>2564</v>
      </c>
      <c r="B853" s="81"/>
      <c r="C853" s="19" t="s">
        <v>1277</v>
      </c>
      <c r="D853" s="19" t="s">
        <v>2565</v>
      </c>
      <c r="E853" s="20">
        <v>45877</v>
      </c>
    </row>
    <row r="854" spans="1:5">
      <c r="A854" s="80" t="s">
        <v>2566</v>
      </c>
      <c r="B854" s="81"/>
      <c r="C854" s="19" t="s">
        <v>1288</v>
      </c>
      <c r="D854" s="19" t="s">
        <v>2567</v>
      </c>
      <c r="E854" s="20">
        <v>45881</v>
      </c>
    </row>
    <row r="855" spans="1:5">
      <c r="A855" s="80" t="s">
        <v>2568</v>
      </c>
      <c r="B855" s="81"/>
      <c r="C855" s="19" t="s">
        <v>1288</v>
      </c>
      <c r="D855" s="19" t="s">
        <v>2569</v>
      </c>
      <c r="E855" s="20">
        <v>45881</v>
      </c>
    </row>
    <row r="856" spans="1:5">
      <c r="A856" s="80" t="s">
        <v>2570</v>
      </c>
      <c r="B856" s="81"/>
      <c r="C856" s="19" t="s">
        <v>2373</v>
      </c>
      <c r="D856" s="19" t="s">
        <v>2416</v>
      </c>
      <c r="E856" s="20">
        <v>45886</v>
      </c>
    </row>
    <row r="857" spans="1:5">
      <c r="A857" s="80" t="s">
        <v>2571</v>
      </c>
      <c r="B857" s="81"/>
      <c r="C857" s="19" t="s">
        <v>1277</v>
      </c>
      <c r="D857" s="19" t="s">
        <v>1548</v>
      </c>
      <c r="E857" s="20">
        <v>45889</v>
      </c>
    </row>
    <row r="858" spans="1:5">
      <c r="A858" s="80" t="s">
        <v>2572</v>
      </c>
      <c r="B858" s="81"/>
      <c r="C858" s="19" t="s">
        <v>1277</v>
      </c>
      <c r="D858" s="19" t="s">
        <v>2133</v>
      </c>
      <c r="E858" s="20">
        <v>45889</v>
      </c>
    </row>
    <row r="859" spans="1:5">
      <c r="A859" s="80" t="s">
        <v>2421</v>
      </c>
      <c r="B859" s="81"/>
      <c r="C859" s="19" t="s">
        <v>2373</v>
      </c>
      <c r="D859" s="19" t="s">
        <v>2511</v>
      </c>
      <c r="E859" s="20">
        <v>45890</v>
      </c>
    </row>
    <row r="860" spans="1:5">
      <c r="A860" s="80" t="s">
        <v>2573</v>
      </c>
      <c r="B860" s="81"/>
      <c r="C860" s="19" t="s">
        <v>1277</v>
      </c>
      <c r="D860" s="19" t="s">
        <v>2299</v>
      </c>
      <c r="E860" s="20">
        <v>45890</v>
      </c>
    </row>
    <row r="861" spans="1:5">
      <c r="A861" s="80" t="s">
        <v>2574</v>
      </c>
      <c r="B861" s="81"/>
      <c r="C861" s="19" t="s">
        <v>1288</v>
      </c>
      <c r="D861" s="19" t="s">
        <v>1592</v>
      </c>
      <c r="E861" s="20">
        <v>45890</v>
      </c>
    </row>
    <row r="862" spans="1:5">
      <c r="A862" s="80" t="s">
        <v>2575</v>
      </c>
      <c r="B862" s="81"/>
      <c r="C862" s="19" t="s">
        <v>1288</v>
      </c>
      <c r="D862" s="19" t="s">
        <v>1592</v>
      </c>
      <c r="E862" s="20">
        <v>45890</v>
      </c>
    </row>
    <row r="863" spans="1:5">
      <c r="A863" s="80" t="s">
        <v>2576</v>
      </c>
      <c r="B863" s="81"/>
      <c r="C863" s="19" t="s">
        <v>1288</v>
      </c>
      <c r="D863" s="19" t="s">
        <v>1592</v>
      </c>
      <c r="E863" s="20">
        <v>45890</v>
      </c>
    </row>
    <row r="864" spans="1:5">
      <c r="A864" s="80" t="s">
        <v>2577</v>
      </c>
      <c r="B864" s="81"/>
      <c r="C864" s="19" t="s">
        <v>1277</v>
      </c>
      <c r="D864" s="19" t="s">
        <v>1282</v>
      </c>
      <c r="E864" s="20">
        <v>45891</v>
      </c>
    </row>
    <row r="865" spans="1:5">
      <c r="A865" s="80" t="s">
        <v>2578</v>
      </c>
      <c r="B865" s="81"/>
      <c r="C865" s="19" t="s">
        <v>1277</v>
      </c>
      <c r="D865" s="19" t="s">
        <v>2229</v>
      </c>
      <c r="E865" s="20">
        <v>45892</v>
      </c>
    </row>
    <row r="866" spans="1:5">
      <c r="A866" s="80" t="s">
        <v>2579</v>
      </c>
      <c r="B866" s="81"/>
      <c r="C866" s="19" t="s">
        <v>1277</v>
      </c>
      <c r="D866" s="19" t="s">
        <v>1278</v>
      </c>
      <c r="E866" s="20">
        <v>45894</v>
      </c>
    </row>
    <row r="867" spans="1:5">
      <c r="A867" s="80" t="s">
        <v>2580</v>
      </c>
      <c r="B867" s="81"/>
      <c r="C867" s="19" t="s">
        <v>1277</v>
      </c>
      <c r="D867" s="19" t="s">
        <v>2581</v>
      </c>
      <c r="E867" s="20">
        <v>45894</v>
      </c>
    </row>
    <row r="868" spans="1:5">
      <c r="A868" s="80"/>
      <c r="B868" s="81"/>
      <c r="C868" s="19"/>
      <c r="D868" s="19"/>
      <c r="E868" s="20"/>
    </row>
    <row r="869" spans="1:5">
      <c r="A869" s="80"/>
      <c r="B869" s="81"/>
      <c r="C869" s="19"/>
      <c r="D869" s="19"/>
      <c r="E869" s="20"/>
    </row>
    <row r="870" spans="1:5">
      <c r="A870" s="80"/>
      <c r="B870" s="81"/>
      <c r="C870" s="19"/>
      <c r="D870" s="19"/>
      <c r="E870" s="20"/>
    </row>
    <row r="871" spans="1:5">
      <c r="A871" s="80"/>
      <c r="B871" s="81"/>
      <c r="C871" s="19"/>
      <c r="D871" s="19"/>
      <c r="E871" s="20"/>
    </row>
    <row r="872" spans="1:5">
      <c r="A872" s="80"/>
      <c r="B872" s="81"/>
      <c r="C872" s="19"/>
      <c r="D872" s="19"/>
      <c r="E872" s="20"/>
    </row>
    <row r="873" spans="1:5">
      <c r="A873" s="80"/>
      <c r="B873" s="81"/>
      <c r="C873" s="19"/>
      <c r="D873" s="19"/>
      <c r="E873" s="20"/>
    </row>
    <row r="874" spans="1:5">
      <c r="A874" s="80"/>
      <c r="B874" s="81"/>
      <c r="C874" s="19"/>
      <c r="D874" s="19"/>
      <c r="E874" s="20"/>
    </row>
    <row r="875" spans="1:5">
      <c r="A875" s="80"/>
      <c r="B875" s="81"/>
      <c r="C875" s="19"/>
      <c r="D875" s="19"/>
      <c r="E875" s="20"/>
    </row>
    <row r="876" spans="1:5">
      <c r="A876" s="80"/>
      <c r="B876" s="81"/>
      <c r="C876" s="19"/>
      <c r="D876" s="19"/>
      <c r="E876" s="20"/>
    </row>
    <row r="877" spans="1:5">
      <c r="A877" s="80"/>
      <c r="B877" s="81"/>
      <c r="C877" s="19"/>
      <c r="D877" s="19"/>
      <c r="E877" s="20"/>
    </row>
    <row r="878" spans="1:5">
      <c r="A878" s="80"/>
      <c r="B878" s="81"/>
      <c r="C878" s="19"/>
      <c r="D878" s="19"/>
      <c r="E878" s="20"/>
    </row>
    <row r="879" spans="1:5">
      <c r="A879" s="80"/>
      <c r="B879" s="81"/>
      <c r="C879" s="19"/>
      <c r="D879" s="19"/>
      <c r="E879" s="20"/>
    </row>
    <row r="880" spans="1:5">
      <c r="A880" s="80"/>
      <c r="B880" s="81"/>
      <c r="C880" s="19"/>
      <c r="D880" s="19"/>
      <c r="E880" s="20"/>
    </row>
    <row r="881" spans="1:5">
      <c r="A881" s="80"/>
      <c r="B881" s="81"/>
      <c r="C881" s="19"/>
      <c r="D881" s="19"/>
      <c r="E881" s="20"/>
    </row>
    <row r="882" spans="1:5">
      <c r="A882" s="80"/>
      <c r="B882" s="81"/>
      <c r="C882" s="19"/>
      <c r="D882" s="19"/>
      <c r="E882" s="20"/>
    </row>
    <row r="883" spans="1:5">
      <c r="A883" s="80"/>
      <c r="B883" s="81"/>
      <c r="C883" s="19"/>
      <c r="D883" s="19"/>
      <c r="E883" s="20"/>
    </row>
    <row r="884" spans="1:5">
      <c r="A884" s="80"/>
      <c r="B884" s="81"/>
      <c r="C884" s="19"/>
      <c r="D884" s="19"/>
      <c r="E884" s="20"/>
    </row>
    <row r="885" spans="1:5">
      <c r="A885" s="80"/>
      <c r="B885" s="81"/>
      <c r="C885" s="19"/>
      <c r="D885" s="19"/>
      <c r="E885" s="20"/>
    </row>
    <row r="886" spans="1:5">
      <c r="A886" s="80"/>
      <c r="B886" s="81"/>
      <c r="C886" s="19"/>
      <c r="D886" s="19"/>
      <c r="E886" s="20"/>
    </row>
    <row r="887" spans="1:5">
      <c r="A887" s="80"/>
      <c r="B887" s="81"/>
      <c r="C887" s="19"/>
      <c r="D887" s="19"/>
      <c r="E887" s="20"/>
    </row>
    <row r="888" spans="1:5">
      <c r="A888" s="80"/>
      <c r="B888" s="81"/>
      <c r="C888" s="19"/>
      <c r="D888" s="19"/>
      <c r="E888" s="20"/>
    </row>
    <row r="889" spans="1:5">
      <c r="A889" s="80"/>
      <c r="B889" s="81"/>
      <c r="C889" s="19"/>
      <c r="D889" s="19"/>
      <c r="E889" s="20"/>
    </row>
    <row r="890" spans="1:5">
      <c r="A890" s="80"/>
      <c r="B890" s="81"/>
      <c r="C890" s="19"/>
      <c r="D890" s="19"/>
      <c r="E890" s="20"/>
    </row>
    <row r="891" spans="1:5">
      <c r="A891" s="80"/>
      <c r="B891" s="81"/>
      <c r="C891" s="19"/>
      <c r="D891" s="19"/>
      <c r="E891" s="20"/>
    </row>
    <row r="892" spans="1:5">
      <c r="A892" s="80"/>
      <c r="B892" s="81"/>
      <c r="C892" s="19"/>
      <c r="D892" s="19"/>
      <c r="E892" s="20"/>
    </row>
    <row r="893" spans="1:5">
      <c r="A893" s="80"/>
      <c r="B893" s="81"/>
      <c r="C893" s="19"/>
      <c r="D893" s="19"/>
      <c r="E893" s="20"/>
    </row>
    <row r="894" spans="1:5">
      <c r="A894" s="80"/>
      <c r="B894" s="81"/>
      <c r="C894" s="19"/>
      <c r="D894" s="19"/>
      <c r="E894" s="20"/>
    </row>
    <row r="895" spans="1:5">
      <c r="A895" s="80"/>
      <c r="B895" s="81"/>
      <c r="C895" s="19"/>
      <c r="D895" s="19"/>
      <c r="E895" s="20"/>
    </row>
    <row r="896" spans="1:5">
      <c r="A896" s="80"/>
      <c r="B896" s="81"/>
      <c r="C896" s="19"/>
      <c r="D896" s="19"/>
      <c r="E896" s="20"/>
    </row>
    <row r="897" spans="1:5">
      <c r="A897" s="80"/>
      <c r="B897" s="81"/>
      <c r="C897" s="19"/>
      <c r="D897" s="19"/>
      <c r="E897" s="20"/>
    </row>
    <row r="898" spans="1:5">
      <c r="A898" s="80"/>
      <c r="B898" s="81"/>
      <c r="C898" s="19"/>
      <c r="D898" s="19"/>
      <c r="E898" s="20"/>
    </row>
    <row r="899" spans="1:5">
      <c r="A899" s="80"/>
      <c r="B899" s="81"/>
      <c r="C899" s="19"/>
      <c r="D899" s="19"/>
      <c r="E899" s="20"/>
    </row>
    <row r="900" spans="1:5">
      <c r="A900" s="80"/>
      <c r="B900" s="81"/>
      <c r="C900" s="19"/>
      <c r="D900" s="19"/>
      <c r="E900" s="20"/>
    </row>
    <row r="901" spans="1:5">
      <c r="A901" s="80"/>
      <c r="B901" s="81"/>
      <c r="C901" s="19"/>
      <c r="D901" s="19"/>
      <c r="E901" s="20"/>
    </row>
    <row r="902" spans="1:5">
      <c r="A902" s="80"/>
      <c r="B902" s="81"/>
      <c r="C902" s="19"/>
      <c r="D902" s="19"/>
      <c r="E902" s="20"/>
    </row>
    <row r="903" spans="1:5">
      <c r="A903" s="80"/>
      <c r="B903" s="81"/>
      <c r="C903" s="19"/>
      <c r="D903" s="19"/>
      <c r="E903" s="20"/>
    </row>
    <row r="904" spans="1:5">
      <c r="A904" s="80"/>
      <c r="B904" s="81"/>
      <c r="C904" s="19"/>
      <c r="D904" s="19"/>
      <c r="E904" s="20"/>
    </row>
    <row r="905" spans="1:5">
      <c r="A905" s="80"/>
      <c r="B905" s="81"/>
      <c r="C905" s="19"/>
      <c r="D905" s="19"/>
      <c r="E905" s="20"/>
    </row>
    <row r="906" spans="1:5">
      <c r="A906" s="80"/>
      <c r="B906" s="81"/>
      <c r="C906" s="19"/>
      <c r="D906" s="19"/>
      <c r="E906" s="20"/>
    </row>
    <row r="907" spans="1:5">
      <c r="A907" s="80"/>
      <c r="B907" s="81"/>
      <c r="C907" s="19"/>
      <c r="D907" s="19"/>
      <c r="E907" s="20"/>
    </row>
    <row r="908" spans="1:5">
      <c r="A908" s="80"/>
      <c r="B908" s="81"/>
      <c r="C908" s="19"/>
      <c r="D908" s="19"/>
      <c r="E908" s="20"/>
    </row>
    <row r="909" spans="1:5">
      <c r="A909" s="80"/>
      <c r="B909" s="81"/>
      <c r="C909" s="19"/>
      <c r="D909" s="19"/>
      <c r="E909" s="20"/>
    </row>
    <row r="910" spans="1:5">
      <c r="A910" s="80"/>
      <c r="B910" s="81"/>
      <c r="C910" s="19"/>
      <c r="D910" s="19"/>
      <c r="E910" s="20"/>
    </row>
    <row r="911" spans="1:5">
      <c r="A911" s="80"/>
      <c r="B911" s="81"/>
      <c r="C911" s="19"/>
      <c r="D911" s="19"/>
      <c r="E911" s="20"/>
    </row>
    <row r="912" spans="1:5">
      <c r="A912" s="80"/>
      <c r="B912" s="81"/>
      <c r="C912" s="19"/>
      <c r="D912" s="19"/>
      <c r="E912" s="20"/>
    </row>
    <row r="913" spans="1:5">
      <c r="A913" s="80"/>
      <c r="B913" s="81"/>
      <c r="C913" s="19"/>
      <c r="D913" s="19"/>
      <c r="E913" s="20"/>
    </row>
    <row r="914" spans="1:5">
      <c r="A914" s="80"/>
      <c r="B914" s="81"/>
      <c r="C914" s="19"/>
      <c r="D914" s="19"/>
      <c r="E914" s="20"/>
    </row>
    <row r="915" spans="1:5">
      <c r="A915" s="80"/>
      <c r="B915" s="81"/>
      <c r="C915" s="19"/>
      <c r="D915" s="19"/>
      <c r="E915" s="20"/>
    </row>
    <row r="916" spans="1:5">
      <c r="A916" s="80"/>
      <c r="B916" s="81"/>
      <c r="C916" s="19"/>
      <c r="D916" s="19"/>
      <c r="E916" s="20"/>
    </row>
    <row r="917" spans="1:5">
      <c r="A917" s="80"/>
      <c r="B917" s="81"/>
      <c r="C917" s="19"/>
      <c r="D917" s="19"/>
      <c r="E917" s="20"/>
    </row>
    <row r="918" spans="1:5">
      <c r="A918" s="80"/>
      <c r="B918" s="81"/>
      <c r="C918" s="19"/>
      <c r="D918" s="19"/>
      <c r="E918" s="20"/>
    </row>
    <row r="919" spans="1:5">
      <c r="A919" s="80"/>
      <c r="B919" s="81"/>
      <c r="C919" s="19"/>
      <c r="D919" s="19"/>
      <c r="E919" s="20"/>
    </row>
    <row r="920" spans="1:5">
      <c r="A920" s="80"/>
      <c r="B920" s="81"/>
      <c r="C920" s="19"/>
      <c r="D920" s="19"/>
      <c r="E920" s="20"/>
    </row>
    <row r="921" spans="1:5">
      <c r="A921" s="80"/>
      <c r="B921" s="81"/>
      <c r="C921" s="19"/>
      <c r="D921" s="19"/>
      <c r="E921" s="20"/>
    </row>
    <row r="922" spans="1:5">
      <c r="A922" s="80"/>
      <c r="B922" s="81"/>
      <c r="C922" s="19"/>
      <c r="D922" s="19"/>
      <c r="E922" s="20"/>
    </row>
    <row r="923" spans="1:5">
      <c r="A923" s="80"/>
      <c r="B923" s="81"/>
      <c r="C923" s="19"/>
      <c r="D923" s="19"/>
      <c r="E923" s="20"/>
    </row>
    <row r="924" spans="1:5">
      <c r="A924" s="80"/>
      <c r="B924" s="81"/>
      <c r="C924" s="19"/>
      <c r="D924" s="19"/>
      <c r="E924" s="20"/>
    </row>
    <row r="925" spans="1:5">
      <c r="A925" s="80"/>
      <c r="B925" s="81"/>
      <c r="C925" s="19"/>
      <c r="D925" s="19"/>
      <c r="E925" s="20"/>
    </row>
    <row r="926" spans="1:5">
      <c r="A926" s="80"/>
      <c r="B926" s="81"/>
      <c r="C926" s="19"/>
      <c r="D926" s="19"/>
      <c r="E926" s="20"/>
    </row>
    <row r="927" spans="1:5">
      <c r="A927" s="80"/>
      <c r="B927" s="81"/>
      <c r="C927" s="19"/>
      <c r="D927" s="19"/>
      <c r="E927" s="20"/>
    </row>
    <row r="928" spans="1:5">
      <c r="A928" s="80"/>
      <c r="B928" s="81"/>
      <c r="C928" s="19"/>
      <c r="D928" s="19"/>
      <c r="E928" s="20"/>
    </row>
    <row r="929" spans="1:5">
      <c r="A929" s="80"/>
      <c r="B929" s="81"/>
      <c r="C929" s="19"/>
      <c r="D929" s="19"/>
      <c r="E929" s="20"/>
    </row>
    <row r="930" spans="1:5">
      <c r="A930" s="80"/>
      <c r="B930" s="81"/>
      <c r="C930" s="19"/>
      <c r="D930" s="19"/>
      <c r="E930" s="20"/>
    </row>
    <row r="931" spans="1:5">
      <c r="A931" s="80"/>
      <c r="B931" s="81"/>
      <c r="C931" s="19"/>
      <c r="D931" s="19"/>
      <c r="E931" s="20"/>
    </row>
    <row r="932" spans="1:5">
      <c r="A932" s="80"/>
      <c r="B932" s="81"/>
      <c r="C932" s="19"/>
      <c r="D932" s="19"/>
      <c r="E932" s="20"/>
    </row>
    <row r="933" spans="1:5">
      <c r="A933" s="80"/>
      <c r="B933" s="81"/>
      <c r="C933" s="19"/>
      <c r="D933" s="19"/>
      <c r="E933" s="20"/>
    </row>
    <row r="934" spans="1:5">
      <c r="A934" s="80"/>
      <c r="B934" s="81"/>
      <c r="C934" s="19"/>
      <c r="D934" s="19"/>
      <c r="E934" s="20"/>
    </row>
    <row r="935" spans="1:5">
      <c r="A935" s="80"/>
      <c r="B935" s="81"/>
      <c r="C935" s="19"/>
      <c r="D935" s="19"/>
      <c r="E935" s="20"/>
    </row>
    <row r="936" spans="1:5">
      <c r="A936" s="80"/>
      <c r="B936" s="81"/>
      <c r="C936" s="19"/>
      <c r="D936" s="19"/>
      <c r="E936" s="20"/>
    </row>
    <row r="937" spans="1:5">
      <c r="A937" s="80"/>
      <c r="B937" s="81"/>
      <c r="C937" s="19"/>
      <c r="D937" s="19"/>
      <c r="E937" s="20"/>
    </row>
    <row r="938" spans="1:5">
      <c r="A938" s="80"/>
      <c r="B938" s="81"/>
      <c r="C938" s="19"/>
      <c r="D938" s="19"/>
      <c r="E938" s="20"/>
    </row>
    <row r="939" spans="1:5">
      <c r="A939" s="80"/>
      <c r="B939" s="81"/>
      <c r="C939" s="19"/>
      <c r="D939" s="19"/>
      <c r="E939" s="20"/>
    </row>
    <row r="940" spans="1:5">
      <c r="A940" s="80"/>
      <c r="B940" s="81"/>
      <c r="C940" s="19"/>
      <c r="D940" s="19"/>
      <c r="E940" s="20"/>
    </row>
    <row r="941" spans="1:5">
      <c r="A941" s="80"/>
      <c r="B941" s="81"/>
      <c r="C941" s="19"/>
      <c r="D941" s="19"/>
      <c r="E941" s="20"/>
    </row>
    <row r="942" spans="1:5">
      <c r="A942" s="80"/>
      <c r="B942" s="81"/>
      <c r="C942" s="19"/>
      <c r="D942" s="19"/>
      <c r="E942" s="20"/>
    </row>
    <row r="943" spans="1:5">
      <c r="A943" s="80"/>
      <c r="B943" s="81"/>
      <c r="C943" s="19"/>
      <c r="D943" s="19"/>
      <c r="E943" s="20"/>
    </row>
    <row r="944" spans="1:5">
      <c r="A944" s="80"/>
      <c r="B944" s="81"/>
      <c r="C944" s="19"/>
      <c r="D944" s="19"/>
      <c r="E944" s="20"/>
    </row>
    <row r="945" spans="1:5">
      <c r="A945" s="80"/>
      <c r="B945" s="81"/>
      <c r="C945" s="19"/>
      <c r="D945" s="19"/>
      <c r="E945" s="20"/>
    </row>
    <row r="946" spans="1:5">
      <c r="A946" s="80"/>
      <c r="B946" s="81"/>
      <c r="C946" s="19"/>
      <c r="D946" s="19"/>
      <c r="E946" s="20"/>
    </row>
    <row r="947" spans="1:5">
      <c r="A947" s="80"/>
      <c r="B947" s="81"/>
      <c r="C947" s="19"/>
      <c r="D947" s="19"/>
      <c r="E947" s="20"/>
    </row>
    <row r="948" spans="1:5">
      <c r="A948" s="80"/>
      <c r="B948" s="81"/>
      <c r="C948" s="19"/>
      <c r="D948" s="19"/>
      <c r="E948" s="20"/>
    </row>
    <row r="949" spans="1:5">
      <c r="A949" s="80"/>
      <c r="B949" s="81"/>
      <c r="C949" s="19"/>
      <c r="D949" s="19"/>
      <c r="E949" s="20"/>
    </row>
    <row r="950" spans="1:5">
      <c r="A950" s="80"/>
      <c r="B950" s="81"/>
      <c r="C950" s="19"/>
      <c r="D950" s="19"/>
      <c r="E950" s="20"/>
    </row>
    <row r="951" spans="1:5">
      <c r="A951" s="80"/>
      <c r="B951" s="81"/>
      <c r="C951" s="19"/>
      <c r="D951" s="19"/>
      <c r="E951" s="20"/>
    </row>
    <row r="952" spans="1:5">
      <c r="A952" s="80"/>
      <c r="B952" s="81"/>
      <c r="C952" s="19"/>
      <c r="D952" s="19"/>
      <c r="E952" s="20"/>
    </row>
    <row r="953" spans="1:5">
      <c r="A953" s="80"/>
      <c r="B953" s="81"/>
      <c r="C953" s="19"/>
      <c r="D953" s="19"/>
      <c r="E953" s="20"/>
    </row>
    <row r="954" spans="1:5">
      <c r="A954" s="80"/>
      <c r="B954" s="81"/>
      <c r="C954" s="19"/>
      <c r="D954" s="19"/>
      <c r="E954" s="20"/>
    </row>
    <row r="955" spans="1:5">
      <c r="A955" s="80"/>
      <c r="B955" s="81"/>
      <c r="C955" s="19"/>
      <c r="D955" s="19"/>
      <c r="E955" s="20"/>
    </row>
    <row r="956" spans="1:5">
      <c r="A956" s="80"/>
      <c r="B956" s="81"/>
      <c r="C956" s="19"/>
      <c r="D956" s="19"/>
      <c r="E956" s="20"/>
    </row>
    <row r="957" spans="1:5">
      <c r="A957" s="80"/>
      <c r="B957" s="81"/>
      <c r="C957" s="19"/>
      <c r="D957" s="19"/>
      <c r="E957" s="20"/>
    </row>
    <row r="958" spans="1:5">
      <c r="A958" s="80"/>
      <c r="B958" s="81"/>
      <c r="C958" s="19"/>
      <c r="D958" s="19"/>
      <c r="E958" s="20"/>
    </row>
    <row r="959" spans="1:5">
      <c r="A959" s="80"/>
      <c r="B959" s="81"/>
      <c r="C959" s="19"/>
      <c r="D959" s="19"/>
      <c r="E959" s="20"/>
    </row>
    <row r="960" spans="1:5">
      <c r="A960" s="80"/>
      <c r="B960" s="81"/>
      <c r="C960" s="19"/>
      <c r="D960" s="19"/>
      <c r="E960" s="20"/>
    </row>
    <row r="961" spans="1:5">
      <c r="A961" s="80"/>
      <c r="B961" s="81"/>
      <c r="C961" s="19"/>
      <c r="D961" s="19"/>
      <c r="E961" s="20"/>
    </row>
    <row r="962" spans="1:5">
      <c r="A962" s="80"/>
      <c r="B962" s="81"/>
      <c r="C962" s="19"/>
      <c r="D962" s="19"/>
      <c r="E962" s="20"/>
    </row>
    <row r="963" spans="1:5">
      <c r="A963" s="80"/>
      <c r="B963" s="81"/>
      <c r="C963" s="19"/>
      <c r="D963" s="19"/>
      <c r="E963" s="20"/>
    </row>
    <row r="964" spans="1:5">
      <c r="A964" s="80"/>
      <c r="B964" s="81"/>
      <c r="C964" s="19"/>
      <c r="D964" s="19"/>
      <c r="E964" s="20"/>
    </row>
    <row r="965" spans="1:5">
      <c r="A965" s="80"/>
      <c r="B965" s="81"/>
      <c r="C965" s="19"/>
      <c r="D965" s="19"/>
      <c r="E965" s="20"/>
    </row>
    <row r="966" spans="1:5">
      <c r="A966" s="80"/>
      <c r="B966" s="81"/>
      <c r="C966" s="19"/>
      <c r="D966" s="19"/>
      <c r="E966" s="20"/>
    </row>
    <row r="967" spans="1:5">
      <c r="A967" s="80"/>
      <c r="B967" s="81"/>
      <c r="C967" s="19"/>
      <c r="D967" s="19"/>
      <c r="E967" s="20"/>
    </row>
    <row r="968" spans="1:5">
      <c r="A968" s="80"/>
      <c r="B968" s="81"/>
      <c r="C968" s="19"/>
      <c r="D968" s="19"/>
      <c r="E968" s="20"/>
    </row>
    <row r="969" spans="1:5">
      <c r="A969" s="80"/>
      <c r="B969" s="81"/>
      <c r="C969" s="19"/>
      <c r="D969" s="19"/>
      <c r="E969" s="20"/>
    </row>
    <row r="970" spans="1:5">
      <c r="A970" s="80"/>
      <c r="B970" s="81"/>
      <c r="C970" s="19"/>
      <c r="D970" s="19"/>
      <c r="E970" s="20"/>
    </row>
    <row r="971" spans="1:5">
      <c r="A971" s="80"/>
      <c r="B971" s="81"/>
      <c r="C971" s="19"/>
      <c r="D971" s="19"/>
      <c r="E971" s="20"/>
    </row>
    <row r="972" spans="1:5">
      <c r="A972" s="80"/>
      <c r="B972" s="81"/>
      <c r="C972" s="19"/>
      <c r="D972" s="19"/>
      <c r="E972" s="20"/>
    </row>
    <row r="973" spans="1:5">
      <c r="A973" s="80"/>
      <c r="B973" s="81"/>
      <c r="C973" s="19"/>
      <c r="D973" s="19"/>
      <c r="E973" s="20"/>
    </row>
    <row r="974" spans="1:5">
      <c r="A974" s="80"/>
      <c r="B974" s="81"/>
      <c r="C974" s="19"/>
      <c r="D974" s="19"/>
      <c r="E974" s="20"/>
    </row>
    <row r="975" spans="1:5">
      <c r="A975" s="80"/>
      <c r="B975" s="81"/>
      <c r="C975" s="19"/>
      <c r="D975" s="19"/>
      <c r="E975" s="20"/>
    </row>
    <row r="976" spans="1:5">
      <c r="A976" s="80"/>
      <c r="B976" s="81"/>
      <c r="C976" s="19"/>
      <c r="D976" s="19"/>
      <c r="E976" s="20"/>
    </row>
    <row r="977" spans="1:5">
      <c r="A977" s="80"/>
      <c r="B977" s="81"/>
      <c r="C977" s="19"/>
      <c r="D977" s="19"/>
      <c r="E977" s="20"/>
    </row>
    <row r="978" spans="1:5">
      <c r="A978" s="80"/>
      <c r="B978" s="81"/>
      <c r="C978" s="19"/>
      <c r="D978" s="19"/>
      <c r="E978" s="20"/>
    </row>
    <row r="979" spans="1:5">
      <c r="A979" s="80"/>
      <c r="B979" s="81"/>
      <c r="C979" s="19"/>
      <c r="D979" s="19"/>
      <c r="E979" s="20"/>
    </row>
    <row r="980" spans="1:5">
      <c r="A980" s="80"/>
      <c r="B980" s="81"/>
      <c r="C980" s="19"/>
      <c r="D980" s="19"/>
      <c r="E980" s="20"/>
    </row>
    <row r="981" spans="1:5">
      <c r="A981" s="80"/>
      <c r="B981" s="81"/>
      <c r="C981" s="19"/>
      <c r="D981" s="19"/>
      <c r="E981" s="20"/>
    </row>
    <row r="982" spans="1:5">
      <c r="A982" s="80"/>
      <c r="B982" s="81"/>
      <c r="C982" s="19"/>
      <c r="D982" s="19"/>
      <c r="E982" s="20"/>
    </row>
    <row r="983" spans="1:5">
      <c r="A983" s="80"/>
      <c r="B983" s="81"/>
      <c r="C983" s="19"/>
      <c r="D983" s="19"/>
      <c r="E983" s="20"/>
    </row>
    <row r="984" spans="1:5">
      <c r="A984" s="80"/>
      <c r="B984" s="81"/>
      <c r="C984" s="19"/>
      <c r="D984" s="19"/>
      <c r="E984" s="20"/>
    </row>
    <row r="985" spans="1:5">
      <c r="A985" s="80"/>
      <c r="B985" s="81"/>
      <c r="C985" s="19"/>
      <c r="D985" s="19"/>
      <c r="E985" s="20"/>
    </row>
    <row r="986" spans="1:5">
      <c r="A986" s="80"/>
      <c r="B986" s="81"/>
      <c r="C986" s="19"/>
      <c r="D986" s="19"/>
      <c r="E986" s="20"/>
    </row>
    <row r="987" spans="1:5">
      <c r="A987" s="80"/>
      <c r="B987" s="81"/>
      <c r="C987" s="19"/>
      <c r="D987" s="19"/>
      <c r="E987" s="20"/>
    </row>
    <row r="988" spans="1:5">
      <c r="A988" s="80"/>
      <c r="B988" s="81"/>
      <c r="C988" s="19"/>
      <c r="D988" s="19"/>
      <c r="E988" s="20"/>
    </row>
    <row r="989" spans="1:5">
      <c r="A989" s="80"/>
      <c r="B989" s="81"/>
      <c r="C989" s="19"/>
      <c r="D989" s="19"/>
      <c r="E989" s="20"/>
    </row>
    <row r="990" spans="1:5">
      <c r="A990" s="80"/>
      <c r="B990" s="81"/>
      <c r="C990" s="19"/>
      <c r="D990" s="19"/>
      <c r="E990" s="20"/>
    </row>
    <row r="991" spans="1:5">
      <c r="A991" s="80"/>
      <c r="B991" s="81"/>
      <c r="C991" s="19"/>
      <c r="D991" s="19"/>
      <c r="E991" s="20"/>
    </row>
    <row r="992" spans="1:5">
      <c r="A992" s="80"/>
      <c r="B992" s="81"/>
      <c r="C992" s="19"/>
      <c r="D992" s="19"/>
      <c r="E992" s="20"/>
    </row>
    <row r="993" spans="1:5">
      <c r="A993" s="80"/>
      <c r="B993" s="81"/>
      <c r="C993" s="19"/>
      <c r="D993" s="19"/>
      <c r="E993" s="20"/>
    </row>
    <row r="994" spans="1:5">
      <c r="A994" s="80"/>
      <c r="B994" s="81"/>
      <c r="C994" s="19"/>
      <c r="D994" s="19"/>
      <c r="E994" s="20"/>
    </row>
    <row r="995" spans="1:5">
      <c r="A995" s="80"/>
      <c r="B995" s="81"/>
      <c r="C995" s="19"/>
      <c r="D995" s="19"/>
      <c r="E995" s="20"/>
    </row>
    <row r="996" spans="1:5">
      <c r="A996" s="80"/>
      <c r="B996" s="81"/>
      <c r="C996" s="19"/>
      <c r="D996" s="19"/>
      <c r="E996" s="20"/>
    </row>
    <row r="997" spans="1:5">
      <c r="A997" s="80"/>
      <c r="B997" s="81"/>
      <c r="C997" s="19"/>
      <c r="D997" s="19"/>
      <c r="E997" s="20"/>
    </row>
    <row r="998" spans="1:5">
      <c r="A998" s="80"/>
      <c r="B998" s="81"/>
      <c r="C998" s="19"/>
      <c r="D998" s="19"/>
      <c r="E998" s="20"/>
    </row>
    <row r="999" spans="1:5">
      <c r="A999" s="80"/>
      <c r="B999" s="81"/>
      <c r="C999" s="19"/>
      <c r="D999" s="19"/>
      <c r="E999" s="20"/>
    </row>
    <row r="1000" spans="1:5">
      <c r="A1000" s="80"/>
      <c r="B1000" s="81"/>
      <c r="C1000" s="19"/>
      <c r="D1000" s="19"/>
      <c r="E1000" s="20"/>
    </row>
    <row r="1001" spans="1:5">
      <c r="A1001" s="80"/>
      <c r="B1001" s="81"/>
      <c r="C1001" s="19"/>
      <c r="D1001" s="19"/>
      <c r="E1001" s="20"/>
    </row>
    <row r="1002" spans="1:5">
      <c r="A1002" s="80"/>
      <c r="B1002" s="81"/>
      <c r="C1002" s="19"/>
      <c r="D1002" s="19"/>
      <c r="E1002" s="20"/>
    </row>
    <row r="1003" spans="1:5">
      <c r="A1003" s="80"/>
      <c r="B1003" s="81"/>
      <c r="C1003" s="19"/>
      <c r="D1003" s="19"/>
      <c r="E1003" s="20"/>
    </row>
    <row r="1004" spans="1:5">
      <c r="A1004" s="80"/>
      <c r="B1004" s="81"/>
      <c r="C1004" s="19"/>
      <c r="D1004" s="19"/>
      <c r="E1004" s="20"/>
    </row>
    <row r="1005" spans="1:5">
      <c r="A1005" s="80"/>
      <c r="B1005" s="81"/>
      <c r="C1005" s="19"/>
      <c r="D1005" s="19"/>
      <c r="E1005" s="20"/>
    </row>
    <row r="1006" spans="1:5">
      <c r="A1006" s="80"/>
      <c r="B1006" s="81"/>
      <c r="C1006" s="19"/>
      <c r="D1006" s="19"/>
      <c r="E1006" s="20"/>
    </row>
    <row r="1007" spans="1:5">
      <c r="A1007" s="80"/>
      <c r="B1007" s="81"/>
      <c r="C1007" s="19"/>
      <c r="D1007" s="19"/>
      <c r="E1007" s="20"/>
    </row>
    <row r="1008" spans="1:5">
      <c r="A1008" s="80"/>
      <c r="B1008" s="81"/>
      <c r="C1008" s="19"/>
      <c r="D1008" s="19"/>
      <c r="E1008" s="20"/>
    </row>
    <row r="1009" spans="1:5">
      <c r="A1009" s="80"/>
      <c r="B1009" s="81"/>
      <c r="C1009" s="19"/>
      <c r="D1009" s="19"/>
      <c r="E1009" s="20"/>
    </row>
    <row r="1010" spans="1:5">
      <c r="A1010" s="80"/>
      <c r="B1010" s="81"/>
      <c r="C1010" s="19"/>
      <c r="D1010" s="19"/>
      <c r="E1010" s="20"/>
    </row>
    <row r="1011" spans="1:5">
      <c r="A1011" s="80"/>
      <c r="B1011" s="81"/>
      <c r="C1011" s="19"/>
      <c r="D1011" s="19"/>
      <c r="E1011" s="20"/>
    </row>
    <row r="1012" spans="1:5">
      <c r="A1012" s="80"/>
      <c r="B1012" s="81"/>
      <c r="C1012" s="19"/>
      <c r="D1012" s="19"/>
      <c r="E1012" s="20"/>
    </row>
    <row r="1013" spans="1:5">
      <c r="A1013" s="80"/>
      <c r="B1013" s="81"/>
      <c r="C1013" s="19"/>
      <c r="D1013" s="19"/>
      <c r="E1013" s="20"/>
    </row>
    <row r="1014" spans="1:5">
      <c r="A1014" s="80"/>
      <c r="B1014" s="81"/>
      <c r="C1014" s="19"/>
      <c r="D1014" s="19"/>
      <c r="E1014" s="20"/>
    </row>
    <row r="1015" spans="1:5">
      <c r="A1015" s="80"/>
      <c r="B1015" s="81"/>
      <c r="C1015" s="19"/>
      <c r="D1015" s="19"/>
      <c r="E1015" s="20"/>
    </row>
    <row r="1016" spans="1:5">
      <c r="A1016" s="80"/>
      <c r="B1016" s="81"/>
      <c r="C1016" s="19"/>
      <c r="D1016" s="19"/>
      <c r="E1016" s="20"/>
    </row>
    <row r="1017" spans="1:5">
      <c r="A1017" s="80"/>
      <c r="B1017" s="81"/>
      <c r="C1017" s="19"/>
      <c r="D1017" s="19"/>
      <c r="E1017" s="20"/>
    </row>
    <row r="1018" spans="1:5">
      <c r="A1018" s="80"/>
      <c r="B1018" s="81"/>
      <c r="C1018" s="19"/>
      <c r="D1018" s="19"/>
      <c r="E1018" s="20"/>
    </row>
    <row r="1019" spans="1:5">
      <c r="A1019" s="80"/>
      <c r="B1019" s="81"/>
      <c r="C1019" s="19"/>
      <c r="D1019" s="19"/>
      <c r="E1019" s="20"/>
    </row>
    <row r="1020" spans="1:5">
      <c r="A1020" s="80"/>
      <c r="B1020" s="81"/>
      <c r="C1020" s="19"/>
      <c r="D1020" s="19"/>
      <c r="E1020" s="20"/>
    </row>
    <row r="1021" spans="1:5">
      <c r="A1021" s="80"/>
      <c r="B1021" s="81"/>
      <c r="C1021" s="19"/>
      <c r="D1021" s="19"/>
      <c r="E1021" s="20"/>
    </row>
    <row r="1022" spans="1:5">
      <c r="A1022" s="80"/>
      <c r="B1022" s="81"/>
      <c r="C1022" s="19"/>
      <c r="D1022" s="19"/>
      <c r="E1022" s="20"/>
    </row>
    <row r="1023" spans="1:5">
      <c r="A1023" s="80"/>
      <c r="B1023" s="81"/>
      <c r="C1023" s="19"/>
      <c r="D1023" s="19"/>
      <c r="E1023" s="20"/>
    </row>
    <row r="1024" spans="1:5">
      <c r="A1024" s="80"/>
      <c r="B1024" s="81"/>
      <c r="C1024" s="19"/>
      <c r="D1024" s="19"/>
      <c r="E1024" s="20"/>
    </row>
    <row r="1025" spans="1:5">
      <c r="A1025" s="80"/>
      <c r="B1025" s="81"/>
      <c r="C1025" s="19"/>
      <c r="D1025" s="19"/>
      <c r="E1025" s="20"/>
    </row>
    <row r="1026" spans="1:5">
      <c r="A1026" s="80"/>
      <c r="B1026" s="81"/>
      <c r="C1026" s="19"/>
      <c r="D1026" s="19"/>
      <c r="E1026" s="20"/>
    </row>
    <row r="1027" spans="1:5">
      <c r="A1027" s="80"/>
      <c r="B1027" s="81"/>
      <c r="C1027" s="19"/>
      <c r="D1027" s="19"/>
      <c r="E1027" s="20"/>
    </row>
    <row r="1028" spans="1:5">
      <c r="A1028" s="80"/>
      <c r="B1028" s="81"/>
      <c r="C1028" s="19"/>
      <c r="D1028" s="19"/>
      <c r="E1028" s="20"/>
    </row>
    <row r="1029" spans="1:5">
      <c r="A1029" s="80"/>
      <c r="B1029" s="81"/>
      <c r="C1029" s="19"/>
      <c r="D1029" s="19"/>
      <c r="E1029" s="20"/>
    </row>
    <row r="1030" spans="1:5">
      <c r="A1030" s="80"/>
      <c r="B1030" s="81"/>
      <c r="C1030" s="19"/>
      <c r="D1030" s="19"/>
      <c r="E1030" s="20"/>
    </row>
    <row r="1031" spans="1:5">
      <c r="A1031" s="80"/>
      <c r="B1031" s="81"/>
      <c r="C1031" s="19"/>
      <c r="D1031" s="19"/>
      <c r="E1031" s="20"/>
    </row>
    <row r="1032" spans="1:5">
      <c r="A1032" s="80"/>
      <c r="B1032" s="81"/>
      <c r="C1032" s="19"/>
      <c r="D1032" s="19"/>
      <c r="E1032" s="20"/>
    </row>
    <row r="1033" spans="1:5">
      <c r="A1033" s="80"/>
      <c r="B1033" s="81"/>
      <c r="C1033" s="19"/>
      <c r="D1033" s="19"/>
      <c r="E1033" s="20"/>
    </row>
    <row r="1034" spans="1:5">
      <c r="A1034" s="80"/>
      <c r="B1034" s="81"/>
      <c r="C1034" s="19"/>
      <c r="D1034" s="19"/>
      <c r="E1034" s="20"/>
    </row>
    <row r="1035" spans="1:5">
      <c r="A1035" s="80"/>
      <c r="B1035" s="81"/>
      <c r="C1035" s="19"/>
      <c r="D1035" s="19"/>
      <c r="E1035" s="20"/>
    </row>
    <row r="1036" spans="1:5">
      <c r="A1036" s="80"/>
      <c r="B1036" s="81"/>
      <c r="C1036" s="19"/>
      <c r="D1036" s="19"/>
      <c r="E1036" s="20"/>
    </row>
    <row r="1037" spans="1:5">
      <c r="A1037" s="80"/>
      <c r="B1037" s="81"/>
      <c r="C1037" s="19"/>
      <c r="D1037" s="19"/>
      <c r="E1037" s="20"/>
    </row>
    <row r="1038" spans="1:5">
      <c r="A1038" s="80"/>
      <c r="B1038" s="81"/>
      <c r="C1038" s="19"/>
      <c r="D1038" s="19"/>
      <c r="E1038" s="20"/>
    </row>
    <row r="1039" spans="1:5">
      <c r="A1039" s="80"/>
      <c r="B1039" s="81"/>
      <c r="C1039" s="19"/>
      <c r="D1039" s="19"/>
      <c r="E1039" s="20"/>
    </row>
    <row r="1040" spans="1:5">
      <c r="A1040" s="80"/>
      <c r="B1040" s="81"/>
      <c r="C1040" s="19"/>
      <c r="D1040" s="19"/>
      <c r="E1040" s="20"/>
    </row>
    <row r="1041" spans="1:5">
      <c r="A1041" s="80"/>
      <c r="B1041" s="81"/>
      <c r="C1041" s="19"/>
      <c r="D1041" s="19"/>
      <c r="E1041" s="20"/>
    </row>
    <row r="1042" spans="1:5">
      <c r="A1042" s="80"/>
      <c r="B1042" s="81"/>
      <c r="C1042" s="19"/>
      <c r="D1042" s="19"/>
      <c r="E1042" s="20"/>
    </row>
    <row r="1043" spans="1:5">
      <c r="A1043" s="80"/>
      <c r="B1043" s="81"/>
      <c r="C1043" s="19"/>
      <c r="D1043" s="19"/>
      <c r="E1043" s="20"/>
    </row>
    <row r="1044" spans="1:5">
      <c r="A1044" s="80"/>
      <c r="B1044" s="81"/>
      <c r="C1044" s="19"/>
      <c r="D1044" s="19"/>
      <c r="E1044" s="20"/>
    </row>
    <row r="1045" spans="1:5">
      <c r="A1045" s="80"/>
      <c r="B1045" s="81"/>
      <c r="C1045" s="19"/>
      <c r="D1045" s="19"/>
      <c r="E1045" s="20"/>
    </row>
    <row r="1046" spans="1:5">
      <c r="A1046" s="80"/>
      <c r="B1046" s="81"/>
      <c r="C1046" s="19"/>
      <c r="D1046" s="19"/>
      <c r="E1046" s="20"/>
    </row>
    <row r="1047" spans="1:5">
      <c r="A1047" s="80"/>
      <c r="B1047" s="81"/>
      <c r="C1047" s="19"/>
      <c r="D1047" s="19"/>
      <c r="E1047" s="20"/>
    </row>
    <row r="1048" spans="1:5">
      <c r="A1048" s="80"/>
      <c r="B1048" s="81"/>
      <c r="C1048" s="19"/>
      <c r="D1048" s="19"/>
      <c r="E1048" s="20"/>
    </row>
    <row r="1049" spans="1:5">
      <c r="A1049" s="80"/>
      <c r="B1049" s="81"/>
      <c r="C1049" s="19"/>
      <c r="D1049" s="19"/>
      <c r="E1049" s="20"/>
    </row>
    <row r="1050" spans="1:5">
      <c r="A1050" s="80"/>
      <c r="B1050" s="81"/>
      <c r="C1050" s="19"/>
      <c r="D1050" s="19"/>
      <c r="E1050" s="20"/>
    </row>
    <row r="1051" spans="1:5">
      <c r="A1051" s="80"/>
      <c r="B1051" s="81"/>
      <c r="C1051" s="19"/>
      <c r="D1051" s="19"/>
      <c r="E1051" s="20"/>
    </row>
    <row r="1052" spans="1:5">
      <c r="A1052" s="80"/>
      <c r="B1052" s="81"/>
      <c r="C1052" s="19"/>
      <c r="D1052" s="19"/>
      <c r="E1052" s="20"/>
    </row>
    <row r="1053" spans="1:5">
      <c r="A1053" s="80"/>
      <c r="B1053" s="81"/>
      <c r="C1053" s="19"/>
      <c r="D1053" s="19"/>
      <c r="E1053" s="20"/>
    </row>
    <row r="1054" spans="1:5">
      <c r="A1054" s="80"/>
      <c r="B1054" s="81"/>
      <c r="C1054" s="19"/>
      <c r="D1054" s="19"/>
      <c r="E1054" s="20"/>
    </row>
    <row r="1055" spans="1:5">
      <c r="A1055" s="80"/>
      <c r="B1055" s="81"/>
      <c r="C1055" s="19"/>
      <c r="D1055" s="19"/>
      <c r="E1055" s="20"/>
    </row>
    <row r="1056" spans="1:5">
      <c r="A1056" s="80"/>
      <c r="B1056" s="81"/>
      <c r="C1056" s="19"/>
      <c r="D1056" s="19"/>
      <c r="E1056" s="20"/>
    </row>
    <row r="1057" spans="1:5">
      <c r="A1057" s="80"/>
      <c r="B1057" s="81"/>
      <c r="C1057" s="19"/>
      <c r="D1057" s="19"/>
      <c r="E1057" s="20"/>
    </row>
    <row r="1058" spans="1:5">
      <c r="A1058" s="80"/>
      <c r="B1058" s="81"/>
      <c r="C1058" s="19"/>
      <c r="D1058" s="19"/>
      <c r="E1058" s="20"/>
    </row>
    <row r="1059" spans="1:5">
      <c r="A1059" s="80"/>
      <c r="B1059" s="81"/>
      <c r="C1059" s="19"/>
      <c r="D1059" s="19"/>
      <c r="E1059" s="20"/>
    </row>
    <row r="1060" spans="1:5">
      <c r="A1060" s="80"/>
      <c r="B1060" s="81"/>
      <c r="C1060" s="19"/>
      <c r="D1060" s="19"/>
      <c r="E1060" s="20"/>
    </row>
    <row r="1061" spans="1:5">
      <c r="A1061" s="80"/>
      <c r="B1061" s="81"/>
      <c r="C1061" s="19"/>
      <c r="D1061" s="19"/>
      <c r="E1061" s="20"/>
    </row>
    <row r="1062" spans="1:5">
      <c r="A1062" s="80"/>
      <c r="B1062" s="81"/>
      <c r="C1062" s="19"/>
      <c r="D1062" s="19"/>
      <c r="E1062" s="20"/>
    </row>
    <row r="1063" spans="1:5">
      <c r="A1063" s="80"/>
      <c r="B1063" s="81"/>
      <c r="C1063" s="19"/>
      <c r="D1063" s="19"/>
      <c r="E1063" s="20"/>
    </row>
    <row r="1064" spans="1:5">
      <c r="A1064" s="80"/>
      <c r="B1064" s="81"/>
      <c r="C1064" s="19"/>
      <c r="D1064" s="19"/>
      <c r="E1064" s="20"/>
    </row>
    <row r="1065" spans="1:5">
      <c r="A1065" s="80"/>
      <c r="B1065" s="81"/>
      <c r="C1065" s="19"/>
      <c r="D1065" s="19"/>
      <c r="E1065" s="20"/>
    </row>
    <row r="1066" spans="1:5">
      <c r="A1066" s="80"/>
      <c r="B1066" s="81"/>
      <c r="C1066" s="19"/>
      <c r="D1066" s="19"/>
      <c r="E1066" s="20"/>
    </row>
    <row r="1067" spans="1:5">
      <c r="A1067" s="80"/>
      <c r="B1067" s="81"/>
      <c r="C1067" s="19"/>
      <c r="D1067" s="19"/>
      <c r="E1067" s="20"/>
    </row>
    <row r="1068" spans="1:5">
      <c r="A1068" s="80"/>
      <c r="B1068" s="81"/>
      <c r="C1068" s="19"/>
      <c r="D1068" s="19"/>
      <c r="E1068" s="20"/>
    </row>
    <row r="1069" spans="1:5">
      <c r="A1069" s="80"/>
      <c r="B1069" s="81"/>
      <c r="C1069" s="19"/>
      <c r="D1069" s="19"/>
      <c r="E1069" s="20"/>
    </row>
    <row r="1070" spans="1:5">
      <c r="A1070" s="80"/>
      <c r="B1070" s="81"/>
      <c r="C1070" s="19"/>
      <c r="D1070" s="19"/>
      <c r="E1070" s="20"/>
    </row>
    <row r="1071" spans="1:5">
      <c r="A1071" s="80"/>
      <c r="B1071" s="81"/>
      <c r="C1071" s="19"/>
      <c r="D1071" s="19"/>
      <c r="E1071" s="20"/>
    </row>
    <row r="1072" spans="1:5">
      <c r="A1072" s="80"/>
      <c r="B1072" s="81"/>
      <c r="C1072" s="19"/>
      <c r="D1072" s="19"/>
      <c r="E1072" s="20"/>
    </row>
    <row r="1073" spans="1:5">
      <c r="A1073" s="80"/>
      <c r="B1073" s="81"/>
      <c r="C1073" s="19"/>
      <c r="D1073" s="19"/>
      <c r="E1073" s="20"/>
    </row>
    <row r="1074" spans="1:5">
      <c r="A1074" s="80"/>
      <c r="B1074" s="81"/>
      <c r="C1074" s="19"/>
      <c r="D1074" s="19"/>
      <c r="E1074" s="20"/>
    </row>
    <row r="1075" spans="1:5">
      <c r="A1075" s="80"/>
      <c r="B1075" s="81"/>
      <c r="C1075" s="19"/>
      <c r="D1075" s="19"/>
      <c r="E1075" s="20"/>
    </row>
    <row r="1076" spans="1:5">
      <c r="A1076" s="80"/>
      <c r="B1076" s="81"/>
      <c r="C1076" s="19"/>
      <c r="D1076" s="19"/>
      <c r="E1076" s="20"/>
    </row>
    <row r="1077" spans="1:5">
      <c r="A1077" s="80"/>
      <c r="B1077" s="81"/>
      <c r="C1077" s="19"/>
      <c r="D1077" s="19"/>
      <c r="E1077" s="20"/>
    </row>
    <row r="1078" spans="1:5">
      <c r="A1078" s="80"/>
      <c r="B1078" s="81"/>
      <c r="C1078" s="19"/>
      <c r="D1078" s="19"/>
      <c r="E1078" s="20"/>
    </row>
    <row r="1079" spans="1:5">
      <c r="A1079" s="80"/>
      <c r="B1079" s="81"/>
      <c r="C1079" s="19"/>
      <c r="D1079" s="19"/>
      <c r="E1079" s="20"/>
    </row>
    <row r="1080" spans="1:5">
      <c r="A1080" s="80"/>
      <c r="B1080" s="81"/>
      <c r="C1080" s="19"/>
      <c r="D1080" s="19"/>
      <c r="E1080" s="20"/>
    </row>
    <row r="1081" spans="1:5">
      <c r="A1081" s="80"/>
      <c r="B1081" s="81"/>
      <c r="C1081" s="19"/>
      <c r="D1081" s="19"/>
      <c r="E1081" s="20"/>
    </row>
    <row r="1082" spans="1:5">
      <c r="A1082" s="80"/>
      <c r="B1082" s="81"/>
      <c r="C1082" s="19"/>
      <c r="D1082" s="19"/>
      <c r="E1082" s="20"/>
    </row>
    <row r="1083" spans="1:5">
      <c r="A1083" s="80"/>
      <c r="B1083" s="81"/>
      <c r="C1083" s="19"/>
      <c r="D1083" s="19"/>
      <c r="E1083" s="20"/>
    </row>
    <row r="1084" spans="1:5">
      <c r="A1084" s="80"/>
      <c r="B1084" s="81"/>
      <c r="C1084" s="19"/>
      <c r="D1084" s="19"/>
      <c r="E1084" s="20"/>
    </row>
    <row r="1085" spans="1:5">
      <c r="A1085" s="80"/>
      <c r="B1085" s="81"/>
      <c r="C1085" s="19"/>
      <c r="D1085" s="19"/>
      <c r="E1085" s="20"/>
    </row>
    <row r="1086" spans="1:5">
      <c r="A1086" s="80"/>
      <c r="B1086" s="81"/>
      <c r="C1086" s="19"/>
      <c r="D1086" s="19"/>
      <c r="E1086" s="20"/>
    </row>
    <row r="1087" spans="1:5">
      <c r="A1087" s="80"/>
      <c r="B1087" s="81"/>
      <c r="C1087" s="19"/>
      <c r="D1087" s="19"/>
      <c r="E1087" s="20"/>
    </row>
    <row r="1088" spans="1:5">
      <c r="A1088" s="80"/>
      <c r="B1088" s="81"/>
      <c r="C1088" s="19"/>
      <c r="D1088" s="19"/>
      <c r="E1088" s="20"/>
    </row>
    <row r="1089" spans="1:5">
      <c r="A1089" s="80"/>
      <c r="B1089" s="81"/>
      <c r="C1089" s="19"/>
      <c r="D1089" s="19"/>
      <c r="E1089" s="20"/>
    </row>
    <row r="1090" spans="1:5">
      <c r="A1090" s="80"/>
      <c r="B1090" s="81"/>
      <c r="C1090" s="19"/>
      <c r="D1090" s="19"/>
      <c r="E1090" s="20"/>
    </row>
    <row r="1091" spans="1:5">
      <c r="A1091" s="80"/>
      <c r="B1091" s="81"/>
      <c r="C1091" s="19"/>
      <c r="D1091" s="19"/>
      <c r="E1091" s="20"/>
    </row>
    <row r="1092" spans="1:5">
      <c r="A1092" s="80"/>
      <c r="B1092" s="81"/>
      <c r="C1092" s="19"/>
      <c r="D1092" s="19"/>
      <c r="E1092" s="20"/>
    </row>
    <row r="1093" spans="1:5">
      <c r="A1093" s="80"/>
      <c r="B1093" s="81"/>
      <c r="C1093" s="19"/>
      <c r="D1093" s="19"/>
      <c r="E1093" s="20"/>
    </row>
    <row r="1094" spans="1:5">
      <c r="A1094" s="80"/>
      <c r="B1094" s="81"/>
      <c r="C1094" s="19"/>
      <c r="D1094" s="19"/>
      <c r="E1094" s="20"/>
    </row>
    <row r="1095" spans="1:5">
      <c r="A1095" s="80"/>
      <c r="B1095" s="81"/>
      <c r="C1095" s="19"/>
      <c r="D1095" s="19"/>
      <c r="E1095" s="20"/>
    </row>
    <row r="1096" spans="1:5">
      <c r="A1096" s="80"/>
      <c r="B1096" s="81"/>
      <c r="C1096" s="19"/>
      <c r="D1096" s="19"/>
      <c r="E1096" s="20"/>
    </row>
    <row r="1097" spans="1:5">
      <c r="A1097" s="80"/>
      <c r="B1097" s="81"/>
      <c r="C1097" s="19"/>
      <c r="D1097" s="19"/>
      <c r="E1097" s="20"/>
    </row>
    <row r="1098" spans="1:5">
      <c r="A1098" s="80"/>
      <c r="B1098" s="81"/>
      <c r="C1098" s="19"/>
      <c r="D1098" s="19"/>
      <c r="E1098" s="20"/>
    </row>
    <row r="1099" spans="1:5">
      <c r="A1099" s="80"/>
      <c r="B1099" s="81"/>
      <c r="C1099" s="19"/>
      <c r="D1099" s="19"/>
      <c r="E1099" s="20"/>
    </row>
    <row r="1100" spans="1:5">
      <c r="A1100" s="80"/>
      <c r="B1100" s="81"/>
      <c r="C1100" s="19"/>
      <c r="D1100" s="19"/>
      <c r="E1100" s="20"/>
    </row>
    <row r="1101" spans="1:5">
      <c r="A1101" s="80"/>
      <c r="B1101" s="81"/>
      <c r="C1101" s="19"/>
      <c r="D1101" s="19"/>
      <c r="E1101" s="20"/>
    </row>
    <row r="1102" spans="1:5">
      <c r="A1102" s="80"/>
      <c r="B1102" s="81"/>
      <c r="C1102" s="19"/>
      <c r="D1102" s="19"/>
      <c r="E1102" s="20"/>
    </row>
    <row r="1103" spans="1:5">
      <c r="A1103" s="80"/>
      <c r="B1103" s="81"/>
      <c r="C1103" s="19"/>
      <c r="D1103" s="19"/>
      <c r="E1103" s="20"/>
    </row>
    <row r="1104" spans="1:5">
      <c r="A1104" s="80"/>
      <c r="B1104" s="81"/>
      <c r="C1104" s="19"/>
      <c r="D1104" s="19"/>
      <c r="E1104" s="20"/>
    </row>
    <row r="1105" spans="1:5">
      <c r="A1105" s="80"/>
      <c r="B1105" s="81"/>
      <c r="C1105" s="19"/>
      <c r="D1105" s="19"/>
      <c r="E1105" s="20"/>
    </row>
    <row r="1106" spans="1:5">
      <c r="A1106" s="80"/>
      <c r="B1106" s="81"/>
      <c r="C1106" s="19"/>
      <c r="D1106" s="19"/>
      <c r="E1106" s="20"/>
    </row>
    <row r="1107" spans="1:5">
      <c r="A1107" s="80"/>
      <c r="B1107" s="81"/>
      <c r="C1107" s="19"/>
      <c r="D1107" s="19"/>
      <c r="E1107" s="20"/>
    </row>
    <row r="1108" spans="1:5">
      <c r="A1108" s="80"/>
      <c r="B1108" s="81"/>
      <c r="C1108" s="19"/>
      <c r="D1108" s="19"/>
      <c r="E1108" s="20"/>
    </row>
    <row r="1109" spans="1:5">
      <c r="A1109" s="80"/>
      <c r="B1109" s="81"/>
      <c r="C1109" s="19"/>
      <c r="D1109" s="19"/>
      <c r="E1109" s="20"/>
    </row>
    <row r="1110" spans="1:5">
      <c r="A1110" s="80"/>
      <c r="B1110" s="81"/>
      <c r="C1110" s="19"/>
      <c r="D1110" s="19"/>
      <c r="E1110" s="20"/>
    </row>
    <row r="1111" spans="1:5">
      <c r="A1111" s="80"/>
      <c r="B1111" s="81"/>
      <c r="C1111" s="19"/>
      <c r="D1111" s="19"/>
      <c r="E1111" s="20"/>
    </row>
    <row r="1112" spans="1:5">
      <c r="A1112" s="80"/>
      <c r="B1112" s="81"/>
      <c r="C1112" s="19"/>
      <c r="D1112" s="19"/>
      <c r="E1112" s="20"/>
    </row>
    <row r="1113" spans="1:5">
      <c r="A1113" s="80"/>
      <c r="B1113" s="81"/>
      <c r="C1113" s="19"/>
      <c r="D1113" s="19"/>
      <c r="E1113" s="20"/>
    </row>
    <row r="1114" spans="1:5">
      <c r="A1114" s="80"/>
      <c r="B1114" s="81"/>
      <c r="C1114" s="19"/>
      <c r="D1114" s="19"/>
      <c r="E1114" s="20"/>
    </row>
    <row r="1115" spans="1:5">
      <c r="A1115" s="80"/>
      <c r="B1115" s="81"/>
      <c r="C1115" s="19"/>
      <c r="D1115" s="19"/>
      <c r="E1115" s="20"/>
    </row>
    <row r="1116" spans="1:5">
      <c r="A1116" s="80"/>
      <c r="B1116" s="81"/>
      <c r="C1116" s="19"/>
      <c r="D1116" s="19"/>
      <c r="E1116" s="20"/>
    </row>
    <row r="1117" spans="1:5">
      <c r="A1117" s="80"/>
      <c r="B1117" s="81"/>
      <c r="C1117" s="19"/>
      <c r="D1117" s="19"/>
      <c r="E1117" s="20"/>
    </row>
    <row r="1118" spans="1:5">
      <c r="A1118" s="80"/>
      <c r="B1118" s="81"/>
      <c r="C1118" s="19"/>
      <c r="D1118" s="19"/>
      <c r="E1118" s="20"/>
    </row>
    <row r="1119" spans="1:5">
      <c r="A1119" s="80"/>
      <c r="B1119" s="81"/>
      <c r="C1119" s="19"/>
      <c r="D1119" s="19"/>
      <c r="E1119" s="20"/>
    </row>
    <row r="1120" spans="1:5">
      <c r="A1120" s="80"/>
      <c r="B1120" s="81"/>
      <c r="C1120" s="19"/>
      <c r="D1120" s="19"/>
      <c r="E1120" s="20"/>
    </row>
    <row r="1121" spans="1:5">
      <c r="A1121" s="80"/>
      <c r="B1121" s="81"/>
      <c r="C1121" s="19"/>
      <c r="D1121" s="19"/>
      <c r="E1121" s="20"/>
    </row>
    <row r="1122" spans="1:5">
      <c r="A1122" s="80"/>
      <c r="B1122" s="81"/>
      <c r="C1122" s="19"/>
      <c r="D1122" s="19"/>
      <c r="E1122" s="20"/>
    </row>
    <row r="1123" spans="1:5">
      <c r="A1123" s="80"/>
      <c r="B1123" s="81"/>
      <c r="C1123" s="19"/>
      <c r="D1123" s="19"/>
      <c r="E1123" s="20"/>
    </row>
    <row r="1124" spans="1:5">
      <c r="A1124" s="80"/>
      <c r="B1124" s="81"/>
      <c r="C1124" s="19"/>
      <c r="D1124" s="19"/>
      <c r="E1124" s="20"/>
    </row>
    <row r="1125" spans="1:5">
      <c r="A1125" s="80"/>
      <c r="B1125" s="81"/>
      <c r="C1125" s="19"/>
      <c r="D1125" s="19"/>
      <c r="E1125" s="20"/>
    </row>
    <row r="1126" spans="1:5">
      <c r="A1126" s="80"/>
      <c r="B1126" s="81"/>
      <c r="C1126" s="19"/>
      <c r="D1126" s="19"/>
      <c r="E1126" s="20"/>
    </row>
    <row r="1127" spans="1:5">
      <c r="A1127" s="80"/>
      <c r="B1127" s="81"/>
      <c r="C1127" s="19"/>
      <c r="D1127" s="19"/>
      <c r="E1127" s="20"/>
    </row>
    <row r="1128" spans="1:5">
      <c r="A1128" s="80"/>
      <c r="B1128" s="81"/>
      <c r="C1128" s="19"/>
      <c r="D1128" s="19"/>
      <c r="E1128" s="20"/>
    </row>
    <row r="1129" spans="1:5">
      <c r="A1129" s="80"/>
      <c r="B1129" s="81"/>
      <c r="C1129" s="19"/>
      <c r="D1129" s="19"/>
      <c r="E1129" s="20"/>
    </row>
    <row r="1130" spans="1:5">
      <c r="A1130" s="80"/>
      <c r="B1130" s="81"/>
      <c r="C1130" s="19"/>
      <c r="D1130" s="19"/>
      <c r="E1130" s="20"/>
    </row>
    <row r="1131" spans="1:5">
      <c r="A1131" s="80"/>
      <c r="B1131" s="81"/>
      <c r="C1131" s="19"/>
      <c r="D1131" s="19"/>
      <c r="E1131" s="20"/>
    </row>
    <row r="1132" spans="1:5">
      <c r="A1132" s="80"/>
      <c r="B1132" s="81"/>
      <c r="C1132" s="19"/>
      <c r="D1132" s="19"/>
      <c r="E1132" s="20"/>
    </row>
    <row r="1133" spans="1:5">
      <c r="A1133" s="80"/>
      <c r="B1133" s="81"/>
      <c r="C1133" s="19"/>
      <c r="D1133" s="19"/>
      <c r="E1133" s="20"/>
    </row>
    <row r="1134" spans="1:5">
      <c r="A1134" s="80"/>
      <c r="B1134" s="81"/>
      <c r="C1134" s="19"/>
      <c r="D1134" s="19"/>
      <c r="E1134" s="20"/>
    </row>
    <row r="1135" spans="1:5">
      <c r="A1135" s="80"/>
      <c r="B1135" s="81"/>
      <c r="C1135" s="19"/>
      <c r="D1135" s="19"/>
      <c r="E1135" s="20"/>
    </row>
    <row r="1136" spans="1:5">
      <c r="A1136" s="80"/>
      <c r="B1136" s="81"/>
      <c r="C1136" s="19"/>
      <c r="D1136" s="19"/>
      <c r="E1136" s="20"/>
    </row>
    <row r="1137" spans="1:5">
      <c r="A1137" s="80"/>
      <c r="B1137" s="81"/>
      <c r="C1137" s="19"/>
      <c r="D1137" s="19"/>
      <c r="E1137" s="20"/>
    </row>
    <row r="1138" spans="1:5">
      <c r="A1138" s="80"/>
      <c r="B1138" s="81"/>
      <c r="C1138" s="19"/>
      <c r="D1138" s="19"/>
      <c r="E1138" s="20"/>
    </row>
    <row r="1139" spans="1:5">
      <c r="A1139" s="80"/>
      <c r="B1139" s="81"/>
      <c r="C1139" s="19"/>
      <c r="D1139" s="19"/>
      <c r="E1139" s="20"/>
    </row>
    <row r="1140" spans="1:5">
      <c r="A1140" s="80"/>
      <c r="B1140" s="81"/>
      <c r="C1140" s="19"/>
      <c r="D1140" s="19"/>
      <c r="E1140" s="20"/>
    </row>
    <row r="1141" spans="1:5">
      <c r="A1141" s="80"/>
      <c r="B1141" s="81"/>
      <c r="C1141" s="19"/>
      <c r="D1141" s="19"/>
      <c r="E1141" s="20"/>
    </row>
    <row r="1142" spans="1:5">
      <c r="A1142" s="80"/>
      <c r="B1142" s="81"/>
      <c r="C1142" s="19"/>
      <c r="D1142" s="19"/>
      <c r="E1142" s="20"/>
    </row>
    <row r="1143" spans="1:5">
      <c r="A1143" s="80"/>
      <c r="B1143" s="81"/>
      <c r="C1143" s="19"/>
      <c r="D1143" s="19"/>
      <c r="E1143" s="20"/>
    </row>
    <row r="1144" spans="1:5">
      <c r="A1144" s="80"/>
      <c r="B1144" s="81"/>
      <c r="C1144" s="19"/>
      <c r="D1144" s="19"/>
      <c r="E1144" s="20"/>
    </row>
    <row r="1145" spans="1:5">
      <c r="A1145" s="80"/>
      <c r="B1145" s="81"/>
      <c r="C1145" s="19"/>
      <c r="D1145" s="19"/>
      <c r="E1145" s="20"/>
    </row>
    <row r="1146" spans="1:5">
      <c r="A1146" s="80"/>
      <c r="B1146" s="81"/>
      <c r="C1146" s="19"/>
      <c r="D1146" s="19"/>
      <c r="E1146" s="20"/>
    </row>
    <row r="1147" spans="1:5">
      <c r="A1147" s="80"/>
      <c r="B1147" s="81"/>
      <c r="C1147" s="19"/>
      <c r="D1147" s="19"/>
      <c r="E1147" s="20"/>
    </row>
    <row r="1148" spans="1:5">
      <c r="A1148" s="80"/>
      <c r="B1148" s="81"/>
      <c r="C1148" s="19"/>
      <c r="D1148" s="19"/>
      <c r="E1148" s="20"/>
    </row>
    <row r="1149" spans="1:5">
      <c r="A1149" s="80"/>
      <c r="B1149" s="81"/>
      <c r="C1149" s="19"/>
      <c r="D1149" s="19"/>
      <c r="E1149" s="20"/>
    </row>
    <row r="1150" spans="1:5">
      <c r="A1150" s="80"/>
      <c r="B1150" s="81"/>
      <c r="C1150" s="19"/>
      <c r="D1150" s="19"/>
      <c r="E1150" s="20"/>
    </row>
    <row r="1151" spans="1:5">
      <c r="A1151" s="80"/>
      <c r="B1151" s="81"/>
      <c r="C1151" s="19"/>
      <c r="D1151" s="19"/>
      <c r="E1151" s="20"/>
    </row>
    <row r="1152" spans="1:5">
      <c r="A1152" s="80"/>
      <c r="B1152" s="81"/>
      <c r="C1152" s="19"/>
      <c r="D1152" s="19"/>
      <c r="E1152" s="20"/>
    </row>
    <row r="1153" spans="1:5">
      <c r="A1153" s="80"/>
      <c r="B1153" s="81"/>
      <c r="C1153" s="19"/>
      <c r="D1153" s="19"/>
      <c r="E1153" s="20"/>
    </row>
    <row r="1154" spans="1:5">
      <c r="A1154" s="80"/>
      <c r="B1154" s="81"/>
      <c r="C1154" s="19"/>
      <c r="D1154" s="19"/>
      <c r="E1154" s="20"/>
    </row>
    <row r="1155" spans="1:5">
      <c r="A1155" s="80"/>
      <c r="B1155" s="81"/>
      <c r="C1155" s="19"/>
      <c r="D1155" s="19"/>
      <c r="E1155" s="20"/>
    </row>
    <row r="1156" spans="1:5">
      <c r="A1156" s="80"/>
      <c r="B1156" s="81"/>
      <c r="C1156" s="19"/>
      <c r="D1156" s="19"/>
      <c r="E1156" s="20"/>
    </row>
    <row r="1157" spans="1:5">
      <c r="A1157" s="80"/>
      <c r="B1157" s="81"/>
      <c r="C1157" s="19"/>
      <c r="D1157" s="19"/>
      <c r="E1157" s="20"/>
    </row>
    <row r="1158" spans="1:5">
      <c r="A1158" s="80"/>
      <c r="B1158" s="81"/>
      <c r="C1158" s="19"/>
      <c r="D1158" s="19"/>
      <c r="E1158" s="20"/>
    </row>
    <row r="1159" spans="1:5">
      <c r="A1159" s="80"/>
      <c r="B1159" s="81"/>
      <c r="C1159" s="19"/>
      <c r="D1159" s="19"/>
      <c r="E1159" s="20"/>
    </row>
    <row r="1160" spans="1:5">
      <c r="A1160" s="80"/>
      <c r="B1160" s="81"/>
      <c r="C1160" s="19"/>
      <c r="D1160" s="19"/>
      <c r="E1160" s="20"/>
    </row>
    <row r="1161" spans="1:5">
      <c r="A1161" s="80"/>
      <c r="B1161" s="81"/>
      <c r="C1161" s="19"/>
      <c r="D1161" s="19"/>
      <c r="E1161" s="20"/>
    </row>
    <row r="1162" spans="1:5">
      <c r="A1162" s="80"/>
      <c r="B1162" s="81"/>
      <c r="C1162" s="19"/>
      <c r="D1162" s="19"/>
      <c r="E1162" s="20"/>
    </row>
    <row r="1163" spans="1:5">
      <c r="A1163" s="80"/>
      <c r="B1163" s="81"/>
      <c r="C1163" s="19"/>
      <c r="D1163" s="19"/>
      <c r="E1163" s="20"/>
    </row>
    <row r="1164" spans="1:5">
      <c r="A1164" s="80"/>
      <c r="B1164" s="81"/>
      <c r="C1164" s="19"/>
      <c r="D1164" s="19"/>
      <c r="E1164" s="20"/>
    </row>
    <row r="1165" spans="1:5">
      <c r="A1165" s="80"/>
      <c r="B1165" s="81"/>
      <c r="C1165" s="19"/>
      <c r="D1165" s="19"/>
      <c r="E1165" s="20"/>
    </row>
    <row r="1166" spans="1:5">
      <c r="A1166" s="80"/>
      <c r="B1166" s="81"/>
      <c r="C1166" s="19"/>
      <c r="D1166" s="19"/>
      <c r="E1166" s="20"/>
    </row>
    <row r="1167" spans="1:5">
      <c r="A1167" s="80"/>
      <c r="B1167" s="81"/>
      <c r="C1167" s="19"/>
      <c r="D1167" s="19"/>
      <c r="E1167" s="20"/>
    </row>
    <row r="1168" spans="1:5">
      <c r="A1168" s="80"/>
      <c r="B1168" s="81"/>
      <c r="C1168" s="19"/>
      <c r="D1168" s="19"/>
      <c r="E1168" s="20"/>
    </row>
    <row r="1169" spans="1:5">
      <c r="A1169" s="80"/>
      <c r="B1169" s="81"/>
      <c r="C1169" s="19"/>
      <c r="D1169" s="19"/>
      <c r="E1169" s="20"/>
    </row>
    <row r="1170" spans="1:5">
      <c r="A1170" s="80"/>
      <c r="B1170" s="81"/>
      <c r="C1170" s="19"/>
      <c r="D1170" s="19"/>
      <c r="E1170" s="20"/>
    </row>
    <row r="1171" spans="1:5">
      <c r="A1171" s="80"/>
      <c r="B1171" s="81"/>
      <c r="C1171" s="19"/>
      <c r="D1171" s="19"/>
      <c r="E1171" s="20"/>
    </row>
    <row r="1172" spans="1:5">
      <c r="A1172" s="80"/>
      <c r="B1172" s="81"/>
      <c r="C1172" s="19"/>
      <c r="D1172" s="19"/>
      <c r="E1172" s="20"/>
    </row>
    <row r="1173" spans="1:5">
      <c r="A1173" s="80"/>
      <c r="B1173" s="81"/>
      <c r="C1173" s="19"/>
      <c r="D1173" s="19"/>
      <c r="E1173" s="20"/>
    </row>
    <row r="1174" spans="1:5">
      <c r="A1174" s="80"/>
      <c r="B1174" s="81"/>
      <c r="C1174" s="19"/>
      <c r="D1174" s="19"/>
      <c r="E1174" s="20"/>
    </row>
    <row r="1175" spans="1:5">
      <c r="A1175" s="80"/>
      <c r="B1175" s="81"/>
      <c r="C1175" s="19"/>
      <c r="D1175" s="19"/>
      <c r="E1175" s="20"/>
    </row>
    <row r="1176" spans="1:5">
      <c r="A1176" s="80"/>
      <c r="B1176" s="81"/>
      <c r="C1176" s="19"/>
      <c r="D1176" s="19"/>
      <c r="E1176" s="20"/>
    </row>
    <row r="1177" spans="1:5">
      <c r="A1177" s="80"/>
      <c r="B1177" s="81"/>
      <c r="C1177" s="19"/>
      <c r="D1177" s="19"/>
      <c r="E1177" s="20"/>
    </row>
    <row r="1178" spans="1:5">
      <c r="A1178" s="80"/>
      <c r="B1178" s="81"/>
      <c r="C1178" s="19"/>
      <c r="D1178" s="19"/>
      <c r="E1178" s="20"/>
    </row>
    <row r="1179" spans="1:5">
      <c r="A1179" s="80"/>
      <c r="B1179" s="81"/>
      <c r="C1179" s="19"/>
      <c r="D1179" s="19"/>
      <c r="E1179" s="20"/>
    </row>
    <row r="1180" spans="1:5">
      <c r="A1180" s="80"/>
      <c r="B1180" s="81"/>
      <c r="C1180" s="19"/>
      <c r="D1180" s="19"/>
      <c r="E1180" s="20"/>
    </row>
    <row r="1181" spans="1:5">
      <c r="A1181" s="80"/>
      <c r="B1181" s="81"/>
      <c r="C1181" s="19"/>
      <c r="D1181" s="19"/>
      <c r="E1181" s="20"/>
    </row>
    <row r="1182" spans="1:5">
      <c r="A1182" s="80"/>
      <c r="B1182" s="81"/>
      <c r="C1182" s="19"/>
      <c r="D1182" s="19"/>
      <c r="E1182" s="20"/>
    </row>
    <row r="1183" spans="1:5">
      <c r="A1183" s="80"/>
      <c r="B1183" s="81"/>
      <c r="C1183" s="19"/>
      <c r="D1183" s="19"/>
      <c r="E1183" s="20"/>
    </row>
    <row r="1184" spans="1:5">
      <c r="A1184" s="80"/>
      <c r="B1184" s="81"/>
      <c r="C1184" s="19"/>
      <c r="D1184" s="19"/>
      <c r="E1184" s="20"/>
    </row>
    <row r="1185" spans="1:5">
      <c r="A1185" s="80"/>
      <c r="B1185" s="81"/>
      <c r="C1185" s="19"/>
      <c r="D1185" s="19"/>
      <c r="E1185" s="20"/>
    </row>
    <row r="1186" spans="1:5">
      <c r="A1186" s="80"/>
      <c r="B1186" s="81"/>
      <c r="C1186" s="19"/>
      <c r="D1186" s="19"/>
      <c r="E1186" s="20"/>
    </row>
    <row r="1187" spans="1:5">
      <c r="A1187" s="80"/>
      <c r="B1187" s="81"/>
      <c r="C1187" s="19"/>
      <c r="D1187" s="19"/>
      <c r="E1187" s="20"/>
    </row>
    <row r="1188" spans="1:5">
      <c r="A1188" s="80"/>
      <c r="B1188" s="81"/>
      <c r="C1188" s="19"/>
      <c r="D1188" s="19"/>
      <c r="E1188" s="20"/>
    </row>
    <row r="1189" spans="1:5">
      <c r="A1189" s="80"/>
      <c r="B1189" s="81"/>
      <c r="C1189" s="19"/>
      <c r="D1189" s="19"/>
      <c r="E1189" s="20"/>
    </row>
    <row r="1190" spans="1:5">
      <c r="A1190" s="80"/>
      <c r="B1190" s="81"/>
      <c r="C1190" s="19"/>
      <c r="D1190" s="19"/>
      <c r="E1190" s="20"/>
    </row>
    <row r="1191" spans="1:5">
      <c r="A1191" s="80"/>
      <c r="B1191" s="81"/>
      <c r="C1191" s="19"/>
      <c r="D1191" s="19"/>
      <c r="E1191" s="20"/>
    </row>
    <row r="1192" spans="1:5">
      <c r="A1192" s="80"/>
      <c r="B1192" s="81"/>
      <c r="C1192" s="19"/>
      <c r="D1192" s="19"/>
      <c r="E1192" s="20"/>
    </row>
    <row r="1193" spans="1:5">
      <c r="A1193" s="80"/>
      <c r="B1193" s="81"/>
      <c r="C1193" s="19"/>
      <c r="D1193" s="19"/>
      <c r="E1193" s="20"/>
    </row>
    <row r="1194" spans="1:5">
      <c r="A1194" s="80"/>
      <c r="B1194" s="81"/>
      <c r="C1194" s="19"/>
      <c r="D1194" s="19"/>
      <c r="E1194" s="20"/>
    </row>
    <row r="1195" spans="1:5">
      <c r="A1195" s="80"/>
      <c r="B1195" s="81"/>
      <c r="C1195" s="19"/>
      <c r="D1195" s="19"/>
      <c r="E1195" s="20"/>
    </row>
    <row r="1196" spans="1:5">
      <c r="A1196" s="80"/>
      <c r="B1196" s="81"/>
      <c r="C1196" s="19"/>
      <c r="D1196" s="19"/>
      <c r="E1196" s="20"/>
    </row>
    <row r="1197" spans="1:5">
      <c r="A1197" s="80"/>
      <c r="B1197" s="81"/>
      <c r="C1197" s="19"/>
      <c r="D1197" s="19"/>
      <c r="E1197" s="20"/>
    </row>
    <row r="1198" spans="1:5">
      <c r="A1198" s="80"/>
      <c r="B1198" s="81"/>
      <c r="C1198" s="19"/>
      <c r="D1198" s="19"/>
      <c r="E1198" s="20"/>
    </row>
    <row r="1199" spans="1:5">
      <c r="A1199" s="80"/>
      <c r="B1199" s="81"/>
      <c r="C1199" s="19"/>
      <c r="D1199" s="19"/>
      <c r="E1199" s="20"/>
    </row>
    <row r="1200" spans="1:5">
      <c r="A1200" s="80"/>
      <c r="B1200" s="81"/>
      <c r="C1200" s="19"/>
      <c r="D1200" s="19"/>
      <c r="E1200" s="20"/>
    </row>
    <row r="1201" spans="1:5">
      <c r="A1201" s="80"/>
      <c r="B1201" s="81"/>
      <c r="C1201" s="19"/>
      <c r="D1201" s="19"/>
      <c r="E1201" s="20"/>
    </row>
    <row r="1202" spans="1:5">
      <c r="A1202" s="80"/>
      <c r="B1202" s="81"/>
      <c r="C1202" s="19"/>
      <c r="D1202" s="19"/>
      <c r="E1202" s="20"/>
    </row>
    <row r="1203" spans="1:5">
      <c r="A1203" s="80"/>
      <c r="B1203" s="81"/>
      <c r="C1203" s="19"/>
      <c r="D1203" s="19"/>
      <c r="E1203" s="20"/>
    </row>
    <row r="1204" spans="1:5">
      <c r="A1204" s="80"/>
      <c r="B1204" s="81"/>
      <c r="C1204" s="19"/>
      <c r="D1204" s="19"/>
      <c r="E1204" s="20"/>
    </row>
    <row r="1205" spans="1:5">
      <c r="A1205" s="80"/>
      <c r="B1205" s="81"/>
      <c r="C1205" s="19"/>
      <c r="D1205" s="19"/>
      <c r="E1205" s="20"/>
    </row>
    <row r="1206" spans="1:5">
      <c r="A1206" s="80"/>
      <c r="B1206" s="81"/>
      <c r="C1206" s="19"/>
      <c r="D1206" s="19"/>
      <c r="E1206" s="20"/>
    </row>
    <row r="1207" spans="1:5">
      <c r="A1207" s="80"/>
      <c r="B1207" s="81"/>
      <c r="C1207" s="19"/>
      <c r="D1207" s="19"/>
      <c r="E1207" s="20"/>
    </row>
    <row r="1208" spans="1:5">
      <c r="A1208" s="80"/>
      <c r="B1208" s="81"/>
      <c r="C1208" s="19"/>
      <c r="D1208" s="19"/>
      <c r="E1208" s="20"/>
    </row>
    <row r="1209" spans="1:5">
      <c r="A1209" s="80"/>
      <c r="B1209" s="81"/>
      <c r="C1209" s="19"/>
      <c r="D1209" s="19"/>
      <c r="E1209" s="20"/>
    </row>
    <row r="1210" spans="1:5">
      <c r="A1210" s="80"/>
      <c r="B1210" s="81"/>
      <c r="C1210" s="19"/>
      <c r="D1210" s="19"/>
      <c r="E1210" s="20"/>
    </row>
    <row r="1211" spans="1:5">
      <c r="A1211" s="80"/>
      <c r="B1211" s="81"/>
      <c r="C1211" s="19"/>
      <c r="D1211" s="19"/>
      <c r="E1211" s="20"/>
    </row>
    <row r="1212" spans="1:5">
      <c r="A1212" s="80"/>
      <c r="B1212" s="81"/>
      <c r="C1212" s="19"/>
      <c r="D1212" s="19"/>
      <c r="E1212" s="20"/>
    </row>
    <row r="1213" spans="1:5">
      <c r="A1213" s="80"/>
      <c r="B1213" s="81"/>
      <c r="C1213" s="19"/>
      <c r="D1213" s="19"/>
      <c r="E1213" s="20"/>
    </row>
    <row r="1214" spans="1:5">
      <c r="A1214" s="80"/>
      <c r="B1214" s="81"/>
      <c r="C1214" s="19"/>
      <c r="D1214" s="19"/>
      <c r="E1214" s="20"/>
    </row>
    <row r="1215" spans="1:5">
      <c r="A1215" s="80"/>
      <c r="B1215" s="81"/>
      <c r="C1215" s="19"/>
      <c r="D1215" s="19"/>
      <c r="E1215" s="20"/>
    </row>
    <row r="1216" spans="1:5">
      <c r="A1216" s="80"/>
      <c r="B1216" s="81"/>
      <c r="C1216" s="19"/>
      <c r="D1216" s="19"/>
      <c r="E1216" s="20"/>
    </row>
    <row r="1217" spans="1:5">
      <c r="A1217" s="80"/>
      <c r="B1217" s="81"/>
      <c r="C1217" s="19"/>
      <c r="D1217" s="19"/>
      <c r="E1217" s="20"/>
    </row>
    <row r="1218" spans="1:5">
      <c r="A1218" s="80"/>
      <c r="B1218" s="81"/>
      <c r="C1218" s="19"/>
      <c r="D1218" s="19"/>
      <c r="E1218" s="20"/>
    </row>
    <row r="1219" spans="1:5">
      <c r="A1219" s="80"/>
      <c r="B1219" s="81"/>
      <c r="C1219" s="19"/>
      <c r="D1219" s="19"/>
      <c r="E1219" s="20"/>
    </row>
    <row r="1220" spans="1:5">
      <c r="A1220" s="80"/>
      <c r="B1220" s="81"/>
      <c r="C1220" s="19"/>
      <c r="D1220" s="19"/>
      <c r="E1220" s="20"/>
    </row>
    <row r="1221" spans="1:5">
      <c r="A1221" s="80"/>
      <c r="B1221" s="81"/>
      <c r="C1221" s="19"/>
      <c r="D1221" s="19"/>
      <c r="E1221" s="20"/>
    </row>
    <row r="1222" spans="1:5">
      <c r="A1222" s="80"/>
      <c r="B1222" s="81"/>
      <c r="C1222" s="19"/>
      <c r="D1222" s="19"/>
      <c r="E1222" s="20"/>
    </row>
    <row r="1223" spans="1:5">
      <c r="A1223" s="80"/>
      <c r="B1223" s="81"/>
      <c r="C1223" s="19"/>
      <c r="D1223" s="19"/>
      <c r="E1223" s="20"/>
    </row>
    <row r="1224" spans="1:5">
      <c r="A1224" s="80"/>
      <c r="B1224" s="81"/>
      <c r="C1224" s="19"/>
      <c r="D1224" s="19"/>
      <c r="E1224" s="20"/>
    </row>
    <row r="1225" spans="1:5">
      <c r="A1225" s="80"/>
      <c r="B1225" s="81"/>
      <c r="C1225" s="19"/>
      <c r="D1225" s="19"/>
      <c r="E1225" s="20"/>
    </row>
    <row r="1226" spans="1:5">
      <c r="A1226" s="80"/>
      <c r="B1226" s="81"/>
      <c r="C1226" s="19"/>
      <c r="D1226" s="19"/>
      <c r="E1226" s="20"/>
    </row>
    <row r="1227" spans="1:5">
      <c r="A1227" s="80"/>
      <c r="B1227" s="81"/>
      <c r="C1227" s="19"/>
      <c r="D1227" s="19"/>
      <c r="E1227" s="20"/>
    </row>
    <row r="1228" spans="1:5">
      <c r="A1228" s="80"/>
      <c r="B1228" s="81"/>
      <c r="C1228" s="19"/>
      <c r="D1228" s="19"/>
      <c r="E1228" s="20"/>
    </row>
    <row r="1229" spans="1:5">
      <c r="A1229" s="80"/>
      <c r="B1229" s="81"/>
      <c r="C1229" s="19"/>
      <c r="D1229" s="19"/>
      <c r="E1229" s="20"/>
    </row>
    <row r="1230" spans="1:5">
      <c r="A1230" s="80"/>
      <c r="B1230" s="81"/>
      <c r="C1230" s="19"/>
      <c r="D1230" s="19"/>
      <c r="E1230" s="20"/>
    </row>
    <row r="1231" spans="1:5">
      <c r="A1231" s="80"/>
      <c r="B1231" s="81"/>
      <c r="C1231" s="19"/>
      <c r="D1231" s="19"/>
      <c r="E1231" s="20"/>
    </row>
    <row r="1232" spans="1:5">
      <c r="A1232" s="80"/>
      <c r="B1232" s="81"/>
      <c r="C1232" s="19"/>
      <c r="D1232" s="19"/>
      <c r="E1232" s="20"/>
    </row>
    <row r="1233" spans="1:5">
      <c r="A1233" s="80"/>
      <c r="B1233" s="81"/>
      <c r="C1233" s="19"/>
      <c r="D1233" s="19"/>
      <c r="E1233" s="20"/>
    </row>
    <row r="1234" spans="1:5">
      <c r="A1234" s="80"/>
      <c r="B1234" s="81"/>
      <c r="C1234" s="19"/>
      <c r="D1234" s="19"/>
      <c r="E1234" s="20"/>
    </row>
    <row r="1235" spans="1:5">
      <c r="A1235" s="80"/>
      <c r="B1235" s="81"/>
      <c r="C1235" s="19"/>
      <c r="D1235" s="19"/>
      <c r="E1235" s="20"/>
    </row>
    <row r="1236" spans="1:5">
      <c r="A1236" s="80"/>
      <c r="B1236" s="81"/>
      <c r="C1236" s="19"/>
      <c r="D1236" s="19"/>
      <c r="E1236" s="20"/>
    </row>
    <row r="1237" spans="1:5">
      <c r="A1237" s="80"/>
      <c r="B1237" s="81"/>
      <c r="C1237" s="19"/>
      <c r="D1237" s="19"/>
      <c r="E1237" s="20"/>
    </row>
    <row r="1238" spans="1:5">
      <c r="A1238" s="80"/>
      <c r="B1238" s="81"/>
      <c r="C1238" s="19"/>
      <c r="D1238" s="19"/>
      <c r="E1238" s="20"/>
    </row>
    <row r="1239" spans="1:5">
      <c r="A1239" s="80"/>
      <c r="B1239" s="81"/>
      <c r="C1239" s="19"/>
      <c r="D1239" s="19"/>
      <c r="E1239" s="20"/>
    </row>
    <row r="1240" spans="1:5">
      <c r="A1240" s="80"/>
      <c r="B1240" s="81"/>
      <c r="C1240" s="19"/>
      <c r="D1240" s="19"/>
      <c r="E1240" s="20"/>
    </row>
    <row r="1241" spans="1:5">
      <c r="A1241" s="80"/>
      <c r="B1241" s="81"/>
      <c r="C1241" s="19"/>
      <c r="D1241" s="19"/>
      <c r="E1241" s="20"/>
    </row>
    <row r="1242" spans="1:5">
      <c r="A1242" s="80"/>
      <c r="B1242" s="81"/>
      <c r="C1242" s="19"/>
      <c r="D1242" s="19"/>
      <c r="E1242" s="20"/>
    </row>
    <row r="1243" spans="1:5">
      <c r="A1243" s="80"/>
      <c r="B1243" s="81"/>
      <c r="C1243" s="19"/>
      <c r="D1243" s="19"/>
      <c r="E1243" s="20"/>
    </row>
    <row r="1244" spans="1:5">
      <c r="A1244" s="80"/>
      <c r="B1244" s="81"/>
      <c r="C1244" s="19"/>
      <c r="D1244" s="19"/>
      <c r="E1244" s="20"/>
    </row>
    <row r="1245" spans="1:5">
      <c r="A1245" s="80"/>
      <c r="B1245" s="81"/>
      <c r="C1245" s="19"/>
      <c r="D1245" s="19"/>
      <c r="E1245" s="20"/>
    </row>
    <row r="1246" spans="1:5">
      <c r="A1246" s="80"/>
      <c r="B1246" s="81"/>
      <c r="C1246" s="19"/>
      <c r="D1246" s="19"/>
      <c r="E1246" s="20"/>
    </row>
    <row r="1247" spans="1:5">
      <c r="A1247" s="80"/>
      <c r="B1247" s="81"/>
      <c r="C1247" s="19"/>
      <c r="D1247" s="19"/>
      <c r="E1247" s="20"/>
    </row>
    <row r="1248" spans="1:5">
      <c r="A1248" s="80"/>
      <c r="B1248" s="81"/>
      <c r="C1248" s="19"/>
      <c r="D1248" s="19"/>
      <c r="E1248" s="20"/>
    </row>
    <row r="1249" spans="1:5">
      <c r="A1249" s="80"/>
      <c r="B1249" s="81"/>
      <c r="C1249" s="19"/>
      <c r="D1249" s="19"/>
      <c r="E1249" s="20"/>
    </row>
    <row r="1250" spans="1:5">
      <c r="A1250" s="80"/>
      <c r="B1250" s="81"/>
      <c r="C1250" s="19"/>
      <c r="D1250" s="19"/>
      <c r="E1250" s="20"/>
    </row>
    <row r="1251" spans="1:5">
      <c r="A1251" s="80"/>
      <c r="B1251" s="81"/>
      <c r="C1251" s="19"/>
      <c r="D1251" s="19"/>
      <c r="E1251" s="20"/>
    </row>
    <row r="1252" spans="1:5">
      <c r="A1252" s="80"/>
      <c r="B1252" s="81"/>
      <c r="C1252" s="19"/>
      <c r="D1252" s="19"/>
      <c r="E1252" s="20"/>
    </row>
    <row r="1253" spans="1:5">
      <c r="A1253" s="80"/>
      <c r="B1253" s="81"/>
      <c r="C1253" s="19"/>
      <c r="D1253" s="19"/>
      <c r="E1253" s="20"/>
    </row>
    <row r="1254" spans="1:5">
      <c r="A1254" s="80"/>
      <c r="B1254" s="81"/>
      <c r="C1254" s="19"/>
      <c r="D1254" s="19"/>
      <c r="E1254" s="20"/>
    </row>
    <row r="1255" spans="1:5">
      <c r="A1255" s="80"/>
      <c r="B1255" s="81"/>
      <c r="C1255" s="19"/>
      <c r="D1255" s="19"/>
      <c r="E1255" s="20"/>
    </row>
    <row r="1256" spans="1:5">
      <c r="A1256" s="80"/>
      <c r="B1256" s="81"/>
      <c r="C1256" s="19"/>
      <c r="D1256" s="19"/>
      <c r="E1256" s="20"/>
    </row>
    <row r="1257" spans="1:5">
      <c r="A1257" s="80"/>
      <c r="B1257" s="81"/>
      <c r="C1257" s="19"/>
      <c r="D1257" s="19"/>
      <c r="E1257" s="20"/>
    </row>
    <row r="1258" spans="1:5">
      <c r="A1258" s="80"/>
      <c r="B1258" s="81"/>
      <c r="C1258" s="19"/>
      <c r="D1258" s="19"/>
      <c r="E1258" s="20"/>
    </row>
    <row r="1259" spans="1:5">
      <c r="A1259" s="80"/>
      <c r="B1259" s="81"/>
      <c r="C1259" s="19"/>
      <c r="D1259" s="19"/>
      <c r="E1259" s="20"/>
    </row>
    <row r="1260" spans="1:5">
      <c r="A1260" s="80"/>
      <c r="B1260" s="81"/>
      <c r="C1260" s="19"/>
      <c r="D1260" s="19"/>
      <c r="E1260" s="20"/>
    </row>
    <row r="1261" spans="1:5">
      <c r="A1261" s="80"/>
      <c r="B1261" s="81"/>
      <c r="C1261" s="19"/>
      <c r="D1261" s="19"/>
      <c r="E1261" s="20"/>
    </row>
    <row r="1262" spans="1:5">
      <c r="A1262" s="80"/>
      <c r="B1262" s="81"/>
      <c r="C1262" s="19"/>
      <c r="D1262" s="19"/>
      <c r="E1262" s="20"/>
    </row>
    <row r="1263" spans="1:5">
      <c r="A1263" s="80"/>
      <c r="B1263" s="81"/>
      <c r="C1263" s="19"/>
      <c r="D1263" s="19"/>
      <c r="E1263" s="20"/>
    </row>
    <row r="1264" spans="1:5">
      <c r="A1264" s="80"/>
      <c r="B1264" s="81"/>
      <c r="C1264" s="19"/>
      <c r="D1264" s="19"/>
      <c r="E1264" s="20"/>
    </row>
    <row r="1265" spans="1:5">
      <c r="A1265" s="80"/>
      <c r="B1265" s="81"/>
      <c r="C1265" s="19"/>
      <c r="D1265" s="19"/>
      <c r="E1265" s="20"/>
    </row>
    <row r="1266" spans="1:5">
      <c r="A1266" s="80"/>
      <c r="B1266" s="81"/>
      <c r="C1266" s="19"/>
      <c r="D1266" s="19"/>
      <c r="E1266" s="20"/>
    </row>
    <row r="1267" spans="1:5">
      <c r="A1267" s="80"/>
      <c r="B1267" s="81"/>
      <c r="C1267" s="19"/>
      <c r="D1267" s="19"/>
      <c r="E1267" s="20"/>
    </row>
    <row r="1268" spans="1:5">
      <c r="A1268" s="80"/>
      <c r="B1268" s="81"/>
      <c r="C1268" s="19"/>
      <c r="D1268" s="19"/>
      <c r="E1268" s="20"/>
    </row>
    <row r="1269" spans="1:5">
      <c r="A1269" s="80"/>
      <c r="B1269" s="81"/>
      <c r="C1269" s="19"/>
      <c r="D1269" s="19"/>
      <c r="E1269" s="20"/>
    </row>
    <row r="1270" spans="1:5">
      <c r="A1270" s="80"/>
      <c r="B1270" s="81"/>
      <c r="C1270" s="19"/>
      <c r="D1270" s="19"/>
      <c r="E1270" s="20"/>
    </row>
    <row r="1271" spans="1:5">
      <c r="A1271" s="80"/>
      <c r="B1271" s="81"/>
      <c r="C1271" s="19"/>
      <c r="D1271" s="19"/>
      <c r="E1271" s="20"/>
    </row>
    <row r="1272" spans="1:5">
      <c r="A1272" s="80"/>
      <c r="B1272" s="81"/>
      <c r="C1272" s="19"/>
      <c r="D1272" s="19"/>
      <c r="E1272" s="20"/>
    </row>
    <row r="1273" spans="1:5">
      <c r="A1273" s="80"/>
      <c r="B1273" s="81"/>
      <c r="C1273" s="19"/>
      <c r="D1273" s="19"/>
      <c r="E1273" s="20"/>
    </row>
    <row r="1274" spans="1:5">
      <c r="A1274" s="80"/>
      <c r="B1274" s="81"/>
      <c r="C1274" s="19"/>
      <c r="D1274" s="19"/>
      <c r="E1274" s="20"/>
    </row>
    <row r="1275" spans="1:5">
      <c r="A1275" s="80"/>
      <c r="B1275" s="81"/>
      <c r="C1275" s="19"/>
      <c r="D1275" s="19"/>
      <c r="E1275" s="20"/>
    </row>
    <row r="1276" spans="1:5">
      <c r="A1276" s="80"/>
      <c r="B1276" s="81"/>
      <c r="C1276" s="19"/>
      <c r="D1276" s="19"/>
      <c r="E1276" s="20"/>
    </row>
    <row r="1277" spans="1:5">
      <c r="A1277" s="80"/>
      <c r="B1277" s="81"/>
      <c r="C1277" s="19"/>
      <c r="D1277" s="19"/>
      <c r="E1277" s="20"/>
    </row>
    <row r="1278" spans="1:5">
      <c r="A1278" s="80"/>
      <c r="B1278" s="81"/>
      <c r="C1278" s="19"/>
      <c r="D1278" s="19"/>
      <c r="E1278" s="20"/>
    </row>
    <row r="1279" spans="1:5">
      <c r="A1279" s="80"/>
      <c r="B1279" s="81"/>
      <c r="C1279" s="19"/>
      <c r="D1279" s="19"/>
      <c r="E1279" s="20"/>
    </row>
    <row r="1280" spans="1:5">
      <c r="A1280" s="80"/>
      <c r="B1280" s="81"/>
      <c r="C1280" s="19"/>
      <c r="D1280" s="19"/>
      <c r="E1280" s="20"/>
    </row>
    <row r="1281" spans="1:5">
      <c r="A1281" s="80"/>
      <c r="B1281" s="81"/>
      <c r="C1281" s="19"/>
      <c r="D1281" s="19"/>
      <c r="E1281" s="20"/>
    </row>
    <row r="1282" spans="1:5">
      <c r="A1282" s="80"/>
      <c r="B1282" s="81"/>
      <c r="C1282" s="19"/>
      <c r="D1282" s="19"/>
      <c r="E1282" s="20"/>
    </row>
    <row r="1283" spans="1:5">
      <c r="A1283" s="80"/>
      <c r="B1283" s="81"/>
      <c r="C1283" s="19"/>
      <c r="D1283" s="19"/>
      <c r="E1283" s="20"/>
    </row>
    <row r="1284" spans="1:5">
      <c r="A1284" s="80"/>
      <c r="B1284" s="81"/>
      <c r="C1284" s="19"/>
      <c r="D1284" s="19"/>
      <c r="E1284" s="20"/>
    </row>
    <row r="1285" spans="1:5">
      <c r="A1285" s="80"/>
      <c r="B1285" s="81"/>
      <c r="C1285" s="19"/>
      <c r="D1285" s="19"/>
      <c r="E1285" s="20"/>
    </row>
    <row r="1286" spans="1:5">
      <c r="A1286" s="80"/>
      <c r="B1286" s="81"/>
      <c r="C1286" s="19"/>
      <c r="D1286" s="19"/>
      <c r="E1286" s="20"/>
    </row>
    <row r="1287" spans="1:5">
      <c r="A1287" s="80"/>
      <c r="B1287" s="81"/>
      <c r="C1287" s="19"/>
      <c r="D1287" s="19"/>
      <c r="E1287" s="20"/>
    </row>
    <row r="1288" spans="1:5">
      <c r="A1288" s="80"/>
      <c r="B1288" s="81"/>
      <c r="C1288" s="19"/>
      <c r="D1288" s="19"/>
      <c r="E1288" s="20"/>
    </row>
    <row r="1289" spans="1:5">
      <c r="A1289" s="80"/>
      <c r="B1289" s="81"/>
      <c r="C1289" s="19"/>
      <c r="D1289" s="19"/>
      <c r="E1289" s="20"/>
    </row>
    <row r="1290" spans="1:5">
      <c r="A1290" s="80"/>
      <c r="B1290" s="81"/>
      <c r="C1290" s="19"/>
      <c r="D1290" s="19"/>
      <c r="E1290" s="20"/>
    </row>
    <row r="1291" spans="1:5">
      <c r="A1291" s="80"/>
      <c r="B1291" s="81"/>
      <c r="C1291" s="19"/>
      <c r="D1291" s="19"/>
      <c r="E1291" s="20"/>
    </row>
    <row r="1292" spans="1:5">
      <c r="A1292" s="80"/>
      <c r="B1292" s="81"/>
      <c r="C1292" s="19"/>
      <c r="D1292" s="19"/>
      <c r="E1292" s="20"/>
    </row>
    <row r="1293" spans="1:5">
      <c r="A1293" s="80"/>
      <c r="B1293" s="81"/>
      <c r="C1293" s="19"/>
      <c r="D1293" s="19"/>
      <c r="E1293" s="20"/>
    </row>
    <row r="1294" spans="1:5">
      <c r="A1294" s="80"/>
      <c r="B1294" s="81"/>
      <c r="C1294" s="19"/>
      <c r="D1294" s="19"/>
      <c r="E1294" s="20"/>
    </row>
    <row r="1295" spans="1:5">
      <c r="A1295" s="80"/>
      <c r="B1295" s="81"/>
      <c r="C1295" s="19"/>
      <c r="D1295" s="19"/>
      <c r="E1295" s="20"/>
    </row>
    <row r="1296" spans="1:5">
      <c r="A1296" s="80"/>
      <c r="B1296" s="81"/>
      <c r="C1296" s="19"/>
      <c r="D1296" s="19"/>
      <c r="E1296" s="20"/>
    </row>
    <row r="1297" spans="1:5">
      <c r="A1297" s="80"/>
      <c r="B1297" s="81"/>
      <c r="C1297" s="19"/>
      <c r="D1297" s="19"/>
      <c r="E1297" s="20"/>
    </row>
    <row r="1298" spans="1:5">
      <c r="A1298" s="80"/>
      <c r="B1298" s="81"/>
      <c r="C1298" s="19"/>
      <c r="D1298" s="19"/>
      <c r="E1298" s="20"/>
    </row>
    <row r="1299" spans="1:5">
      <c r="A1299" s="80"/>
      <c r="B1299" s="81"/>
      <c r="C1299" s="19"/>
      <c r="D1299" s="19"/>
      <c r="E1299" s="20"/>
    </row>
    <row r="1300" spans="1:5">
      <c r="A1300" s="80"/>
      <c r="B1300" s="81"/>
      <c r="C1300" s="19"/>
      <c r="D1300" s="19"/>
      <c r="E1300" s="20"/>
    </row>
    <row r="1301" spans="1:5">
      <c r="A1301" s="80"/>
      <c r="B1301" s="81"/>
      <c r="C1301" s="19"/>
      <c r="D1301" s="19"/>
      <c r="E1301" s="20"/>
    </row>
    <row r="1302" spans="1:5">
      <c r="A1302" s="80"/>
      <c r="B1302" s="81"/>
      <c r="C1302" s="19"/>
      <c r="D1302" s="19"/>
      <c r="E1302" s="20"/>
    </row>
    <row r="1303" spans="1:5">
      <c r="A1303" s="80"/>
      <c r="B1303" s="81"/>
      <c r="C1303" s="19"/>
      <c r="D1303" s="19"/>
      <c r="E1303" s="20"/>
    </row>
    <row r="1304" spans="1:5">
      <c r="A1304" s="80"/>
      <c r="B1304" s="81"/>
      <c r="C1304" s="19"/>
      <c r="D1304" s="19"/>
      <c r="E1304" s="20"/>
    </row>
    <row r="1305" spans="1:5">
      <c r="A1305" s="80"/>
      <c r="B1305" s="81"/>
      <c r="C1305" s="19"/>
      <c r="D1305" s="19"/>
      <c r="E1305" s="20"/>
    </row>
    <row r="1306" spans="1:5">
      <c r="A1306" s="80"/>
      <c r="B1306" s="81"/>
      <c r="C1306" s="19"/>
      <c r="D1306" s="19"/>
      <c r="E1306" s="20"/>
    </row>
    <row r="1307" spans="1:5">
      <c r="A1307" s="80"/>
      <c r="B1307" s="81"/>
      <c r="C1307" s="19"/>
      <c r="D1307" s="19"/>
      <c r="E1307" s="20"/>
    </row>
    <row r="1308" spans="1:5">
      <c r="A1308" s="80"/>
      <c r="B1308" s="81"/>
      <c r="C1308" s="19"/>
      <c r="D1308" s="19"/>
      <c r="E1308" s="20"/>
    </row>
    <row r="1309" spans="1:5">
      <c r="A1309" s="80"/>
      <c r="B1309" s="81"/>
      <c r="C1309" s="19"/>
      <c r="D1309" s="19"/>
      <c r="E1309" s="20"/>
    </row>
    <row r="1310" spans="1:5">
      <c r="A1310" s="80"/>
      <c r="B1310" s="81"/>
      <c r="C1310" s="19"/>
      <c r="D1310" s="19"/>
      <c r="E1310" s="20"/>
    </row>
    <row r="1311" spans="1:5">
      <c r="A1311" s="80"/>
      <c r="B1311" s="81"/>
      <c r="C1311" s="19"/>
      <c r="D1311" s="19"/>
      <c r="E1311" s="20"/>
    </row>
    <row r="1312" spans="1:5">
      <c r="A1312" s="80"/>
      <c r="B1312" s="81"/>
      <c r="C1312" s="19"/>
      <c r="D1312" s="19"/>
      <c r="E1312" s="20"/>
    </row>
    <row r="1313" spans="1:5">
      <c r="A1313" s="80"/>
      <c r="B1313" s="81"/>
      <c r="C1313" s="19"/>
      <c r="D1313" s="19"/>
      <c r="E1313" s="20"/>
    </row>
    <row r="1314" spans="1:5">
      <c r="A1314" s="80"/>
      <c r="B1314" s="81"/>
      <c r="C1314" s="19"/>
      <c r="D1314" s="19"/>
      <c r="E1314" s="20"/>
    </row>
    <row r="1315" spans="1:5">
      <c r="A1315" s="80"/>
      <c r="B1315" s="81"/>
      <c r="C1315" s="19"/>
      <c r="D1315" s="19"/>
      <c r="E1315" s="20"/>
    </row>
    <row r="1316" spans="1:5">
      <c r="A1316" s="80"/>
      <c r="B1316" s="81"/>
      <c r="C1316" s="19"/>
      <c r="D1316" s="19"/>
      <c r="E1316" s="20"/>
    </row>
    <row r="1317" spans="1:5">
      <c r="A1317" s="80"/>
      <c r="B1317" s="81"/>
      <c r="C1317" s="19"/>
      <c r="D1317" s="19"/>
      <c r="E1317" s="20"/>
    </row>
    <row r="1318" spans="1:5">
      <c r="A1318" s="80"/>
      <c r="B1318" s="81"/>
      <c r="C1318" s="19"/>
      <c r="D1318" s="19"/>
      <c r="E1318" s="20"/>
    </row>
    <row r="1319" spans="1:5">
      <c r="A1319" s="80"/>
      <c r="B1319" s="81"/>
      <c r="C1319" s="19"/>
      <c r="D1319" s="19"/>
      <c r="E1319" s="20"/>
    </row>
    <row r="1320" spans="1:5">
      <c r="A1320" s="80"/>
      <c r="B1320" s="81"/>
      <c r="C1320" s="19"/>
      <c r="D1320" s="19"/>
      <c r="E1320" s="20"/>
    </row>
    <row r="1321" spans="1:5">
      <c r="A1321" s="80"/>
      <c r="B1321" s="81"/>
      <c r="C1321" s="19"/>
      <c r="D1321" s="19"/>
      <c r="E1321" s="20"/>
    </row>
    <row r="1322" spans="1:5">
      <c r="A1322" s="80"/>
      <c r="B1322" s="81"/>
      <c r="C1322" s="19"/>
      <c r="D1322" s="19"/>
      <c r="E1322" s="20"/>
    </row>
    <row r="1323" spans="1:5">
      <c r="A1323" s="80"/>
      <c r="B1323" s="81"/>
      <c r="C1323" s="19"/>
      <c r="D1323" s="19"/>
      <c r="E1323" s="20"/>
    </row>
    <row r="1324" spans="1:5">
      <c r="A1324" s="80"/>
      <c r="B1324" s="81"/>
      <c r="C1324" s="19"/>
      <c r="D1324" s="19"/>
      <c r="E1324" s="20"/>
    </row>
    <row r="1325" spans="1:5">
      <c r="A1325" s="80"/>
      <c r="B1325" s="81"/>
      <c r="C1325" s="19"/>
      <c r="D1325" s="19"/>
      <c r="E1325" s="20"/>
    </row>
    <row r="1326" spans="1:5">
      <c r="A1326" s="80"/>
      <c r="B1326" s="81"/>
      <c r="C1326" s="19"/>
      <c r="D1326" s="19"/>
      <c r="E1326" s="20"/>
    </row>
    <row r="1327" spans="1:5">
      <c r="A1327" s="80"/>
      <c r="B1327" s="81"/>
      <c r="C1327" s="19"/>
      <c r="D1327" s="19"/>
      <c r="E1327" s="20"/>
    </row>
    <row r="1328" spans="1:5">
      <c r="A1328" s="80"/>
      <c r="B1328" s="81"/>
      <c r="C1328" s="19"/>
      <c r="D1328" s="19"/>
      <c r="E1328" s="20"/>
    </row>
    <row r="1329" spans="1:5">
      <c r="A1329" s="80"/>
      <c r="B1329" s="81"/>
      <c r="C1329" s="19"/>
      <c r="D1329" s="19"/>
      <c r="E1329" s="20"/>
    </row>
    <row r="1330" spans="1:5">
      <c r="A1330" s="80"/>
      <c r="B1330" s="81"/>
      <c r="C1330" s="19"/>
      <c r="D1330" s="19"/>
      <c r="E1330" s="20"/>
    </row>
    <row r="1331" spans="1:5">
      <c r="A1331" s="80"/>
      <c r="B1331" s="81"/>
      <c r="C1331" s="19"/>
      <c r="D1331" s="19"/>
      <c r="E1331" s="20"/>
    </row>
    <row r="1332" spans="1:5">
      <c r="A1332" s="80"/>
      <c r="B1332" s="81"/>
      <c r="C1332" s="19"/>
      <c r="D1332" s="19"/>
      <c r="E1332" s="20"/>
    </row>
    <row r="1333" spans="1:5">
      <c r="A1333" s="80"/>
      <c r="B1333" s="81"/>
      <c r="C1333" s="19"/>
      <c r="D1333" s="19"/>
      <c r="E1333" s="20"/>
    </row>
    <row r="1334" spans="1:5">
      <c r="A1334" s="80"/>
      <c r="B1334" s="81"/>
      <c r="C1334" s="19"/>
      <c r="D1334" s="19"/>
      <c r="E1334" s="20"/>
    </row>
    <row r="1335" spans="1:5">
      <c r="A1335" s="80"/>
      <c r="B1335" s="81"/>
      <c r="C1335" s="19"/>
      <c r="D1335" s="19"/>
      <c r="E1335" s="20"/>
    </row>
    <row r="1336" spans="1:5">
      <c r="A1336" s="80"/>
      <c r="B1336" s="81"/>
      <c r="C1336" s="19"/>
      <c r="D1336" s="19"/>
      <c r="E1336" s="20"/>
    </row>
    <row r="1337" spans="1:5">
      <c r="A1337" s="80"/>
      <c r="B1337" s="81"/>
      <c r="C1337" s="19"/>
      <c r="D1337" s="19"/>
      <c r="E1337" s="20"/>
    </row>
    <row r="1338" spans="1:5">
      <c r="A1338" s="80"/>
      <c r="B1338" s="81"/>
      <c r="C1338" s="19"/>
      <c r="D1338" s="19"/>
      <c r="E1338" s="20"/>
    </row>
    <row r="1339" spans="1:5">
      <c r="A1339" s="80"/>
      <c r="B1339" s="81"/>
      <c r="C1339" s="19"/>
      <c r="D1339" s="19"/>
      <c r="E1339" s="20"/>
    </row>
    <row r="1340" spans="1:5">
      <c r="A1340" s="80"/>
      <c r="B1340" s="81"/>
      <c r="C1340" s="19"/>
      <c r="D1340" s="19"/>
      <c r="E1340" s="20"/>
    </row>
    <row r="1341" spans="1:5">
      <c r="A1341" s="80"/>
      <c r="B1341" s="81"/>
      <c r="C1341" s="19"/>
      <c r="D1341" s="19"/>
      <c r="E1341" s="20"/>
    </row>
    <row r="1342" spans="1:5">
      <c r="A1342" s="80"/>
      <c r="B1342" s="81"/>
      <c r="C1342" s="19"/>
      <c r="D1342" s="19"/>
      <c r="E1342" s="20"/>
    </row>
    <row r="1343" spans="1:5">
      <c r="A1343" s="80"/>
      <c r="B1343" s="81"/>
      <c r="C1343" s="19"/>
      <c r="D1343" s="19"/>
      <c r="E1343" s="20"/>
    </row>
    <row r="1344" spans="1:5">
      <c r="A1344" s="80"/>
      <c r="B1344" s="81"/>
      <c r="C1344" s="19"/>
      <c r="D1344" s="19"/>
      <c r="E1344" s="20"/>
    </row>
    <row r="1345" spans="1:5">
      <c r="A1345" s="80"/>
      <c r="B1345" s="81"/>
      <c r="C1345" s="19"/>
      <c r="D1345" s="19"/>
      <c r="E1345" s="20"/>
    </row>
    <row r="1346" spans="1:5">
      <c r="A1346" s="80"/>
      <c r="B1346" s="81"/>
      <c r="C1346" s="19"/>
      <c r="D1346" s="19"/>
      <c r="E1346" s="20"/>
    </row>
    <row r="1347" spans="1:5">
      <c r="A1347" s="80"/>
      <c r="B1347" s="81"/>
      <c r="C1347" s="19"/>
      <c r="D1347" s="19"/>
      <c r="E1347" s="20"/>
    </row>
    <row r="1348" spans="1:5">
      <c r="A1348" s="80"/>
      <c r="B1348" s="81"/>
      <c r="C1348" s="19"/>
      <c r="D1348" s="19"/>
      <c r="E1348" s="20"/>
    </row>
    <row r="1349" spans="1:5">
      <c r="A1349" s="80"/>
      <c r="B1349" s="81"/>
      <c r="C1349" s="19"/>
      <c r="D1349" s="19"/>
      <c r="E1349" s="20"/>
    </row>
    <row r="1350" spans="1:5">
      <c r="A1350" s="80"/>
      <c r="B1350" s="81"/>
      <c r="C1350" s="19"/>
      <c r="D1350" s="19"/>
      <c r="E1350" s="20"/>
    </row>
    <row r="1351" spans="1:5">
      <c r="A1351" s="80"/>
      <c r="B1351" s="81"/>
      <c r="C1351" s="19"/>
      <c r="D1351" s="19"/>
      <c r="E1351" s="20"/>
    </row>
    <row r="1352" spans="1:5">
      <c r="A1352" s="80"/>
      <c r="B1352" s="81"/>
      <c r="C1352" s="19"/>
      <c r="D1352" s="19"/>
      <c r="E1352" s="20"/>
    </row>
  </sheetData>
  <mergeCells count="1352">
    <mergeCell ref="A1350:B1350"/>
    <mergeCell ref="A1351:B1351"/>
    <mergeCell ref="A1352:B1352"/>
    <mergeCell ref="A1333:B1333"/>
    <mergeCell ref="A1334:B1334"/>
    <mergeCell ref="A1335:B1335"/>
    <mergeCell ref="A1336:B1336"/>
    <mergeCell ref="A1337:B1337"/>
    <mergeCell ref="A1338:B1338"/>
    <mergeCell ref="A1339:B1339"/>
    <mergeCell ref="A1340:B1340"/>
    <mergeCell ref="A1341:B1341"/>
    <mergeCell ref="A1342:B1342"/>
    <mergeCell ref="A1343:B1343"/>
    <mergeCell ref="A1344:B1344"/>
    <mergeCell ref="A1345:B1345"/>
    <mergeCell ref="A1346:B1346"/>
    <mergeCell ref="A1347:B1347"/>
    <mergeCell ref="A1348:B1348"/>
    <mergeCell ref="A1349:B1349"/>
    <mergeCell ref="A690:B690"/>
    <mergeCell ref="A691:B691"/>
    <mergeCell ref="A692:B692"/>
    <mergeCell ref="A693:B693"/>
    <mergeCell ref="A853:B853"/>
    <mergeCell ref="A854:B854"/>
    <mergeCell ref="A855:B855"/>
    <mergeCell ref="A856:B856"/>
    <mergeCell ref="A1324:B1324"/>
    <mergeCell ref="A1325:B1325"/>
    <mergeCell ref="A1326:B1326"/>
    <mergeCell ref="A1327:B1327"/>
    <mergeCell ref="A1328:B1328"/>
    <mergeCell ref="A1329:B1329"/>
    <mergeCell ref="A1330:B1330"/>
    <mergeCell ref="A1331:B1331"/>
    <mergeCell ref="A1332:B1332"/>
    <mergeCell ref="A847:B847"/>
    <mergeCell ref="A848:B848"/>
    <mergeCell ref="A849:B849"/>
    <mergeCell ref="A850:B850"/>
    <mergeCell ref="A851:B851"/>
    <mergeCell ref="A852:B852"/>
    <mergeCell ref="A841:B841"/>
    <mergeCell ref="A842:B842"/>
    <mergeCell ref="A843:B843"/>
    <mergeCell ref="A844:B844"/>
    <mergeCell ref="A845:B845"/>
    <mergeCell ref="A846:B846"/>
    <mergeCell ref="A809:B809"/>
    <mergeCell ref="A810:B810"/>
    <mergeCell ref="A823:B823"/>
    <mergeCell ref="A670:B670"/>
    <mergeCell ref="A671:B671"/>
    <mergeCell ref="A672:B672"/>
    <mergeCell ref="A673:B673"/>
    <mergeCell ref="A674:B674"/>
    <mergeCell ref="A675:B675"/>
    <mergeCell ref="A676:B676"/>
    <mergeCell ref="A677:B677"/>
    <mergeCell ref="A678:B678"/>
    <mergeCell ref="A679:B679"/>
    <mergeCell ref="A680:B680"/>
    <mergeCell ref="A681:B681"/>
    <mergeCell ref="A682:B682"/>
    <mergeCell ref="A683:B683"/>
    <mergeCell ref="A684:B684"/>
    <mergeCell ref="A685:B685"/>
    <mergeCell ref="A686:B686"/>
    <mergeCell ref="A687:B687"/>
    <mergeCell ref="A688:B688"/>
    <mergeCell ref="A689:B689"/>
    <mergeCell ref="A828:B828"/>
    <mergeCell ref="A817:B817"/>
    <mergeCell ref="A818:B818"/>
    <mergeCell ref="A819:B819"/>
    <mergeCell ref="A820:B820"/>
    <mergeCell ref="A821:B821"/>
    <mergeCell ref="A822:B822"/>
    <mergeCell ref="A835:B835"/>
    <mergeCell ref="A836:B836"/>
    <mergeCell ref="A837:B837"/>
    <mergeCell ref="A838:B838"/>
    <mergeCell ref="A839:B839"/>
    <mergeCell ref="A840:B840"/>
    <mergeCell ref="A829:B829"/>
    <mergeCell ref="A830:B830"/>
    <mergeCell ref="A831:B831"/>
    <mergeCell ref="A832:B832"/>
    <mergeCell ref="A833:B833"/>
    <mergeCell ref="A834:B834"/>
    <mergeCell ref="A811:B811"/>
    <mergeCell ref="A812:B812"/>
    <mergeCell ref="A813:B813"/>
    <mergeCell ref="A814:B814"/>
    <mergeCell ref="A815:B815"/>
    <mergeCell ref="A816:B816"/>
    <mergeCell ref="A805:B805"/>
    <mergeCell ref="A806:B806"/>
    <mergeCell ref="A807:B807"/>
    <mergeCell ref="A808:B808"/>
    <mergeCell ref="A824:B824"/>
    <mergeCell ref="A825:B825"/>
    <mergeCell ref="A826:B826"/>
    <mergeCell ref="A827:B827"/>
    <mergeCell ref="A792:B792"/>
    <mergeCell ref="A781:B781"/>
    <mergeCell ref="A782:B782"/>
    <mergeCell ref="A783:B783"/>
    <mergeCell ref="A784:B784"/>
    <mergeCell ref="A785:B785"/>
    <mergeCell ref="A786:B786"/>
    <mergeCell ref="A799:B799"/>
    <mergeCell ref="A800:B800"/>
    <mergeCell ref="A801:B801"/>
    <mergeCell ref="A802:B802"/>
    <mergeCell ref="A803:B803"/>
    <mergeCell ref="A804:B804"/>
    <mergeCell ref="A793:B793"/>
    <mergeCell ref="A794:B794"/>
    <mergeCell ref="A795:B795"/>
    <mergeCell ref="A796:B796"/>
    <mergeCell ref="A797:B797"/>
    <mergeCell ref="A798:B798"/>
    <mergeCell ref="A775:B775"/>
    <mergeCell ref="A776:B776"/>
    <mergeCell ref="A777:B777"/>
    <mergeCell ref="A778:B778"/>
    <mergeCell ref="A779:B779"/>
    <mergeCell ref="A780:B780"/>
    <mergeCell ref="A769:B769"/>
    <mergeCell ref="A770:B770"/>
    <mergeCell ref="A771:B771"/>
    <mergeCell ref="A772:B772"/>
    <mergeCell ref="A773:B773"/>
    <mergeCell ref="A774:B774"/>
    <mergeCell ref="A787:B787"/>
    <mergeCell ref="A788:B788"/>
    <mergeCell ref="A789:B789"/>
    <mergeCell ref="A790:B790"/>
    <mergeCell ref="A791:B791"/>
    <mergeCell ref="A756:B756"/>
    <mergeCell ref="A745:B745"/>
    <mergeCell ref="A746:B746"/>
    <mergeCell ref="A747:B747"/>
    <mergeCell ref="A748:B748"/>
    <mergeCell ref="A749:B749"/>
    <mergeCell ref="A750:B750"/>
    <mergeCell ref="A763:B763"/>
    <mergeCell ref="A764:B764"/>
    <mergeCell ref="A765:B765"/>
    <mergeCell ref="A766:B766"/>
    <mergeCell ref="A767:B767"/>
    <mergeCell ref="A768:B768"/>
    <mergeCell ref="A757:B757"/>
    <mergeCell ref="A758:B758"/>
    <mergeCell ref="A759:B759"/>
    <mergeCell ref="A760:B760"/>
    <mergeCell ref="A761:B761"/>
    <mergeCell ref="A762:B762"/>
    <mergeCell ref="A739:B739"/>
    <mergeCell ref="A740:B740"/>
    <mergeCell ref="A741:B741"/>
    <mergeCell ref="A742:B742"/>
    <mergeCell ref="A743:B743"/>
    <mergeCell ref="A744:B744"/>
    <mergeCell ref="A733:B733"/>
    <mergeCell ref="A734:B734"/>
    <mergeCell ref="A735:B735"/>
    <mergeCell ref="A736:B736"/>
    <mergeCell ref="A737:B737"/>
    <mergeCell ref="A738:B738"/>
    <mergeCell ref="A751:B751"/>
    <mergeCell ref="A752:B752"/>
    <mergeCell ref="A753:B753"/>
    <mergeCell ref="A754:B754"/>
    <mergeCell ref="A755:B755"/>
    <mergeCell ref="A717:B717"/>
    <mergeCell ref="A718:B718"/>
    <mergeCell ref="A719:B719"/>
    <mergeCell ref="A720:B720"/>
    <mergeCell ref="A709:B709"/>
    <mergeCell ref="A710:B710"/>
    <mergeCell ref="A711:B711"/>
    <mergeCell ref="A712:B712"/>
    <mergeCell ref="A713:B713"/>
    <mergeCell ref="A714:B714"/>
    <mergeCell ref="A727:B727"/>
    <mergeCell ref="A728:B728"/>
    <mergeCell ref="A729:B729"/>
    <mergeCell ref="A730:B730"/>
    <mergeCell ref="A731:B731"/>
    <mergeCell ref="A732:B732"/>
    <mergeCell ref="A721:B721"/>
    <mergeCell ref="A722:B722"/>
    <mergeCell ref="A723:B723"/>
    <mergeCell ref="A724:B724"/>
    <mergeCell ref="A725:B725"/>
    <mergeCell ref="A726:B726"/>
    <mergeCell ref="A694:B694"/>
    <mergeCell ref="A695:B695"/>
    <mergeCell ref="A696:B696"/>
    <mergeCell ref="A703:B703"/>
    <mergeCell ref="A704:B704"/>
    <mergeCell ref="A705:B705"/>
    <mergeCell ref="A706:B706"/>
    <mergeCell ref="A707:B707"/>
    <mergeCell ref="A708:B708"/>
    <mergeCell ref="A697:B697"/>
    <mergeCell ref="A698:B698"/>
    <mergeCell ref="A699:B699"/>
    <mergeCell ref="A700:B700"/>
    <mergeCell ref="A701:B701"/>
    <mergeCell ref="A702:B702"/>
    <mergeCell ref="A715:B715"/>
    <mergeCell ref="A716:B716"/>
    <mergeCell ref="A655:B655"/>
    <mergeCell ref="A656:B656"/>
    <mergeCell ref="A657:B657"/>
    <mergeCell ref="A658:B658"/>
    <mergeCell ref="A659:B659"/>
    <mergeCell ref="A660:B660"/>
    <mergeCell ref="A649:B649"/>
    <mergeCell ref="A650:B650"/>
    <mergeCell ref="A651:B651"/>
    <mergeCell ref="A652:B652"/>
    <mergeCell ref="A653:B653"/>
    <mergeCell ref="A654:B654"/>
    <mergeCell ref="A667:B667"/>
    <mergeCell ref="A668:B668"/>
    <mergeCell ref="A669:B669"/>
    <mergeCell ref="A661:B661"/>
    <mergeCell ref="A662:B662"/>
    <mergeCell ref="A663:B663"/>
    <mergeCell ref="A664:B664"/>
    <mergeCell ref="A665:B665"/>
    <mergeCell ref="A666:B666"/>
    <mergeCell ref="A636:B636"/>
    <mergeCell ref="A625:B625"/>
    <mergeCell ref="A626:B626"/>
    <mergeCell ref="A627:B627"/>
    <mergeCell ref="A628:B628"/>
    <mergeCell ref="A629:B629"/>
    <mergeCell ref="A630:B630"/>
    <mergeCell ref="A643:B643"/>
    <mergeCell ref="A644:B644"/>
    <mergeCell ref="A645:B645"/>
    <mergeCell ref="A646:B646"/>
    <mergeCell ref="A647:B647"/>
    <mergeCell ref="A648:B648"/>
    <mergeCell ref="A637:B637"/>
    <mergeCell ref="A638:B638"/>
    <mergeCell ref="A639:B639"/>
    <mergeCell ref="A640:B640"/>
    <mergeCell ref="A641:B641"/>
    <mergeCell ref="A642:B642"/>
    <mergeCell ref="A619:B619"/>
    <mergeCell ref="A620:B620"/>
    <mergeCell ref="A621:B621"/>
    <mergeCell ref="A622:B622"/>
    <mergeCell ref="A623:B623"/>
    <mergeCell ref="A624:B624"/>
    <mergeCell ref="A613:B613"/>
    <mergeCell ref="A614:B614"/>
    <mergeCell ref="A615:B615"/>
    <mergeCell ref="A616:B616"/>
    <mergeCell ref="A617:B617"/>
    <mergeCell ref="A618:B618"/>
    <mergeCell ref="A631:B631"/>
    <mergeCell ref="A632:B632"/>
    <mergeCell ref="A633:B633"/>
    <mergeCell ref="A634:B634"/>
    <mergeCell ref="A635:B635"/>
    <mergeCell ref="A600:B600"/>
    <mergeCell ref="A589:B589"/>
    <mergeCell ref="A590:B590"/>
    <mergeCell ref="A591:B591"/>
    <mergeCell ref="A592:B592"/>
    <mergeCell ref="A593:B593"/>
    <mergeCell ref="A594:B594"/>
    <mergeCell ref="A607:B607"/>
    <mergeCell ref="A608:B608"/>
    <mergeCell ref="A609:B609"/>
    <mergeCell ref="A610:B610"/>
    <mergeCell ref="A611:B611"/>
    <mergeCell ref="A612:B612"/>
    <mergeCell ref="A601:B601"/>
    <mergeCell ref="A602:B602"/>
    <mergeCell ref="A603:B603"/>
    <mergeCell ref="A604:B604"/>
    <mergeCell ref="A605:B605"/>
    <mergeCell ref="A606:B606"/>
    <mergeCell ref="A583:B583"/>
    <mergeCell ref="A584:B584"/>
    <mergeCell ref="A585:B585"/>
    <mergeCell ref="A586:B586"/>
    <mergeCell ref="A587:B587"/>
    <mergeCell ref="A588:B588"/>
    <mergeCell ref="A577:B577"/>
    <mergeCell ref="A578:B578"/>
    <mergeCell ref="A579:B579"/>
    <mergeCell ref="A580:B580"/>
    <mergeCell ref="A581:B581"/>
    <mergeCell ref="A582:B582"/>
    <mergeCell ref="A595:B595"/>
    <mergeCell ref="A596:B596"/>
    <mergeCell ref="A597:B597"/>
    <mergeCell ref="A598:B598"/>
    <mergeCell ref="A599:B599"/>
    <mergeCell ref="A564:B564"/>
    <mergeCell ref="A553:B553"/>
    <mergeCell ref="A554:B554"/>
    <mergeCell ref="A555:B555"/>
    <mergeCell ref="A556:B556"/>
    <mergeCell ref="A557:B557"/>
    <mergeCell ref="A558:B558"/>
    <mergeCell ref="A571:B571"/>
    <mergeCell ref="A572:B572"/>
    <mergeCell ref="A573:B573"/>
    <mergeCell ref="A574:B574"/>
    <mergeCell ref="A575:B575"/>
    <mergeCell ref="A576:B576"/>
    <mergeCell ref="A565:B565"/>
    <mergeCell ref="A566:B566"/>
    <mergeCell ref="A567:B567"/>
    <mergeCell ref="A568:B568"/>
    <mergeCell ref="A569:B569"/>
    <mergeCell ref="A570:B570"/>
    <mergeCell ref="A547:B547"/>
    <mergeCell ref="A548:B548"/>
    <mergeCell ref="A549:B549"/>
    <mergeCell ref="A550:B550"/>
    <mergeCell ref="A551:B551"/>
    <mergeCell ref="A552:B552"/>
    <mergeCell ref="A541:B541"/>
    <mergeCell ref="A542:B542"/>
    <mergeCell ref="A543:B543"/>
    <mergeCell ref="A544:B544"/>
    <mergeCell ref="A545:B545"/>
    <mergeCell ref="A546:B546"/>
    <mergeCell ref="A559:B559"/>
    <mergeCell ref="A560:B560"/>
    <mergeCell ref="A561:B561"/>
    <mergeCell ref="A562:B562"/>
    <mergeCell ref="A563:B563"/>
    <mergeCell ref="A528:B528"/>
    <mergeCell ref="A517:B517"/>
    <mergeCell ref="A518:B518"/>
    <mergeCell ref="A519:B519"/>
    <mergeCell ref="A520:B520"/>
    <mergeCell ref="A521:B521"/>
    <mergeCell ref="A522:B522"/>
    <mergeCell ref="A535:B535"/>
    <mergeCell ref="A536:B536"/>
    <mergeCell ref="A537:B537"/>
    <mergeCell ref="A538:B538"/>
    <mergeCell ref="A539:B539"/>
    <mergeCell ref="A540:B540"/>
    <mergeCell ref="A529:B529"/>
    <mergeCell ref="A530:B530"/>
    <mergeCell ref="A531:B531"/>
    <mergeCell ref="A532:B532"/>
    <mergeCell ref="A533:B533"/>
    <mergeCell ref="A534:B534"/>
    <mergeCell ref="A511:B511"/>
    <mergeCell ref="A512:B512"/>
    <mergeCell ref="A513:B513"/>
    <mergeCell ref="A514:B514"/>
    <mergeCell ref="A515:B515"/>
    <mergeCell ref="A516:B516"/>
    <mergeCell ref="A505:B505"/>
    <mergeCell ref="A506:B506"/>
    <mergeCell ref="A507:B507"/>
    <mergeCell ref="A508:B508"/>
    <mergeCell ref="A509:B509"/>
    <mergeCell ref="A510:B510"/>
    <mergeCell ref="A523:B523"/>
    <mergeCell ref="A524:B524"/>
    <mergeCell ref="A525:B525"/>
    <mergeCell ref="A526:B526"/>
    <mergeCell ref="A527:B527"/>
    <mergeCell ref="A492:B492"/>
    <mergeCell ref="A481:B481"/>
    <mergeCell ref="A482:B482"/>
    <mergeCell ref="A483:B483"/>
    <mergeCell ref="A484:B484"/>
    <mergeCell ref="A485:B485"/>
    <mergeCell ref="A486:B486"/>
    <mergeCell ref="A499:B499"/>
    <mergeCell ref="A500:B500"/>
    <mergeCell ref="A501:B501"/>
    <mergeCell ref="A502:B502"/>
    <mergeCell ref="A503:B503"/>
    <mergeCell ref="A504:B504"/>
    <mergeCell ref="A493:B493"/>
    <mergeCell ref="A494:B494"/>
    <mergeCell ref="A495:B495"/>
    <mergeCell ref="A496:B496"/>
    <mergeCell ref="A497:B497"/>
    <mergeCell ref="A498:B498"/>
    <mergeCell ref="A475:B475"/>
    <mergeCell ref="A476:B476"/>
    <mergeCell ref="A477:B477"/>
    <mergeCell ref="A478:B478"/>
    <mergeCell ref="A479:B479"/>
    <mergeCell ref="A480:B480"/>
    <mergeCell ref="A469:B469"/>
    <mergeCell ref="A470:B470"/>
    <mergeCell ref="A471:B471"/>
    <mergeCell ref="A472:B472"/>
    <mergeCell ref="A473:B473"/>
    <mergeCell ref="A474:B474"/>
    <mergeCell ref="A487:B487"/>
    <mergeCell ref="A488:B488"/>
    <mergeCell ref="A489:B489"/>
    <mergeCell ref="A490:B490"/>
    <mergeCell ref="A491:B491"/>
    <mergeCell ref="A456:B456"/>
    <mergeCell ref="A445:B445"/>
    <mergeCell ref="A446:B446"/>
    <mergeCell ref="A447:B447"/>
    <mergeCell ref="A448:B448"/>
    <mergeCell ref="A449:B449"/>
    <mergeCell ref="A450:B450"/>
    <mergeCell ref="A463:B463"/>
    <mergeCell ref="A464:B464"/>
    <mergeCell ref="A465:B465"/>
    <mergeCell ref="A466:B466"/>
    <mergeCell ref="A467:B467"/>
    <mergeCell ref="A468:B468"/>
    <mergeCell ref="A457:B457"/>
    <mergeCell ref="A458:B458"/>
    <mergeCell ref="A459:B459"/>
    <mergeCell ref="A460:B460"/>
    <mergeCell ref="A461:B461"/>
    <mergeCell ref="A462:B462"/>
    <mergeCell ref="A439:B439"/>
    <mergeCell ref="A440:B440"/>
    <mergeCell ref="A441:B441"/>
    <mergeCell ref="A442:B442"/>
    <mergeCell ref="A443:B443"/>
    <mergeCell ref="A444:B444"/>
    <mergeCell ref="A433:B433"/>
    <mergeCell ref="A434:B434"/>
    <mergeCell ref="A435:B435"/>
    <mergeCell ref="A436:B436"/>
    <mergeCell ref="A437:B437"/>
    <mergeCell ref="A438:B438"/>
    <mergeCell ref="A451:B451"/>
    <mergeCell ref="A452:B452"/>
    <mergeCell ref="A453:B453"/>
    <mergeCell ref="A454:B454"/>
    <mergeCell ref="A455:B455"/>
    <mergeCell ref="A420:B420"/>
    <mergeCell ref="A409:B409"/>
    <mergeCell ref="A410:B410"/>
    <mergeCell ref="A411:B411"/>
    <mergeCell ref="A412:B412"/>
    <mergeCell ref="A413:B413"/>
    <mergeCell ref="A414:B414"/>
    <mergeCell ref="A427:B427"/>
    <mergeCell ref="A428:B428"/>
    <mergeCell ref="A429:B429"/>
    <mergeCell ref="A430:B430"/>
    <mergeCell ref="A431:B431"/>
    <mergeCell ref="A432:B432"/>
    <mergeCell ref="A421:B421"/>
    <mergeCell ref="A422:B422"/>
    <mergeCell ref="A423:B423"/>
    <mergeCell ref="A424:B424"/>
    <mergeCell ref="A425:B425"/>
    <mergeCell ref="A426:B426"/>
    <mergeCell ref="A403:B403"/>
    <mergeCell ref="A404:B404"/>
    <mergeCell ref="A405:B405"/>
    <mergeCell ref="A406:B406"/>
    <mergeCell ref="A407:B407"/>
    <mergeCell ref="A408:B408"/>
    <mergeCell ref="A397:B397"/>
    <mergeCell ref="A398:B398"/>
    <mergeCell ref="A399:B399"/>
    <mergeCell ref="A400:B400"/>
    <mergeCell ref="A401:B401"/>
    <mergeCell ref="A402:B402"/>
    <mergeCell ref="A415:B415"/>
    <mergeCell ref="A416:B416"/>
    <mergeCell ref="A417:B417"/>
    <mergeCell ref="A418:B418"/>
    <mergeCell ref="A419:B419"/>
    <mergeCell ref="A384:B384"/>
    <mergeCell ref="A373:B373"/>
    <mergeCell ref="A374:B374"/>
    <mergeCell ref="A375:B375"/>
    <mergeCell ref="A376:B376"/>
    <mergeCell ref="A377:B377"/>
    <mergeCell ref="A378:B378"/>
    <mergeCell ref="A391:B391"/>
    <mergeCell ref="A392:B392"/>
    <mergeCell ref="A393:B393"/>
    <mergeCell ref="A394:B394"/>
    <mergeCell ref="A395:B395"/>
    <mergeCell ref="A396:B396"/>
    <mergeCell ref="A385:B385"/>
    <mergeCell ref="A386:B386"/>
    <mergeCell ref="A387:B387"/>
    <mergeCell ref="A388:B388"/>
    <mergeCell ref="A389:B389"/>
    <mergeCell ref="A390:B390"/>
    <mergeCell ref="A367:B367"/>
    <mergeCell ref="A368:B368"/>
    <mergeCell ref="A369:B369"/>
    <mergeCell ref="A370:B370"/>
    <mergeCell ref="A371:B371"/>
    <mergeCell ref="A372:B372"/>
    <mergeCell ref="A361:B361"/>
    <mergeCell ref="A362:B362"/>
    <mergeCell ref="A363:B363"/>
    <mergeCell ref="A364:B364"/>
    <mergeCell ref="A365:B365"/>
    <mergeCell ref="A366:B366"/>
    <mergeCell ref="A379:B379"/>
    <mergeCell ref="A380:B380"/>
    <mergeCell ref="A381:B381"/>
    <mergeCell ref="A382:B382"/>
    <mergeCell ref="A383:B383"/>
    <mergeCell ref="A348:B348"/>
    <mergeCell ref="A337:B337"/>
    <mergeCell ref="A338:B338"/>
    <mergeCell ref="A339:B339"/>
    <mergeCell ref="A340:B340"/>
    <mergeCell ref="A341:B341"/>
    <mergeCell ref="A342:B342"/>
    <mergeCell ref="A355:B355"/>
    <mergeCell ref="A356:B356"/>
    <mergeCell ref="A357:B357"/>
    <mergeCell ref="A358:B358"/>
    <mergeCell ref="A359:B359"/>
    <mergeCell ref="A360:B360"/>
    <mergeCell ref="A349:B349"/>
    <mergeCell ref="A350:B350"/>
    <mergeCell ref="A351:B351"/>
    <mergeCell ref="A352:B352"/>
    <mergeCell ref="A353:B353"/>
    <mergeCell ref="A354:B354"/>
    <mergeCell ref="A331:B331"/>
    <mergeCell ref="A332:B332"/>
    <mergeCell ref="A333:B333"/>
    <mergeCell ref="A334:B334"/>
    <mergeCell ref="A335:B335"/>
    <mergeCell ref="A336:B336"/>
    <mergeCell ref="A325:B325"/>
    <mergeCell ref="A326:B326"/>
    <mergeCell ref="A327:B327"/>
    <mergeCell ref="A328:B328"/>
    <mergeCell ref="A329:B329"/>
    <mergeCell ref="A330:B330"/>
    <mergeCell ref="A343:B343"/>
    <mergeCell ref="A344:B344"/>
    <mergeCell ref="A345:B345"/>
    <mergeCell ref="A346:B346"/>
    <mergeCell ref="A347:B347"/>
    <mergeCell ref="A312:B312"/>
    <mergeCell ref="A301:B301"/>
    <mergeCell ref="A302:B302"/>
    <mergeCell ref="A303:B303"/>
    <mergeCell ref="A304:B304"/>
    <mergeCell ref="A305:B305"/>
    <mergeCell ref="A306:B306"/>
    <mergeCell ref="A319:B319"/>
    <mergeCell ref="A320:B320"/>
    <mergeCell ref="A321:B321"/>
    <mergeCell ref="A322:B322"/>
    <mergeCell ref="A323:B323"/>
    <mergeCell ref="A324:B324"/>
    <mergeCell ref="A313:B313"/>
    <mergeCell ref="A314:B314"/>
    <mergeCell ref="A315:B315"/>
    <mergeCell ref="A316:B316"/>
    <mergeCell ref="A317:B317"/>
    <mergeCell ref="A318:B318"/>
    <mergeCell ref="A295:B295"/>
    <mergeCell ref="A296:B296"/>
    <mergeCell ref="A297:B297"/>
    <mergeCell ref="A298:B298"/>
    <mergeCell ref="A299:B299"/>
    <mergeCell ref="A300:B300"/>
    <mergeCell ref="A289:B289"/>
    <mergeCell ref="A290:B290"/>
    <mergeCell ref="A291:B291"/>
    <mergeCell ref="A292:B292"/>
    <mergeCell ref="A293:B293"/>
    <mergeCell ref="A294:B294"/>
    <mergeCell ref="A307:B307"/>
    <mergeCell ref="A308:B308"/>
    <mergeCell ref="A309:B309"/>
    <mergeCell ref="A310:B310"/>
    <mergeCell ref="A311:B311"/>
    <mergeCell ref="A276:B276"/>
    <mergeCell ref="A265:B265"/>
    <mergeCell ref="A266:B266"/>
    <mergeCell ref="A267:B267"/>
    <mergeCell ref="A268:B268"/>
    <mergeCell ref="A269:B269"/>
    <mergeCell ref="A270:B270"/>
    <mergeCell ref="A283:B283"/>
    <mergeCell ref="A284:B284"/>
    <mergeCell ref="A285:B285"/>
    <mergeCell ref="A286:B286"/>
    <mergeCell ref="A287:B287"/>
    <mergeCell ref="A288:B288"/>
    <mergeCell ref="A277:B277"/>
    <mergeCell ref="A278:B278"/>
    <mergeCell ref="A279:B279"/>
    <mergeCell ref="A280:B280"/>
    <mergeCell ref="A281:B281"/>
    <mergeCell ref="A282:B282"/>
    <mergeCell ref="A259:B259"/>
    <mergeCell ref="A260:B260"/>
    <mergeCell ref="A261:B261"/>
    <mergeCell ref="A262:B262"/>
    <mergeCell ref="A263:B263"/>
    <mergeCell ref="A264:B264"/>
    <mergeCell ref="A253:B253"/>
    <mergeCell ref="A254:B254"/>
    <mergeCell ref="A255:B255"/>
    <mergeCell ref="A256:B256"/>
    <mergeCell ref="A257:B257"/>
    <mergeCell ref="A258:B258"/>
    <mergeCell ref="A271:B271"/>
    <mergeCell ref="A272:B272"/>
    <mergeCell ref="A273:B273"/>
    <mergeCell ref="A274:B274"/>
    <mergeCell ref="A275:B275"/>
    <mergeCell ref="A240:B240"/>
    <mergeCell ref="A229:B229"/>
    <mergeCell ref="A230:B230"/>
    <mergeCell ref="A231:B231"/>
    <mergeCell ref="A232:B232"/>
    <mergeCell ref="A233:B233"/>
    <mergeCell ref="A234:B234"/>
    <mergeCell ref="A247:B247"/>
    <mergeCell ref="A248:B248"/>
    <mergeCell ref="A249:B249"/>
    <mergeCell ref="A250:B250"/>
    <mergeCell ref="A251:B251"/>
    <mergeCell ref="A252:B252"/>
    <mergeCell ref="A241:B241"/>
    <mergeCell ref="A242:B242"/>
    <mergeCell ref="A243:B243"/>
    <mergeCell ref="A244:B244"/>
    <mergeCell ref="A245:B245"/>
    <mergeCell ref="A246:B246"/>
    <mergeCell ref="A223:B223"/>
    <mergeCell ref="A224:B224"/>
    <mergeCell ref="A225:B225"/>
    <mergeCell ref="A226:B226"/>
    <mergeCell ref="A227:B227"/>
    <mergeCell ref="A228:B228"/>
    <mergeCell ref="A217:B217"/>
    <mergeCell ref="A218:B218"/>
    <mergeCell ref="A219:B219"/>
    <mergeCell ref="A220:B220"/>
    <mergeCell ref="A221:B221"/>
    <mergeCell ref="A222:B222"/>
    <mergeCell ref="A235:B235"/>
    <mergeCell ref="A236:B236"/>
    <mergeCell ref="A237:B237"/>
    <mergeCell ref="A238:B238"/>
    <mergeCell ref="A239:B239"/>
    <mergeCell ref="A204:B204"/>
    <mergeCell ref="A193:B193"/>
    <mergeCell ref="A194:B194"/>
    <mergeCell ref="A195:B195"/>
    <mergeCell ref="A196:B196"/>
    <mergeCell ref="A197:B197"/>
    <mergeCell ref="A198:B198"/>
    <mergeCell ref="A211:B211"/>
    <mergeCell ref="A212:B212"/>
    <mergeCell ref="A213:B213"/>
    <mergeCell ref="A214:B214"/>
    <mergeCell ref="A215:B215"/>
    <mergeCell ref="A216:B216"/>
    <mergeCell ref="A205:B205"/>
    <mergeCell ref="A206:B206"/>
    <mergeCell ref="A207:B207"/>
    <mergeCell ref="A208:B208"/>
    <mergeCell ref="A209:B209"/>
    <mergeCell ref="A210:B210"/>
    <mergeCell ref="A187:B187"/>
    <mergeCell ref="A188:B188"/>
    <mergeCell ref="A189:B189"/>
    <mergeCell ref="A190:B190"/>
    <mergeCell ref="A191:B191"/>
    <mergeCell ref="A192:B192"/>
    <mergeCell ref="A181:B181"/>
    <mergeCell ref="A182:B182"/>
    <mergeCell ref="A183:B183"/>
    <mergeCell ref="A184:B184"/>
    <mergeCell ref="A185:B185"/>
    <mergeCell ref="A186:B186"/>
    <mergeCell ref="A199:B199"/>
    <mergeCell ref="A200:B200"/>
    <mergeCell ref="A201:B201"/>
    <mergeCell ref="A202:B202"/>
    <mergeCell ref="A203:B203"/>
    <mergeCell ref="A168:B168"/>
    <mergeCell ref="A157:B157"/>
    <mergeCell ref="A158:B158"/>
    <mergeCell ref="A159:B159"/>
    <mergeCell ref="A160:B160"/>
    <mergeCell ref="A161:B161"/>
    <mergeCell ref="A162:B162"/>
    <mergeCell ref="A175:B175"/>
    <mergeCell ref="A176:B176"/>
    <mergeCell ref="A177:B177"/>
    <mergeCell ref="A178:B178"/>
    <mergeCell ref="A179:B179"/>
    <mergeCell ref="A180:B180"/>
    <mergeCell ref="A169:B169"/>
    <mergeCell ref="A170:B170"/>
    <mergeCell ref="A171:B171"/>
    <mergeCell ref="A172:B172"/>
    <mergeCell ref="A173:B173"/>
    <mergeCell ref="A174:B174"/>
    <mergeCell ref="A151:B151"/>
    <mergeCell ref="A152:B152"/>
    <mergeCell ref="A153:B153"/>
    <mergeCell ref="A154:B154"/>
    <mergeCell ref="A155:B155"/>
    <mergeCell ref="A156:B156"/>
    <mergeCell ref="A145:B145"/>
    <mergeCell ref="A146:B146"/>
    <mergeCell ref="A147:B147"/>
    <mergeCell ref="A148:B148"/>
    <mergeCell ref="A149:B149"/>
    <mergeCell ref="A150:B150"/>
    <mergeCell ref="A163:B163"/>
    <mergeCell ref="A164:B164"/>
    <mergeCell ref="A165:B165"/>
    <mergeCell ref="A166:B166"/>
    <mergeCell ref="A167:B167"/>
    <mergeCell ref="A132:B132"/>
    <mergeCell ref="A121:B121"/>
    <mergeCell ref="A122:B122"/>
    <mergeCell ref="A123:B123"/>
    <mergeCell ref="A124:B124"/>
    <mergeCell ref="A125:B125"/>
    <mergeCell ref="A126:B126"/>
    <mergeCell ref="A139:B139"/>
    <mergeCell ref="A140:B140"/>
    <mergeCell ref="A141:B141"/>
    <mergeCell ref="A142:B142"/>
    <mergeCell ref="A143:B143"/>
    <mergeCell ref="A144:B144"/>
    <mergeCell ref="A133:B133"/>
    <mergeCell ref="A134:B134"/>
    <mergeCell ref="A135:B135"/>
    <mergeCell ref="A136:B136"/>
    <mergeCell ref="A137:B137"/>
    <mergeCell ref="A138:B138"/>
    <mergeCell ref="A115:B115"/>
    <mergeCell ref="A116:B116"/>
    <mergeCell ref="A117:B117"/>
    <mergeCell ref="A118:B118"/>
    <mergeCell ref="A119:B119"/>
    <mergeCell ref="A120:B120"/>
    <mergeCell ref="A109:B109"/>
    <mergeCell ref="A110:B110"/>
    <mergeCell ref="A111:B111"/>
    <mergeCell ref="A112:B112"/>
    <mergeCell ref="A113:B113"/>
    <mergeCell ref="A114:B114"/>
    <mergeCell ref="A127:B127"/>
    <mergeCell ref="A128:B128"/>
    <mergeCell ref="A129:B129"/>
    <mergeCell ref="A130:B130"/>
    <mergeCell ref="A131:B131"/>
    <mergeCell ref="A96:B96"/>
    <mergeCell ref="A85:B85"/>
    <mergeCell ref="A86:B86"/>
    <mergeCell ref="A87:B87"/>
    <mergeCell ref="A88:B88"/>
    <mergeCell ref="A89:B89"/>
    <mergeCell ref="A90:B90"/>
    <mergeCell ref="A103:B103"/>
    <mergeCell ref="A104:B104"/>
    <mergeCell ref="A105:B105"/>
    <mergeCell ref="A106:B106"/>
    <mergeCell ref="A107:B107"/>
    <mergeCell ref="A108:B108"/>
    <mergeCell ref="A97:B97"/>
    <mergeCell ref="A98:B98"/>
    <mergeCell ref="A99:B99"/>
    <mergeCell ref="A100:B100"/>
    <mergeCell ref="A101:B101"/>
    <mergeCell ref="A102:B102"/>
    <mergeCell ref="A79:B79"/>
    <mergeCell ref="A80:B80"/>
    <mergeCell ref="A81:B81"/>
    <mergeCell ref="A82:B82"/>
    <mergeCell ref="A83:B83"/>
    <mergeCell ref="A84:B84"/>
    <mergeCell ref="A73:B73"/>
    <mergeCell ref="A74:B74"/>
    <mergeCell ref="A75:B75"/>
    <mergeCell ref="A76:B76"/>
    <mergeCell ref="A77:B77"/>
    <mergeCell ref="A78:B78"/>
    <mergeCell ref="A91:B91"/>
    <mergeCell ref="A92:B92"/>
    <mergeCell ref="A93:B93"/>
    <mergeCell ref="A94:B94"/>
    <mergeCell ref="A95:B95"/>
    <mergeCell ref="A60:B60"/>
    <mergeCell ref="A49:B49"/>
    <mergeCell ref="A50:B50"/>
    <mergeCell ref="A51:B51"/>
    <mergeCell ref="A52:B52"/>
    <mergeCell ref="A53:B53"/>
    <mergeCell ref="A54:B54"/>
    <mergeCell ref="A67:B67"/>
    <mergeCell ref="A68:B68"/>
    <mergeCell ref="A69:B69"/>
    <mergeCell ref="A70:B70"/>
    <mergeCell ref="A71:B71"/>
    <mergeCell ref="A72:B72"/>
    <mergeCell ref="A61:B61"/>
    <mergeCell ref="A62:B62"/>
    <mergeCell ref="A63:B63"/>
    <mergeCell ref="A64:B64"/>
    <mergeCell ref="A65:B65"/>
    <mergeCell ref="A66:B66"/>
    <mergeCell ref="A43:B43"/>
    <mergeCell ref="A44:B44"/>
    <mergeCell ref="A45:B45"/>
    <mergeCell ref="A46:B46"/>
    <mergeCell ref="A47:B47"/>
    <mergeCell ref="A48:B48"/>
    <mergeCell ref="A37:B37"/>
    <mergeCell ref="A38:B38"/>
    <mergeCell ref="A39:B39"/>
    <mergeCell ref="A40:B40"/>
    <mergeCell ref="A41:B41"/>
    <mergeCell ref="A42:B42"/>
    <mergeCell ref="A55:B55"/>
    <mergeCell ref="A56:B56"/>
    <mergeCell ref="A57:B57"/>
    <mergeCell ref="A58:B58"/>
    <mergeCell ref="A59:B59"/>
    <mergeCell ref="A24:B24"/>
    <mergeCell ref="A13:B13"/>
    <mergeCell ref="A14:B14"/>
    <mergeCell ref="A15:B15"/>
    <mergeCell ref="A16:B16"/>
    <mergeCell ref="A17:B17"/>
    <mergeCell ref="A18:B18"/>
    <mergeCell ref="A31:B31"/>
    <mergeCell ref="A32:B32"/>
    <mergeCell ref="A33:B33"/>
    <mergeCell ref="A34:B34"/>
    <mergeCell ref="A35:B35"/>
    <mergeCell ref="A36:B36"/>
    <mergeCell ref="A25:B25"/>
    <mergeCell ref="A26:B26"/>
    <mergeCell ref="A27:B27"/>
    <mergeCell ref="A28:B28"/>
    <mergeCell ref="A29:B29"/>
    <mergeCell ref="A30:B30"/>
    <mergeCell ref="A7:B7"/>
    <mergeCell ref="A8:B8"/>
    <mergeCell ref="A9:B9"/>
    <mergeCell ref="A10:B10"/>
    <mergeCell ref="A11:B11"/>
    <mergeCell ref="A12:B12"/>
    <mergeCell ref="A1:B1"/>
    <mergeCell ref="A2:B2"/>
    <mergeCell ref="A3:B3"/>
    <mergeCell ref="A4:B4"/>
    <mergeCell ref="A5:B5"/>
    <mergeCell ref="A6:B6"/>
    <mergeCell ref="A19:B19"/>
    <mergeCell ref="A20:B20"/>
    <mergeCell ref="A21:B21"/>
    <mergeCell ref="A22:B22"/>
    <mergeCell ref="A23:B23"/>
    <mergeCell ref="A1299:B1299"/>
    <mergeCell ref="A1300:B1300"/>
    <mergeCell ref="A1301:B1301"/>
    <mergeCell ref="A1302:B1302"/>
    <mergeCell ref="A1303:B1303"/>
    <mergeCell ref="A1304:B1304"/>
    <mergeCell ref="A1305:B1305"/>
    <mergeCell ref="A1306:B1306"/>
    <mergeCell ref="A1316:B1316"/>
    <mergeCell ref="A1317:B1317"/>
    <mergeCell ref="A1318:B1318"/>
    <mergeCell ref="A1319:B1319"/>
    <mergeCell ref="A1320:B1320"/>
    <mergeCell ref="A1321:B1321"/>
    <mergeCell ref="A1322:B1322"/>
    <mergeCell ref="A1323:B1323"/>
    <mergeCell ref="A1307:B1307"/>
    <mergeCell ref="A1308:B1308"/>
    <mergeCell ref="A1309:B1309"/>
    <mergeCell ref="A1310:B1310"/>
    <mergeCell ref="A1311:B1311"/>
    <mergeCell ref="A1312:B1312"/>
    <mergeCell ref="A1313:B1313"/>
    <mergeCell ref="A1314:B1314"/>
    <mergeCell ref="A1315:B1315"/>
    <mergeCell ref="A1282:B1282"/>
    <mergeCell ref="A1283:B1283"/>
    <mergeCell ref="A1284:B1284"/>
    <mergeCell ref="A1285:B1285"/>
    <mergeCell ref="A1286:B1286"/>
    <mergeCell ref="A1287:B1287"/>
    <mergeCell ref="A1288:B1288"/>
    <mergeCell ref="A1289:B1289"/>
    <mergeCell ref="A1290:B1290"/>
    <mergeCell ref="A1291:B1291"/>
    <mergeCell ref="A1292:B1292"/>
    <mergeCell ref="A1293:B1293"/>
    <mergeCell ref="A1294:B1294"/>
    <mergeCell ref="A1295:B1295"/>
    <mergeCell ref="A1296:B1296"/>
    <mergeCell ref="A1297:B1297"/>
    <mergeCell ref="A1298:B1298"/>
    <mergeCell ref="A1265:B1265"/>
    <mergeCell ref="A1266:B1266"/>
    <mergeCell ref="A1267:B1267"/>
    <mergeCell ref="A1268:B1268"/>
    <mergeCell ref="A1269:B1269"/>
    <mergeCell ref="A1270:B1270"/>
    <mergeCell ref="A1271:B1271"/>
    <mergeCell ref="A1272:B1272"/>
    <mergeCell ref="A1273:B1273"/>
    <mergeCell ref="A1274:B1274"/>
    <mergeCell ref="A1275:B1275"/>
    <mergeCell ref="A1276:B1276"/>
    <mergeCell ref="A1277:B1277"/>
    <mergeCell ref="A1278:B1278"/>
    <mergeCell ref="A1279:B1279"/>
    <mergeCell ref="A1280:B1280"/>
    <mergeCell ref="A1281:B1281"/>
    <mergeCell ref="A1248:B1248"/>
    <mergeCell ref="A1249:B1249"/>
    <mergeCell ref="A1250:B1250"/>
    <mergeCell ref="A1251:B1251"/>
    <mergeCell ref="A1252:B1252"/>
    <mergeCell ref="A1253:B1253"/>
    <mergeCell ref="A1254:B1254"/>
    <mergeCell ref="A1255:B1255"/>
    <mergeCell ref="A1256:B1256"/>
    <mergeCell ref="A1257:B1257"/>
    <mergeCell ref="A1258:B1258"/>
    <mergeCell ref="A1259:B1259"/>
    <mergeCell ref="A1260:B1260"/>
    <mergeCell ref="A1261:B1261"/>
    <mergeCell ref="A1262:B1262"/>
    <mergeCell ref="A1263:B1263"/>
    <mergeCell ref="A1264:B1264"/>
    <mergeCell ref="A1231:B1231"/>
    <mergeCell ref="A1232:B1232"/>
    <mergeCell ref="A1233:B1233"/>
    <mergeCell ref="A1234:B1234"/>
    <mergeCell ref="A1235:B1235"/>
    <mergeCell ref="A1236:B1236"/>
    <mergeCell ref="A1237:B1237"/>
    <mergeCell ref="A1238:B1238"/>
    <mergeCell ref="A1239:B1239"/>
    <mergeCell ref="A1240:B1240"/>
    <mergeCell ref="A1241:B1241"/>
    <mergeCell ref="A1242:B1242"/>
    <mergeCell ref="A1243:B1243"/>
    <mergeCell ref="A1244:B1244"/>
    <mergeCell ref="A1245:B1245"/>
    <mergeCell ref="A1246:B1246"/>
    <mergeCell ref="A1247:B1247"/>
    <mergeCell ref="A1214:B1214"/>
    <mergeCell ref="A1215:B1215"/>
    <mergeCell ref="A1216:B1216"/>
    <mergeCell ref="A1217:B1217"/>
    <mergeCell ref="A1218:B1218"/>
    <mergeCell ref="A1219:B1219"/>
    <mergeCell ref="A1220:B1220"/>
    <mergeCell ref="A1221:B1221"/>
    <mergeCell ref="A1222:B1222"/>
    <mergeCell ref="A1223:B1223"/>
    <mergeCell ref="A1224:B1224"/>
    <mergeCell ref="A1225:B1225"/>
    <mergeCell ref="A1226:B1226"/>
    <mergeCell ref="A1227:B1227"/>
    <mergeCell ref="A1228:B1228"/>
    <mergeCell ref="A1229:B1229"/>
    <mergeCell ref="A1230:B1230"/>
    <mergeCell ref="A1197:B1197"/>
    <mergeCell ref="A1198:B1198"/>
    <mergeCell ref="A1199:B1199"/>
    <mergeCell ref="A1200:B1200"/>
    <mergeCell ref="A1201:B1201"/>
    <mergeCell ref="A1202:B1202"/>
    <mergeCell ref="A1203:B1203"/>
    <mergeCell ref="A1204:B1204"/>
    <mergeCell ref="A1205:B1205"/>
    <mergeCell ref="A1206:B1206"/>
    <mergeCell ref="A1207:B1207"/>
    <mergeCell ref="A1208:B1208"/>
    <mergeCell ref="A1209:B1209"/>
    <mergeCell ref="A1210:B1210"/>
    <mergeCell ref="A1211:B1211"/>
    <mergeCell ref="A1212:B1212"/>
    <mergeCell ref="A1213:B1213"/>
    <mergeCell ref="A1180:B1180"/>
    <mergeCell ref="A1181:B1181"/>
    <mergeCell ref="A1182:B1182"/>
    <mergeCell ref="A1183:B1183"/>
    <mergeCell ref="A1184:B1184"/>
    <mergeCell ref="A1185:B1185"/>
    <mergeCell ref="A1186:B1186"/>
    <mergeCell ref="A1187:B1187"/>
    <mergeCell ref="A1188:B1188"/>
    <mergeCell ref="A1189:B1189"/>
    <mergeCell ref="A1190:B1190"/>
    <mergeCell ref="A1191:B1191"/>
    <mergeCell ref="A1192:B1192"/>
    <mergeCell ref="A1193:B1193"/>
    <mergeCell ref="A1194:B1194"/>
    <mergeCell ref="A1195:B1195"/>
    <mergeCell ref="A1196:B1196"/>
    <mergeCell ref="A1163:B1163"/>
    <mergeCell ref="A1164:B1164"/>
    <mergeCell ref="A1165:B1165"/>
    <mergeCell ref="A1166:B1166"/>
    <mergeCell ref="A1167:B1167"/>
    <mergeCell ref="A1168:B1168"/>
    <mergeCell ref="A1169:B1169"/>
    <mergeCell ref="A1170:B1170"/>
    <mergeCell ref="A1171:B1171"/>
    <mergeCell ref="A1172:B1172"/>
    <mergeCell ref="A1173:B1173"/>
    <mergeCell ref="A1174:B1174"/>
    <mergeCell ref="A1175:B1175"/>
    <mergeCell ref="A1176:B1176"/>
    <mergeCell ref="A1177:B1177"/>
    <mergeCell ref="A1178:B1178"/>
    <mergeCell ref="A1179:B1179"/>
    <mergeCell ref="A1146:B1146"/>
    <mergeCell ref="A1147:B1147"/>
    <mergeCell ref="A1148:B1148"/>
    <mergeCell ref="A1149:B1149"/>
    <mergeCell ref="A1150:B1150"/>
    <mergeCell ref="A1151:B1151"/>
    <mergeCell ref="A1152:B1152"/>
    <mergeCell ref="A1153:B1153"/>
    <mergeCell ref="A1154:B1154"/>
    <mergeCell ref="A1155:B1155"/>
    <mergeCell ref="A1156:B1156"/>
    <mergeCell ref="A1157:B1157"/>
    <mergeCell ref="A1158:B1158"/>
    <mergeCell ref="A1159:B1159"/>
    <mergeCell ref="A1160:B1160"/>
    <mergeCell ref="A1161:B1161"/>
    <mergeCell ref="A1162:B1162"/>
    <mergeCell ref="A1129:B1129"/>
    <mergeCell ref="A1130:B1130"/>
    <mergeCell ref="A1131:B1131"/>
    <mergeCell ref="A1132:B1132"/>
    <mergeCell ref="A1133:B1133"/>
    <mergeCell ref="A1134:B1134"/>
    <mergeCell ref="A1135:B1135"/>
    <mergeCell ref="A1136:B1136"/>
    <mergeCell ref="A1137:B1137"/>
    <mergeCell ref="A1138:B1138"/>
    <mergeCell ref="A1139:B1139"/>
    <mergeCell ref="A1140:B1140"/>
    <mergeCell ref="A1141:B1141"/>
    <mergeCell ref="A1142:B1142"/>
    <mergeCell ref="A1143:B1143"/>
    <mergeCell ref="A1144:B1144"/>
    <mergeCell ref="A1145:B1145"/>
    <mergeCell ref="A1112:B1112"/>
    <mergeCell ref="A1113:B1113"/>
    <mergeCell ref="A1114:B1114"/>
    <mergeCell ref="A1115:B1115"/>
    <mergeCell ref="A1116:B1116"/>
    <mergeCell ref="A1117:B1117"/>
    <mergeCell ref="A1118:B1118"/>
    <mergeCell ref="A1119:B1119"/>
    <mergeCell ref="A1120:B1120"/>
    <mergeCell ref="A1121:B1121"/>
    <mergeCell ref="A1122:B1122"/>
    <mergeCell ref="A1123:B1123"/>
    <mergeCell ref="A1124:B1124"/>
    <mergeCell ref="A1125:B1125"/>
    <mergeCell ref="A1126:B1126"/>
    <mergeCell ref="A1127:B1127"/>
    <mergeCell ref="A1128:B1128"/>
    <mergeCell ref="A1095:B1095"/>
    <mergeCell ref="A1096:B1096"/>
    <mergeCell ref="A1097:B1097"/>
    <mergeCell ref="A1098:B1098"/>
    <mergeCell ref="A1099:B1099"/>
    <mergeCell ref="A1100:B1100"/>
    <mergeCell ref="A1101:B1101"/>
    <mergeCell ref="A1102:B1102"/>
    <mergeCell ref="A1103:B1103"/>
    <mergeCell ref="A1104:B1104"/>
    <mergeCell ref="A1105:B1105"/>
    <mergeCell ref="A1106:B1106"/>
    <mergeCell ref="A1107:B1107"/>
    <mergeCell ref="A1108:B1108"/>
    <mergeCell ref="A1109:B1109"/>
    <mergeCell ref="A1110:B1110"/>
    <mergeCell ref="A1111:B1111"/>
    <mergeCell ref="A1078:B1078"/>
    <mergeCell ref="A1079:B1079"/>
    <mergeCell ref="A1080:B1080"/>
    <mergeCell ref="A1081:B1081"/>
    <mergeCell ref="A1082:B1082"/>
    <mergeCell ref="A1083:B1083"/>
    <mergeCell ref="A1084:B1084"/>
    <mergeCell ref="A1085:B1085"/>
    <mergeCell ref="A1086:B1086"/>
    <mergeCell ref="A1087:B1087"/>
    <mergeCell ref="A1088:B1088"/>
    <mergeCell ref="A1089:B1089"/>
    <mergeCell ref="A1090:B1090"/>
    <mergeCell ref="A1091:B1091"/>
    <mergeCell ref="A1092:B1092"/>
    <mergeCell ref="A1093:B1093"/>
    <mergeCell ref="A1094:B1094"/>
    <mergeCell ref="A1061:B1061"/>
    <mergeCell ref="A1062:B1062"/>
    <mergeCell ref="A1063:B1063"/>
    <mergeCell ref="A1064:B1064"/>
    <mergeCell ref="A1065:B1065"/>
    <mergeCell ref="A1066:B1066"/>
    <mergeCell ref="A1067:B1067"/>
    <mergeCell ref="A1068:B1068"/>
    <mergeCell ref="A1069:B1069"/>
    <mergeCell ref="A1070:B1070"/>
    <mergeCell ref="A1071:B1071"/>
    <mergeCell ref="A1072:B1072"/>
    <mergeCell ref="A1073:B1073"/>
    <mergeCell ref="A1074:B1074"/>
    <mergeCell ref="A1075:B1075"/>
    <mergeCell ref="A1076:B1076"/>
    <mergeCell ref="A1077:B1077"/>
    <mergeCell ref="A1044:B1044"/>
    <mergeCell ref="A1045:B1045"/>
    <mergeCell ref="A1046:B1046"/>
    <mergeCell ref="A1047:B1047"/>
    <mergeCell ref="A1048:B1048"/>
    <mergeCell ref="A1049:B1049"/>
    <mergeCell ref="A1050:B1050"/>
    <mergeCell ref="A1051:B1051"/>
    <mergeCell ref="A1052:B1052"/>
    <mergeCell ref="A1053:B1053"/>
    <mergeCell ref="A1054:B1054"/>
    <mergeCell ref="A1055:B1055"/>
    <mergeCell ref="A1056:B1056"/>
    <mergeCell ref="A1057:B1057"/>
    <mergeCell ref="A1058:B1058"/>
    <mergeCell ref="A1059:B1059"/>
    <mergeCell ref="A1060:B1060"/>
    <mergeCell ref="A1027:B1027"/>
    <mergeCell ref="A1028:B1028"/>
    <mergeCell ref="A1029:B1029"/>
    <mergeCell ref="A1030:B1030"/>
    <mergeCell ref="A1031:B1031"/>
    <mergeCell ref="A1032:B1032"/>
    <mergeCell ref="A1033:B1033"/>
    <mergeCell ref="A1034:B1034"/>
    <mergeCell ref="A1035:B1035"/>
    <mergeCell ref="A1036:B1036"/>
    <mergeCell ref="A1037:B1037"/>
    <mergeCell ref="A1038:B1038"/>
    <mergeCell ref="A1039:B1039"/>
    <mergeCell ref="A1040:B1040"/>
    <mergeCell ref="A1041:B1041"/>
    <mergeCell ref="A1042:B1042"/>
    <mergeCell ref="A1043:B1043"/>
    <mergeCell ref="A1010:B1010"/>
    <mergeCell ref="A1011:B1011"/>
    <mergeCell ref="A1012:B1012"/>
    <mergeCell ref="A1013:B1013"/>
    <mergeCell ref="A1014:B1014"/>
    <mergeCell ref="A1015:B1015"/>
    <mergeCell ref="A1016:B1016"/>
    <mergeCell ref="A1017:B1017"/>
    <mergeCell ref="A1018:B1018"/>
    <mergeCell ref="A1019:B1019"/>
    <mergeCell ref="A1020:B1020"/>
    <mergeCell ref="A1021:B1021"/>
    <mergeCell ref="A1022:B1022"/>
    <mergeCell ref="A1023:B1023"/>
    <mergeCell ref="A1024:B1024"/>
    <mergeCell ref="A1025:B1025"/>
    <mergeCell ref="A1026:B1026"/>
    <mergeCell ref="A993:B993"/>
    <mergeCell ref="A994:B994"/>
    <mergeCell ref="A995:B995"/>
    <mergeCell ref="A996:B996"/>
    <mergeCell ref="A997:B997"/>
    <mergeCell ref="A998:B998"/>
    <mergeCell ref="A999:B999"/>
    <mergeCell ref="A1000:B1000"/>
    <mergeCell ref="A1001:B1001"/>
    <mergeCell ref="A1002:B1002"/>
    <mergeCell ref="A1003:B1003"/>
    <mergeCell ref="A1004:B1004"/>
    <mergeCell ref="A1005:B1005"/>
    <mergeCell ref="A1006:B1006"/>
    <mergeCell ref="A1007:B1007"/>
    <mergeCell ref="A1008:B1008"/>
    <mergeCell ref="A1009:B1009"/>
    <mergeCell ref="A976:B976"/>
    <mergeCell ref="A977:B977"/>
    <mergeCell ref="A978:B978"/>
    <mergeCell ref="A979:B979"/>
    <mergeCell ref="A980:B980"/>
    <mergeCell ref="A981:B981"/>
    <mergeCell ref="A982:B982"/>
    <mergeCell ref="A983:B983"/>
    <mergeCell ref="A984:B984"/>
    <mergeCell ref="A985:B985"/>
    <mergeCell ref="A986:B986"/>
    <mergeCell ref="A987:B987"/>
    <mergeCell ref="A988:B988"/>
    <mergeCell ref="A989:B989"/>
    <mergeCell ref="A990:B990"/>
    <mergeCell ref="A991:B991"/>
    <mergeCell ref="A992:B992"/>
    <mergeCell ref="A959:B959"/>
    <mergeCell ref="A960:B960"/>
    <mergeCell ref="A961:B961"/>
    <mergeCell ref="A962:B962"/>
    <mergeCell ref="A963:B963"/>
    <mergeCell ref="A964:B964"/>
    <mergeCell ref="A965:B965"/>
    <mergeCell ref="A966:B966"/>
    <mergeCell ref="A967:B967"/>
    <mergeCell ref="A968:B968"/>
    <mergeCell ref="A969:B969"/>
    <mergeCell ref="A970:B970"/>
    <mergeCell ref="A971:B971"/>
    <mergeCell ref="A972:B972"/>
    <mergeCell ref="A973:B973"/>
    <mergeCell ref="A974:B974"/>
    <mergeCell ref="A975:B975"/>
    <mergeCell ref="A942:B942"/>
    <mergeCell ref="A943:B943"/>
    <mergeCell ref="A944:B944"/>
    <mergeCell ref="A945:B945"/>
    <mergeCell ref="A946:B946"/>
    <mergeCell ref="A947:B947"/>
    <mergeCell ref="A948:B948"/>
    <mergeCell ref="A949:B949"/>
    <mergeCell ref="A950:B950"/>
    <mergeCell ref="A951:B951"/>
    <mergeCell ref="A952:B952"/>
    <mergeCell ref="A953:B953"/>
    <mergeCell ref="A954:B954"/>
    <mergeCell ref="A955:B955"/>
    <mergeCell ref="A956:B956"/>
    <mergeCell ref="A957:B957"/>
    <mergeCell ref="A958:B958"/>
    <mergeCell ref="A925:B925"/>
    <mergeCell ref="A926:B926"/>
    <mergeCell ref="A927:B927"/>
    <mergeCell ref="A928:B928"/>
    <mergeCell ref="A929:B929"/>
    <mergeCell ref="A930:B930"/>
    <mergeCell ref="A931:B931"/>
    <mergeCell ref="A932:B932"/>
    <mergeCell ref="A933:B933"/>
    <mergeCell ref="A934:B934"/>
    <mergeCell ref="A935:B935"/>
    <mergeCell ref="A936:B936"/>
    <mergeCell ref="A937:B937"/>
    <mergeCell ref="A938:B938"/>
    <mergeCell ref="A939:B939"/>
    <mergeCell ref="A940:B940"/>
    <mergeCell ref="A941:B941"/>
    <mergeCell ref="A908:B908"/>
    <mergeCell ref="A909:B909"/>
    <mergeCell ref="A910:B910"/>
    <mergeCell ref="A911:B911"/>
    <mergeCell ref="A912:B912"/>
    <mergeCell ref="A913:B913"/>
    <mergeCell ref="A914:B914"/>
    <mergeCell ref="A915:B915"/>
    <mergeCell ref="A916:B916"/>
    <mergeCell ref="A917:B917"/>
    <mergeCell ref="A918:B918"/>
    <mergeCell ref="A919:B919"/>
    <mergeCell ref="A920:B920"/>
    <mergeCell ref="A921:B921"/>
    <mergeCell ref="A922:B922"/>
    <mergeCell ref="A923:B923"/>
    <mergeCell ref="A924:B924"/>
    <mergeCell ref="A891:B891"/>
    <mergeCell ref="A892:B892"/>
    <mergeCell ref="A893:B893"/>
    <mergeCell ref="A894:B894"/>
    <mergeCell ref="A895:B895"/>
    <mergeCell ref="A896:B896"/>
    <mergeCell ref="A897:B897"/>
    <mergeCell ref="A898:B898"/>
    <mergeCell ref="A899:B899"/>
    <mergeCell ref="A900:B900"/>
    <mergeCell ref="A901:B901"/>
    <mergeCell ref="A902:B902"/>
    <mergeCell ref="A903:B903"/>
    <mergeCell ref="A904:B904"/>
    <mergeCell ref="A905:B905"/>
    <mergeCell ref="A906:B906"/>
    <mergeCell ref="A907:B907"/>
    <mergeCell ref="A874:B874"/>
    <mergeCell ref="A875:B875"/>
    <mergeCell ref="A876:B876"/>
    <mergeCell ref="A877:B877"/>
    <mergeCell ref="A878:B878"/>
    <mergeCell ref="A879:B879"/>
    <mergeCell ref="A880:B880"/>
    <mergeCell ref="A881:B881"/>
    <mergeCell ref="A882:B882"/>
    <mergeCell ref="A883:B883"/>
    <mergeCell ref="A884:B884"/>
    <mergeCell ref="A885:B885"/>
    <mergeCell ref="A886:B886"/>
    <mergeCell ref="A887:B887"/>
    <mergeCell ref="A888:B888"/>
    <mergeCell ref="A889:B889"/>
    <mergeCell ref="A890:B890"/>
    <mergeCell ref="A857:B857"/>
    <mergeCell ref="A858:B858"/>
    <mergeCell ref="A859:B859"/>
    <mergeCell ref="A860:B860"/>
    <mergeCell ref="A861:B861"/>
    <mergeCell ref="A862:B862"/>
    <mergeCell ref="A863:B863"/>
    <mergeCell ref="A864:B864"/>
    <mergeCell ref="A865:B865"/>
    <mergeCell ref="A866:B866"/>
    <mergeCell ref="A867:B867"/>
    <mergeCell ref="A868:B868"/>
    <mergeCell ref="A869:B869"/>
    <mergeCell ref="A870:B870"/>
    <mergeCell ref="A871:B871"/>
    <mergeCell ref="A872:B872"/>
    <mergeCell ref="A873:B873"/>
  </mergeCells>
  <phoneticPr fontId="18"/>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4C7C1-6ECE-4C8D-9812-E155ADB37673}">
  <dimension ref="A1:V717"/>
  <sheetViews>
    <sheetView workbookViewId="0"/>
  </sheetViews>
  <sheetFormatPr defaultColWidth="9" defaultRowHeight="18.75"/>
  <cols>
    <col min="1" max="1" width="9.375" style="71" customWidth="1"/>
    <col min="2" max="2" width="48.25" style="71" customWidth="1"/>
    <col min="3" max="4" width="17.625" style="71" customWidth="1"/>
    <col min="5" max="5" width="12" style="71" customWidth="1"/>
    <col min="6" max="6" width="39.25" style="71" customWidth="1"/>
    <col min="7" max="7" width="13.25" style="71" customWidth="1"/>
    <col min="8" max="8" width="41.375" style="71" customWidth="1"/>
    <col min="9" max="9" width="6.625" style="71" customWidth="1"/>
    <col min="10" max="10" width="17.625" style="71" customWidth="1"/>
    <col min="11" max="11" width="52.375" style="71" customWidth="1"/>
    <col min="12" max="12" width="28.75" style="71" customWidth="1"/>
    <col min="13" max="14" width="255" style="71" customWidth="1"/>
    <col min="15" max="15" width="28.75" style="71" customWidth="1"/>
    <col min="16" max="16" width="11.625" style="71" customWidth="1"/>
    <col min="17" max="17" width="15" style="71" customWidth="1"/>
    <col min="18" max="18" width="9.25" style="71" customWidth="1"/>
    <col min="19" max="19" width="6.875" style="71" customWidth="1"/>
    <col min="20" max="20" width="15.75" style="71" customWidth="1"/>
    <col min="21" max="21" width="10.125" style="71" customWidth="1"/>
    <col min="22" max="22" width="15" style="71" customWidth="1"/>
    <col min="23" max="16384" width="9" style="71"/>
  </cols>
  <sheetData>
    <row r="1" spans="1:22">
      <c r="A1" s="71" t="s">
        <v>2582</v>
      </c>
      <c r="B1" s="71" t="s">
        <v>2583</v>
      </c>
      <c r="C1" s="71" t="s">
        <v>2584</v>
      </c>
      <c r="D1" s="71" t="s">
        <v>2584</v>
      </c>
      <c r="E1" s="71" t="s">
        <v>2585</v>
      </c>
      <c r="F1" s="71" t="s">
        <v>2586</v>
      </c>
      <c r="G1" s="71" t="s">
        <v>43</v>
      </c>
      <c r="H1" s="71" t="s">
        <v>2587</v>
      </c>
      <c r="I1" s="71" t="s">
        <v>2588</v>
      </c>
      <c r="J1" s="71" t="s">
        <v>2589</v>
      </c>
      <c r="K1" s="71" t="s">
        <v>2590</v>
      </c>
      <c r="L1" s="71" t="s">
        <v>2591</v>
      </c>
      <c r="M1" s="71" t="s">
        <v>2592</v>
      </c>
      <c r="N1" s="71" t="s">
        <v>2593</v>
      </c>
      <c r="O1" s="71" t="s">
        <v>2594</v>
      </c>
      <c r="P1" s="71" t="s">
        <v>2595</v>
      </c>
      <c r="Q1" s="71" t="s">
        <v>2596</v>
      </c>
      <c r="R1" s="71" t="s">
        <v>2597</v>
      </c>
      <c r="S1" s="71" t="s">
        <v>2598</v>
      </c>
      <c r="T1" s="71" t="s">
        <v>2599</v>
      </c>
      <c r="U1" s="71" t="s">
        <v>2600</v>
      </c>
      <c r="V1" s="71" t="s">
        <v>2601</v>
      </c>
    </row>
    <row r="2" spans="1:22">
      <c r="A2" s="71" t="s">
        <v>2602</v>
      </c>
      <c r="B2" s="71" t="s">
        <v>2603</v>
      </c>
      <c r="C2" s="72">
        <v>45912.515930844907</v>
      </c>
      <c r="D2" s="72">
        <v>45912.515930844907</v>
      </c>
      <c r="E2" s="71" t="s">
        <v>2604</v>
      </c>
      <c r="F2" s="71" t="s">
        <v>2605</v>
      </c>
      <c r="G2" s="71" t="s">
        <v>2606</v>
      </c>
      <c r="H2" s="71" t="s">
        <v>2607</v>
      </c>
      <c r="I2" s="71" t="s">
        <v>2604</v>
      </c>
      <c r="J2" s="71" t="s">
        <v>813</v>
      </c>
      <c r="K2" s="71" t="s">
        <v>2608</v>
      </c>
      <c r="L2" s="71" t="s">
        <v>2609</v>
      </c>
      <c r="M2" s="71" t="s">
        <v>2610</v>
      </c>
      <c r="N2" s="71" t="s">
        <v>2611</v>
      </c>
      <c r="O2" s="71" t="s">
        <v>2612</v>
      </c>
      <c r="P2" s="71" t="s">
        <v>2604</v>
      </c>
      <c r="Q2" s="71" t="s">
        <v>2613</v>
      </c>
      <c r="R2" s="71" t="s">
        <v>2604</v>
      </c>
      <c r="S2" s="71" t="s">
        <v>2604</v>
      </c>
      <c r="T2" s="71" t="s">
        <v>2604</v>
      </c>
      <c r="U2" s="71" t="s">
        <v>2604</v>
      </c>
      <c r="V2" s="71" t="s">
        <v>2604</v>
      </c>
    </row>
    <row r="3" spans="1:22">
      <c r="A3" s="71" t="s">
        <v>2602</v>
      </c>
      <c r="B3" s="71" t="s">
        <v>2603</v>
      </c>
      <c r="C3" s="72">
        <v>45912.450159282409</v>
      </c>
      <c r="D3" s="72">
        <v>45912.450159282409</v>
      </c>
      <c r="E3" s="71" t="s">
        <v>2604</v>
      </c>
      <c r="F3" s="71" t="s">
        <v>2614</v>
      </c>
      <c r="G3" s="71" t="s">
        <v>2615</v>
      </c>
      <c r="H3" s="71" t="s">
        <v>2616</v>
      </c>
      <c r="I3" s="71" t="s">
        <v>2604</v>
      </c>
      <c r="J3" s="71" t="s">
        <v>813</v>
      </c>
      <c r="K3" s="71" t="s">
        <v>2608</v>
      </c>
      <c r="L3" s="71" t="s">
        <v>2609</v>
      </c>
      <c r="M3" s="71" t="s">
        <v>2610</v>
      </c>
      <c r="N3" s="71" t="s">
        <v>2610</v>
      </c>
      <c r="O3" s="71" t="s">
        <v>2612</v>
      </c>
      <c r="P3" s="71" t="s">
        <v>2604</v>
      </c>
      <c r="Q3" s="71" t="s">
        <v>2617</v>
      </c>
      <c r="R3" s="71" t="s">
        <v>2604</v>
      </c>
      <c r="S3" s="71" t="s">
        <v>2604</v>
      </c>
      <c r="T3" s="71" t="s">
        <v>2604</v>
      </c>
      <c r="U3" s="71" t="s">
        <v>2604</v>
      </c>
      <c r="V3" s="71" t="s">
        <v>2618</v>
      </c>
    </row>
    <row r="4" spans="1:22">
      <c r="A4" s="71" t="s">
        <v>2602</v>
      </c>
      <c r="B4" s="71" t="s">
        <v>2603</v>
      </c>
      <c r="C4" s="72">
        <v>45912.560670474537</v>
      </c>
      <c r="D4" s="72">
        <v>45912.560670474537</v>
      </c>
      <c r="E4" s="71" t="s">
        <v>2604</v>
      </c>
      <c r="F4" s="71" t="s">
        <v>2619</v>
      </c>
      <c r="G4" s="71" t="s">
        <v>2620</v>
      </c>
      <c r="H4" s="71" t="s">
        <v>2621</v>
      </c>
      <c r="I4" s="71" t="s">
        <v>2604</v>
      </c>
      <c r="J4" s="71" t="s">
        <v>774</v>
      </c>
      <c r="K4" s="71" t="s">
        <v>2622</v>
      </c>
      <c r="L4" s="71" t="s">
        <v>2604</v>
      </c>
      <c r="M4" s="71" t="s">
        <v>2623</v>
      </c>
      <c r="N4" s="71" t="s">
        <v>2623</v>
      </c>
      <c r="O4" s="71" t="s">
        <v>2612</v>
      </c>
      <c r="P4" s="71" t="s">
        <v>2604</v>
      </c>
      <c r="Q4" s="71" t="s">
        <v>2624</v>
      </c>
      <c r="R4" s="71" t="s">
        <v>2604</v>
      </c>
      <c r="S4" s="71" t="s">
        <v>2604</v>
      </c>
      <c r="T4" s="71" t="s">
        <v>2604</v>
      </c>
      <c r="U4" s="71" t="s">
        <v>2604</v>
      </c>
      <c r="V4" s="71" t="s">
        <v>2625</v>
      </c>
    </row>
    <row r="5" spans="1:22">
      <c r="A5" s="71" t="s">
        <v>2602</v>
      </c>
      <c r="B5" s="71" t="s">
        <v>2603</v>
      </c>
      <c r="C5" s="72">
        <v>45912.577526307869</v>
      </c>
      <c r="D5" s="72">
        <v>45912.577526307869</v>
      </c>
      <c r="E5" s="71" t="s">
        <v>2604</v>
      </c>
      <c r="F5" s="71" t="s">
        <v>2626</v>
      </c>
      <c r="G5" s="71" t="s">
        <v>2627</v>
      </c>
      <c r="H5" s="71" t="s">
        <v>2628</v>
      </c>
      <c r="I5" s="71" t="s">
        <v>2604</v>
      </c>
      <c r="J5" s="71" t="s">
        <v>813</v>
      </c>
      <c r="K5" s="71" t="s">
        <v>2608</v>
      </c>
      <c r="L5" s="71" t="s">
        <v>2609</v>
      </c>
      <c r="M5" s="71" t="s">
        <v>2610</v>
      </c>
      <c r="N5" s="71" t="s">
        <v>2629</v>
      </c>
      <c r="O5" s="71" t="s">
        <v>2612</v>
      </c>
      <c r="P5" s="71" t="s">
        <v>2604</v>
      </c>
      <c r="Q5" s="71" t="s">
        <v>2630</v>
      </c>
      <c r="R5" s="71" t="s">
        <v>2604</v>
      </c>
      <c r="S5" s="71" t="s">
        <v>2604</v>
      </c>
      <c r="T5" s="71" t="s">
        <v>2604</v>
      </c>
      <c r="U5" s="71" t="s">
        <v>2604</v>
      </c>
      <c r="V5" s="71" t="s">
        <v>2631</v>
      </c>
    </row>
    <row r="6" spans="1:22">
      <c r="A6" s="71" t="s">
        <v>2602</v>
      </c>
      <c r="B6" s="71" t="s">
        <v>2603</v>
      </c>
      <c r="C6" s="72">
        <v>45912.450159282409</v>
      </c>
      <c r="D6" s="72">
        <v>45912.450159282409</v>
      </c>
      <c r="E6" s="71" t="s">
        <v>2604</v>
      </c>
      <c r="F6" s="71" t="s">
        <v>2614</v>
      </c>
      <c r="G6" s="71" t="s">
        <v>2615</v>
      </c>
      <c r="H6" s="71" t="s">
        <v>2616</v>
      </c>
      <c r="I6" s="71" t="s">
        <v>2604</v>
      </c>
      <c r="J6" s="71" t="s">
        <v>813</v>
      </c>
      <c r="K6" s="71" t="s">
        <v>2608</v>
      </c>
      <c r="L6" s="71" t="s">
        <v>2609</v>
      </c>
      <c r="M6" s="71" t="s">
        <v>2610</v>
      </c>
      <c r="N6" s="71" t="s">
        <v>2610</v>
      </c>
      <c r="O6" s="71" t="s">
        <v>2612</v>
      </c>
      <c r="P6" s="71" t="s">
        <v>2604</v>
      </c>
      <c r="Q6" s="71" t="s">
        <v>2617</v>
      </c>
      <c r="R6" s="71" t="s">
        <v>2604</v>
      </c>
      <c r="S6" s="71" t="s">
        <v>2604</v>
      </c>
      <c r="T6" s="71" t="s">
        <v>2604</v>
      </c>
      <c r="U6" s="71" t="s">
        <v>2604</v>
      </c>
      <c r="V6" s="71" t="s">
        <v>2625</v>
      </c>
    </row>
    <row r="7" spans="1:22">
      <c r="A7" s="71" t="s">
        <v>2602</v>
      </c>
      <c r="B7" s="71" t="s">
        <v>2603</v>
      </c>
      <c r="C7" s="72">
        <v>45912.577526307869</v>
      </c>
      <c r="D7" s="72">
        <v>45912.577526307869</v>
      </c>
      <c r="E7" s="71" t="s">
        <v>2604</v>
      </c>
      <c r="F7" s="71" t="s">
        <v>2626</v>
      </c>
      <c r="G7" s="71" t="s">
        <v>2627</v>
      </c>
      <c r="H7" s="71" t="s">
        <v>2628</v>
      </c>
      <c r="I7" s="71" t="s">
        <v>2604</v>
      </c>
      <c r="J7" s="71" t="s">
        <v>813</v>
      </c>
      <c r="K7" s="71" t="s">
        <v>2608</v>
      </c>
      <c r="L7" s="71" t="s">
        <v>2609</v>
      </c>
      <c r="M7" s="71" t="s">
        <v>2610</v>
      </c>
      <c r="N7" s="71" t="s">
        <v>2629</v>
      </c>
      <c r="O7" s="71" t="s">
        <v>2612</v>
      </c>
      <c r="P7" s="71" t="s">
        <v>2604</v>
      </c>
      <c r="Q7" s="71" t="s">
        <v>2630</v>
      </c>
      <c r="R7" s="71" t="s">
        <v>2604</v>
      </c>
      <c r="S7" s="71" t="s">
        <v>2604</v>
      </c>
      <c r="T7" s="71" t="s">
        <v>2604</v>
      </c>
      <c r="U7" s="71" t="s">
        <v>2604</v>
      </c>
      <c r="V7" s="71" t="s">
        <v>2625</v>
      </c>
    </row>
    <row r="8" spans="1:22">
      <c r="A8" s="71" t="s">
        <v>2602</v>
      </c>
      <c r="B8" s="71" t="s">
        <v>2603</v>
      </c>
      <c r="C8" s="72">
        <v>45912.577526307869</v>
      </c>
      <c r="D8" s="72">
        <v>45912.577526307869</v>
      </c>
      <c r="E8" s="71" t="s">
        <v>2604</v>
      </c>
      <c r="F8" s="71" t="s">
        <v>2626</v>
      </c>
      <c r="G8" s="71" t="s">
        <v>2627</v>
      </c>
      <c r="H8" s="71" t="s">
        <v>2628</v>
      </c>
      <c r="I8" s="71" t="s">
        <v>2604</v>
      </c>
      <c r="J8" s="71" t="s">
        <v>813</v>
      </c>
      <c r="K8" s="71" t="s">
        <v>2608</v>
      </c>
      <c r="L8" s="71" t="s">
        <v>2609</v>
      </c>
      <c r="M8" s="71" t="s">
        <v>2610</v>
      </c>
      <c r="N8" s="71" t="s">
        <v>2629</v>
      </c>
      <c r="O8" s="71" t="s">
        <v>2612</v>
      </c>
      <c r="P8" s="71" t="s">
        <v>2604</v>
      </c>
      <c r="Q8" s="71" t="s">
        <v>2630</v>
      </c>
      <c r="R8" s="71" t="s">
        <v>2604</v>
      </c>
      <c r="S8" s="71" t="s">
        <v>2604</v>
      </c>
      <c r="T8" s="71" t="s">
        <v>2604</v>
      </c>
      <c r="U8" s="71" t="s">
        <v>2604</v>
      </c>
      <c r="V8" s="71" t="s">
        <v>2632</v>
      </c>
    </row>
    <row r="9" spans="1:22">
      <c r="A9" s="71" t="s">
        <v>2602</v>
      </c>
      <c r="B9" s="71" t="s">
        <v>2603</v>
      </c>
      <c r="C9" s="72">
        <v>45912.560670474537</v>
      </c>
      <c r="D9" s="72">
        <v>45912.560670474537</v>
      </c>
      <c r="E9" s="71" t="s">
        <v>2604</v>
      </c>
      <c r="F9" s="71" t="s">
        <v>2619</v>
      </c>
      <c r="G9" s="71" t="s">
        <v>2620</v>
      </c>
      <c r="H9" s="71" t="s">
        <v>2621</v>
      </c>
      <c r="I9" s="71" t="s">
        <v>2604</v>
      </c>
      <c r="J9" s="71" t="s">
        <v>774</v>
      </c>
      <c r="K9" s="71" t="s">
        <v>2622</v>
      </c>
      <c r="L9" s="71" t="s">
        <v>2604</v>
      </c>
      <c r="M9" s="71" t="s">
        <v>2623</v>
      </c>
      <c r="N9" s="71" t="s">
        <v>2623</v>
      </c>
      <c r="O9" s="71" t="s">
        <v>2612</v>
      </c>
      <c r="P9" s="71" t="s">
        <v>2604</v>
      </c>
      <c r="Q9" s="71" t="s">
        <v>2624</v>
      </c>
      <c r="R9" s="71" t="s">
        <v>2604</v>
      </c>
      <c r="S9" s="71" t="s">
        <v>2604</v>
      </c>
      <c r="T9" s="71" t="s">
        <v>2604</v>
      </c>
      <c r="U9" s="71" t="s">
        <v>2604</v>
      </c>
      <c r="V9" s="71" t="s">
        <v>2631</v>
      </c>
    </row>
    <row r="10" spans="1:22">
      <c r="A10" s="71" t="s">
        <v>2602</v>
      </c>
      <c r="B10" s="71" t="s">
        <v>2603</v>
      </c>
      <c r="C10" s="72">
        <v>45912.560670474537</v>
      </c>
      <c r="D10" s="72">
        <v>45912.560670474537</v>
      </c>
      <c r="E10" s="71" t="s">
        <v>2604</v>
      </c>
      <c r="F10" s="71" t="s">
        <v>2619</v>
      </c>
      <c r="G10" s="71" t="s">
        <v>2620</v>
      </c>
      <c r="H10" s="71" t="s">
        <v>2621</v>
      </c>
      <c r="I10" s="71" t="s">
        <v>2604</v>
      </c>
      <c r="J10" s="71" t="s">
        <v>774</v>
      </c>
      <c r="K10" s="71" t="s">
        <v>2622</v>
      </c>
      <c r="L10" s="71" t="s">
        <v>2604</v>
      </c>
      <c r="M10" s="71" t="s">
        <v>2623</v>
      </c>
      <c r="N10" s="71" t="s">
        <v>2623</v>
      </c>
      <c r="O10" s="71" t="s">
        <v>2612</v>
      </c>
      <c r="P10" s="71" t="s">
        <v>2604</v>
      </c>
      <c r="Q10" s="71" t="s">
        <v>2624</v>
      </c>
      <c r="R10" s="71" t="s">
        <v>2604</v>
      </c>
      <c r="S10" s="71" t="s">
        <v>2604</v>
      </c>
      <c r="T10" s="71" t="s">
        <v>2604</v>
      </c>
      <c r="U10" s="71" t="s">
        <v>2604</v>
      </c>
      <c r="V10" s="71" t="s">
        <v>2632</v>
      </c>
    </row>
    <row r="11" spans="1:22">
      <c r="A11" s="71" t="s">
        <v>2602</v>
      </c>
      <c r="B11" s="71" t="s">
        <v>2603</v>
      </c>
      <c r="C11" s="72">
        <v>45912.560670474537</v>
      </c>
      <c r="D11" s="72">
        <v>45912.560670474537</v>
      </c>
      <c r="E11" s="71" t="s">
        <v>2604</v>
      </c>
      <c r="F11" s="71" t="s">
        <v>2619</v>
      </c>
      <c r="G11" s="71" t="s">
        <v>2620</v>
      </c>
      <c r="H11" s="71" t="s">
        <v>2621</v>
      </c>
      <c r="I11" s="71" t="s">
        <v>2604</v>
      </c>
      <c r="J11" s="71" t="s">
        <v>774</v>
      </c>
      <c r="K11" s="71" t="s">
        <v>2622</v>
      </c>
      <c r="L11" s="71" t="s">
        <v>2604</v>
      </c>
      <c r="M11" s="71" t="s">
        <v>2623</v>
      </c>
      <c r="N11" s="71" t="s">
        <v>2623</v>
      </c>
      <c r="O11" s="71" t="s">
        <v>2612</v>
      </c>
      <c r="P11" s="71" t="s">
        <v>2604</v>
      </c>
      <c r="Q11" s="71" t="s">
        <v>2624</v>
      </c>
      <c r="R11" s="71" t="s">
        <v>2604</v>
      </c>
      <c r="S11" s="71" t="s">
        <v>2604</v>
      </c>
      <c r="T11" s="71" t="s">
        <v>2604</v>
      </c>
      <c r="U11" s="71" t="s">
        <v>2604</v>
      </c>
      <c r="V11" s="71" t="s">
        <v>2633</v>
      </c>
    </row>
    <row r="12" spans="1:22">
      <c r="A12" s="71" t="s">
        <v>2602</v>
      </c>
      <c r="B12" s="71" t="s">
        <v>2603</v>
      </c>
      <c r="C12" s="72">
        <v>45912.515930844907</v>
      </c>
      <c r="D12" s="72">
        <v>45912.515930844907</v>
      </c>
      <c r="E12" s="71" t="s">
        <v>2604</v>
      </c>
      <c r="F12" s="71" t="s">
        <v>2605</v>
      </c>
      <c r="G12" s="71" t="s">
        <v>2606</v>
      </c>
      <c r="H12" s="71" t="s">
        <v>2607</v>
      </c>
      <c r="I12" s="71" t="s">
        <v>2604</v>
      </c>
      <c r="J12" s="71" t="s">
        <v>813</v>
      </c>
      <c r="K12" s="71" t="s">
        <v>2608</v>
      </c>
      <c r="L12" s="71" t="s">
        <v>2609</v>
      </c>
      <c r="M12" s="71" t="s">
        <v>2610</v>
      </c>
      <c r="N12" s="71" t="s">
        <v>2611</v>
      </c>
      <c r="O12" s="71" t="s">
        <v>2612</v>
      </c>
      <c r="P12" s="71" t="s">
        <v>2604</v>
      </c>
      <c r="Q12" s="71" t="s">
        <v>2613</v>
      </c>
      <c r="R12" s="71" t="s">
        <v>2604</v>
      </c>
      <c r="S12" s="71" t="s">
        <v>2604</v>
      </c>
      <c r="T12" s="71" t="s">
        <v>2604</v>
      </c>
      <c r="U12" s="71" t="s">
        <v>2604</v>
      </c>
      <c r="V12" s="71" t="s">
        <v>2634</v>
      </c>
    </row>
    <row r="13" spans="1:22">
      <c r="A13" s="71" t="s">
        <v>2602</v>
      </c>
      <c r="B13" s="71" t="s">
        <v>2603</v>
      </c>
      <c r="C13" s="72">
        <v>45912.560670474537</v>
      </c>
      <c r="D13" s="72">
        <v>45912.560670474537</v>
      </c>
      <c r="E13" s="71" t="s">
        <v>2604</v>
      </c>
      <c r="F13" s="71" t="s">
        <v>2619</v>
      </c>
      <c r="G13" s="71" t="s">
        <v>2620</v>
      </c>
      <c r="H13" s="71" t="s">
        <v>2621</v>
      </c>
      <c r="I13" s="71" t="s">
        <v>2604</v>
      </c>
      <c r="J13" s="71" t="s">
        <v>774</v>
      </c>
      <c r="K13" s="71" t="s">
        <v>2622</v>
      </c>
      <c r="L13" s="71" t="s">
        <v>2604</v>
      </c>
      <c r="M13" s="71" t="s">
        <v>2623</v>
      </c>
      <c r="N13" s="71" t="s">
        <v>2623</v>
      </c>
      <c r="O13" s="71" t="s">
        <v>2612</v>
      </c>
      <c r="P13" s="71" t="s">
        <v>2604</v>
      </c>
      <c r="Q13" s="71" t="s">
        <v>2624</v>
      </c>
      <c r="R13" s="71" t="s">
        <v>2604</v>
      </c>
      <c r="S13" s="71" t="s">
        <v>2604</v>
      </c>
      <c r="T13" s="71" t="s">
        <v>2604</v>
      </c>
      <c r="U13" s="71" t="s">
        <v>2604</v>
      </c>
      <c r="V13" s="71" t="s">
        <v>2635</v>
      </c>
    </row>
    <row r="14" spans="1:22">
      <c r="A14" s="71" t="s">
        <v>2602</v>
      </c>
      <c r="B14" s="71" t="s">
        <v>2603</v>
      </c>
      <c r="C14" s="72">
        <v>45912.515930844907</v>
      </c>
      <c r="D14" s="72">
        <v>45912.515930844907</v>
      </c>
      <c r="E14" s="71" t="s">
        <v>2604</v>
      </c>
      <c r="F14" s="71" t="s">
        <v>2605</v>
      </c>
      <c r="G14" s="71" t="s">
        <v>2606</v>
      </c>
      <c r="H14" s="71" t="s">
        <v>2607</v>
      </c>
      <c r="I14" s="71" t="s">
        <v>2604</v>
      </c>
      <c r="J14" s="71" t="s">
        <v>813</v>
      </c>
      <c r="K14" s="71" t="s">
        <v>2608</v>
      </c>
      <c r="L14" s="71" t="s">
        <v>2609</v>
      </c>
      <c r="M14" s="71" t="s">
        <v>2610</v>
      </c>
      <c r="N14" s="71" t="s">
        <v>2611</v>
      </c>
      <c r="O14" s="71" t="s">
        <v>2612</v>
      </c>
      <c r="P14" s="71" t="s">
        <v>2604</v>
      </c>
      <c r="Q14" s="71" t="s">
        <v>2613</v>
      </c>
      <c r="R14" s="71" t="s">
        <v>2604</v>
      </c>
      <c r="S14" s="71" t="s">
        <v>2604</v>
      </c>
      <c r="T14" s="71" t="s">
        <v>2604</v>
      </c>
      <c r="U14" s="71" t="s">
        <v>2604</v>
      </c>
      <c r="V14" s="71" t="s">
        <v>2618</v>
      </c>
    </row>
    <row r="15" spans="1:22">
      <c r="A15" s="71" t="s">
        <v>2602</v>
      </c>
      <c r="B15" s="71" t="s">
        <v>2603</v>
      </c>
      <c r="C15" s="72">
        <v>45912.515930844907</v>
      </c>
      <c r="D15" s="72">
        <v>45912.515930844907</v>
      </c>
      <c r="E15" s="71" t="s">
        <v>2604</v>
      </c>
      <c r="F15" s="71" t="s">
        <v>2605</v>
      </c>
      <c r="G15" s="71" t="s">
        <v>2606</v>
      </c>
      <c r="H15" s="71" t="s">
        <v>2607</v>
      </c>
      <c r="I15" s="71" t="s">
        <v>2604</v>
      </c>
      <c r="J15" s="71" t="s">
        <v>813</v>
      </c>
      <c r="K15" s="71" t="s">
        <v>2608</v>
      </c>
      <c r="L15" s="71" t="s">
        <v>2609</v>
      </c>
      <c r="M15" s="71" t="s">
        <v>2610</v>
      </c>
      <c r="N15" s="71" t="s">
        <v>2611</v>
      </c>
      <c r="O15" s="71" t="s">
        <v>2612</v>
      </c>
      <c r="P15" s="71" t="s">
        <v>2604</v>
      </c>
      <c r="Q15" s="71" t="s">
        <v>2613</v>
      </c>
      <c r="R15" s="71" t="s">
        <v>2604</v>
      </c>
      <c r="S15" s="71" t="s">
        <v>2604</v>
      </c>
      <c r="T15" s="71" t="s">
        <v>2604</v>
      </c>
      <c r="U15" s="71" t="s">
        <v>2604</v>
      </c>
      <c r="V15" s="71" t="s">
        <v>2635</v>
      </c>
    </row>
    <row r="16" spans="1:22">
      <c r="A16" s="71" t="s">
        <v>2602</v>
      </c>
      <c r="B16" s="71" t="s">
        <v>2603</v>
      </c>
      <c r="C16" s="72">
        <v>45912.577526307869</v>
      </c>
      <c r="D16" s="72">
        <v>45912.577526307869</v>
      </c>
      <c r="E16" s="71" t="s">
        <v>2604</v>
      </c>
      <c r="F16" s="71" t="s">
        <v>2626</v>
      </c>
      <c r="G16" s="71" t="s">
        <v>2627</v>
      </c>
      <c r="H16" s="71" t="s">
        <v>2628</v>
      </c>
      <c r="I16" s="71" t="s">
        <v>2604</v>
      </c>
      <c r="J16" s="71" t="s">
        <v>813</v>
      </c>
      <c r="K16" s="71" t="s">
        <v>2608</v>
      </c>
      <c r="L16" s="71" t="s">
        <v>2609</v>
      </c>
      <c r="M16" s="71" t="s">
        <v>2610</v>
      </c>
      <c r="N16" s="71" t="s">
        <v>2629</v>
      </c>
      <c r="O16" s="71" t="s">
        <v>2612</v>
      </c>
      <c r="P16" s="71" t="s">
        <v>2604</v>
      </c>
      <c r="Q16" s="71" t="s">
        <v>2630</v>
      </c>
      <c r="R16" s="71" t="s">
        <v>2604</v>
      </c>
      <c r="S16" s="71" t="s">
        <v>2604</v>
      </c>
      <c r="T16" s="71" t="s">
        <v>2604</v>
      </c>
      <c r="U16" s="71" t="s">
        <v>2604</v>
      </c>
      <c r="V16" s="71" t="s">
        <v>2636</v>
      </c>
    </row>
    <row r="17" spans="1:22">
      <c r="A17" s="71" t="s">
        <v>2602</v>
      </c>
      <c r="B17" s="71" t="s">
        <v>2603</v>
      </c>
      <c r="C17" s="72">
        <v>45912.560670474537</v>
      </c>
      <c r="D17" s="72">
        <v>45912.560670474537</v>
      </c>
      <c r="E17" s="71" t="s">
        <v>2604</v>
      </c>
      <c r="F17" s="71" t="s">
        <v>2619</v>
      </c>
      <c r="G17" s="71" t="s">
        <v>2620</v>
      </c>
      <c r="H17" s="71" t="s">
        <v>2621</v>
      </c>
      <c r="I17" s="71" t="s">
        <v>2604</v>
      </c>
      <c r="J17" s="71" t="s">
        <v>774</v>
      </c>
      <c r="K17" s="71" t="s">
        <v>2622</v>
      </c>
      <c r="L17" s="71" t="s">
        <v>2604</v>
      </c>
      <c r="M17" s="71" t="s">
        <v>2623</v>
      </c>
      <c r="N17" s="71" t="s">
        <v>2623</v>
      </c>
      <c r="O17" s="71" t="s">
        <v>2612</v>
      </c>
      <c r="P17" s="71" t="s">
        <v>2604</v>
      </c>
      <c r="Q17" s="71" t="s">
        <v>2624</v>
      </c>
      <c r="R17" s="71" t="s">
        <v>2604</v>
      </c>
      <c r="S17" s="71" t="s">
        <v>2604</v>
      </c>
      <c r="T17" s="71" t="s">
        <v>2604</v>
      </c>
      <c r="U17" s="71" t="s">
        <v>2604</v>
      </c>
      <c r="V17" s="71" t="s">
        <v>2634</v>
      </c>
    </row>
    <row r="18" spans="1:22">
      <c r="A18" s="71" t="s">
        <v>2602</v>
      </c>
      <c r="B18" s="71" t="s">
        <v>2603</v>
      </c>
      <c r="C18" s="72">
        <v>45912.515930844907</v>
      </c>
      <c r="D18" s="72">
        <v>45912.515930844907</v>
      </c>
      <c r="E18" s="71" t="s">
        <v>2604</v>
      </c>
      <c r="F18" s="71" t="s">
        <v>2605</v>
      </c>
      <c r="G18" s="71" t="s">
        <v>2606</v>
      </c>
      <c r="H18" s="71" t="s">
        <v>2607</v>
      </c>
      <c r="I18" s="71" t="s">
        <v>2604</v>
      </c>
      <c r="J18" s="71" t="s">
        <v>813</v>
      </c>
      <c r="K18" s="71" t="s">
        <v>2608</v>
      </c>
      <c r="L18" s="71" t="s">
        <v>2609</v>
      </c>
      <c r="M18" s="71" t="s">
        <v>2610</v>
      </c>
      <c r="N18" s="71" t="s">
        <v>2611</v>
      </c>
      <c r="O18" s="71" t="s">
        <v>2612</v>
      </c>
      <c r="P18" s="71" t="s">
        <v>2604</v>
      </c>
      <c r="Q18" s="71" t="s">
        <v>2613</v>
      </c>
      <c r="R18" s="71" t="s">
        <v>2604</v>
      </c>
      <c r="S18" s="71" t="s">
        <v>2604</v>
      </c>
      <c r="T18" s="71" t="s">
        <v>2604</v>
      </c>
      <c r="U18" s="71" t="s">
        <v>2604</v>
      </c>
      <c r="V18" s="71" t="s">
        <v>2631</v>
      </c>
    </row>
    <row r="19" spans="1:22">
      <c r="A19" s="71" t="s">
        <v>2602</v>
      </c>
      <c r="B19" s="71" t="s">
        <v>2603</v>
      </c>
      <c r="C19" s="72">
        <v>45912.450159282409</v>
      </c>
      <c r="D19" s="72">
        <v>45912.450159282409</v>
      </c>
      <c r="E19" s="71" t="s">
        <v>2604</v>
      </c>
      <c r="F19" s="71" t="s">
        <v>2614</v>
      </c>
      <c r="G19" s="71" t="s">
        <v>2615</v>
      </c>
      <c r="H19" s="71" t="s">
        <v>2616</v>
      </c>
      <c r="I19" s="71" t="s">
        <v>2604</v>
      </c>
      <c r="J19" s="71" t="s">
        <v>813</v>
      </c>
      <c r="K19" s="71" t="s">
        <v>2608</v>
      </c>
      <c r="L19" s="71" t="s">
        <v>2609</v>
      </c>
      <c r="M19" s="71" t="s">
        <v>2610</v>
      </c>
      <c r="N19" s="71" t="s">
        <v>2610</v>
      </c>
      <c r="O19" s="71" t="s">
        <v>2612</v>
      </c>
      <c r="P19" s="71" t="s">
        <v>2604</v>
      </c>
      <c r="Q19" s="71" t="s">
        <v>2617</v>
      </c>
      <c r="R19" s="71" t="s">
        <v>2604</v>
      </c>
      <c r="S19" s="71" t="s">
        <v>2604</v>
      </c>
      <c r="T19" s="71" t="s">
        <v>2604</v>
      </c>
      <c r="U19" s="71" t="s">
        <v>2604</v>
      </c>
      <c r="V19" s="71" t="s">
        <v>2635</v>
      </c>
    </row>
    <row r="20" spans="1:22">
      <c r="A20" s="71" t="s">
        <v>2602</v>
      </c>
      <c r="B20" s="71" t="s">
        <v>2603</v>
      </c>
      <c r="C20" s="72">
        <v>45912.450159282409</v>
      </c>
      <c r="D20" s="72">
        <v>45912.450159282409</v>
      </c>
      <c r="E20" s="71" t="s">
        <v>2604</v>
      </c>
      <c r="F20" s="71" t="s">
        <v>2614</v>
      </c>
      <c r="G20" s="71" t="s">
        <v>2615</v>
      </c>
      <c r="H20" s="71" t="s">
        <v>2616</v>
      </c>
      <c r="I20" s="71" t="s">
        <v>2604</v>
      </c>
      <c r="J20" s="71" t="s">
        <v>813</v>
      </c>
      <c r="K20" s="71" t="s">
        <v>2608</v>
      </c>
      <c r="L20" s="71" t="s">
        <v>2609</v>
      </c>
      <c r="M20" s="71" t="s">
        <v>2610</v>
      </c>
      <c r="N20" s="71" t="s">
        <v>2610</v>
      </c>
      <c r="O20" s="71" t="s">
        <v>2612</v>
      </c>
      <c r="P20" s="71" t="s">
        <v>2604</v>
      </c>
      <c r="Q20" s="71" t="s">
        <v>2617</v>
      </c>
      <c r="R20" s="71" t="s">
        <v>2604</v>
      </c>
      <c r="S20" s="71" t="s">
        <v>2604</v>
      </c>
      <c r="T20" s="71" t="s">
        <v>2604</v>
      </c>
      <c r="U20" s="71" t="s">
        <v>2604</v>
      </c>
      <c r="V20" s="71" t="s">
        <v>2634</v>
      </c>
    </row>
    <row r="21" spans="1:22">
      <c r="A21" s="71" t="s">
        <v>2602</v>
      </c>
      <c r="B21" s="71" t="s">
        <v>2603</v>
      </c>
      <c r="C21" s="72">
        <v>45912.450159282409</v>
      </c>
      <c r="D21" s="72">
        <v>45912.450159282409</v>
      </c>
      <c r="E21" s="71" t="s">
        <v>2604</v>
      </c>
      <c r="F21" s="71" t="s">
        <v>2614</v>
      </c>
      <c r="G21" s="71" t="s">
        <v>2615</v>
      </c>
      <c r="H21" s="71" t="s">
        <v>2616</v>
      </c>
      <c r="I21" s="71" t="s">
        <v>2604</v>
      </c>
      <c r="J21" s="71" t="s">
        <v>813</v>
      </c>
      <c r="K21" s="71" t="s">
        <v>2608</v>
      </c>
      <c r="L21" s="71" t="s">
        <v>2609</v>
      </c>
      <c r="M21" s="71" t="s">
        <v>2610</v>
      </c>
      <c r="N21" s="71" t="s">
        <v>2610</v>
      </c>
      <c r="O21" s="71" t="s">
        <v>2612</v>
      </c>
      <c r="P21" s="71" t="s">
        <v>2604</v>
      </c>
      <c r="Q21" s="71" t="s">
        <v>2617</v>
      </c>
      <c r="R21" s="71" t="s">
        <v>2604</v>
      </c>
      <c r="S21" s="71" t="s">
        <v>2604</v>
      </c>
      <c r="T21" s="71" t="s">
        <v>2604</v>
      </c>
      <c r="U21" s="71" t="s">
        <v>2604</v>
      </c>
      <c r="V21" s="71" t="s">
        <v>2632</v>
      </c>
    </row>
    <row r="22" spans="1:22">
      <c r="A22" s="71" t="s">
        <v>2602</v>
      </c>
      <c r="B22" s="71" t="s">
        <v>1096</v>
      </c>
      <c r="C22" s="72">
        <v>46065.579825624998</v>
      </c>
      <c r="D22" s="72">
        <v>46065.579825624998</v>
      </c>
      <c r="E22" s="71" t="s">
        <v>365</v>
      </c>
      <c r="F22" s="71" t="s">
        <v>1098</v>
      </c>
      <c r="G22" s="71" t="s">
        <v>1099</v>
      </c>
      <c r="H22" s="71" t="s">
        <v>1097</v>
      </c>
      <c r="I22" s="71" t="s">
        <v>2604</v>
      </c>
      <c r="J22" s="71" t="s">
        <v>774</v>
      </c>
      <c r="K22" s="71" t="s">
        <v>2637</v>
      </c>
      <c r="L22" s="71" t="s">
        <v>2604</v>
      </c>
      <c r="M22" s="71" t="s">
        <v>2638</v>
      </c>
      <c r="N22" s="71" t="s">
        <v>2639</v>
      </c>
      <c r="O22" s="71" t="s">
        <v>2640</v>
      </c>
      <c r="P22" s="71" t="s">
        <v>2604</v>
      </c>
      <c r="Q22" s="71" t="s">
        <v>2641</v>
      </c>
      <c r="R22" s="71" t="s">
        <v>2604</v>
      </c>
      <c r="S22" s="71" t="s">
        <v>2604</v>
      </c>
      <c r="T22" s="71" t="s">
        <v>2604</v>
      </c>
      <c r="U22" s="71" t="s">
        <v>2604</v>
      </c>
      <c r="V22" s="71" t="s">
        <v>2635</v>
      </c>
    </row>
    <row r="23" spans="1:22">
      <c r="A23" s="71" t="s">
        <v>2602</v>
      </c>
      <c r="B23" s="71" t="s">
        <v>2603</v>
      </c>
      <c r="C23" s="72">
        <v>45912.560670474537</v>
      </c>
      <c r="D23" s="72">
        <v>45912.560670474537</v>
      </c>
      <c r="E23" s="71" t="s">
        <v>2604</v>
      </c>
      <c r="F23" s="71" t="s">
        <v>2619</v>
      </c>
      <c r="G23" s="71" t="s">
        <v>2620</v>
      </c>
      <c r="H23" s="71" t="s">
        <v>2621</v>
      </c>
      <c r="I23" s="71" t="s">
        <v>2604</v>
      </c>
      <c r="J23" s="71" t="s">
        <v>774</v>
      </c>
      <c r="K23" s="71" t="s">
        <v>2622</v>
      </c>
      <c r="L23" s="71" t="s">
        <v>2604</v>
      </c>
      <c r="M23" s="71" t="s">
        <v>2623</v>
      </c>
      <c r="N23" s="71" t="s">
        <v>2623</v>
      </c>
      <c r="O23" s="71" t="s">
        <v>2612</v>
      </c>
      <c r="P23" s="71" t="s">
        <v>2604</v>
      </c>
      <c r="Q23" s="71" t="s">
        <v>2624</v>
      </c>
      <c r="R23" s="71" t="s">
        <v>2604</v>
      </c>
      <c r="S23" s="71" t="s">
        <v>2604</v>
      </c>
      <c r="T23" s="71" t="s">
        <v>2604</v>
      </c>
      <c r="U23" s="71" t="s">
        <v>2604</v>
      </c>
      <c r="V23" s="71" t="s">
        <v>2636</v>
      </c>
    </row>
    <row r="24" spans="1:22">
      <c r="A24" s="71" t="s">
        <v>2602</v>
      </c>
      <c r="B24" s="71" t="s">
        <v>2603</v>
      </c>
      <c r="C24" s="72">
        <v>45912.577526307869</v>
      </c>
      <c r="D24" s="72">
        <v>45912.577526307869</v>
      </c>
      <c r="E24" s="71" t="s">
        <v>2604</v>
      </c>
      <c r="F24" s="71" t="s">
        <v>2626</v>
      </c>
      <c r="G24" s="71" t="s">
        <v>2627</v>
      </c>
      <c r="H24" s="71" t="s">
        <v>2628</v>
      </c>
      <c r="I24" s="71" t="s">
        <v>2604</v>
      </c>
      <c r="J24" s="71" t="s">
        <v>813</v>
      </c>
      <c r="K24" s="71" t="s">
        <v>2608</v>
      </c>
      <c r="L24" s="71" t="s">
        <v>2609</v>
      </c>
      <c r="M24" s="71" t="s">
        <v>2610</v>
      </c>
      <c r="N24" s="71" t="s">
        <v>2629</v>
      </c>
      <c r="O24" s="71" t="s">
        <v>2612</v>
      </c>
      <c r="P24" s="71" t="s">
        <v>2604</v>
      </c>
      <c r="Q24" s="71" t="s">
        <v>2630</v>
      </c>
      <c r="R24" s="71" t="s">
        <v>2604</v>
      </c>
      <c r="S24" s="71" t="s">
        <v>2604</v>
      </c>
      <c r="T24" s="71" t="s">
        <v>2604</v>
      </c>
      <c r="U24" s="71" t="s">
        <v>2604</v>
      </c>
      <c r="V24" s="71" t="s">
        <v>2604</v>
      </c>
    </row>
    <row r="25" spans="1:22">
      <c r="A25" s="71" t="s">
        <v>2602</v>
      </c>
      <c r="B25" s="71" t="s">
        <v>2603</v>
      </c>
      <c r="C25" s="72">
        <v>45912.577526307869</v>
      </c>
      <c r="D25" s="72">
        <v>45912.577526307869</v>
      </c>
      <c r="E25" s="71" t="s">
        <v>2604</v>
      </c>
      <c r="F25" s="71" t="s">
        <v>2626</v>
      </c>
      <c r="G25" s="71" t="s">
        <v>2627</v>
      </c>
      <c r="H25" s="71" t="s">
        <v>2628</v>
      </c>
      <c r="I25" s="71" t="s">
        <v>2604</v>
      </c>
      <c r="J25" s="71" t="s">
        <v>813</v>
      </c>
      <c r="K25" s="71" t="s">
        <v>2608</v>
      </c>
      <c r="L25" s="71" t="s">
        <v>2609</v>
      </c>
      <c r="M25" s="71" t="s">
        <v>2610</v>
      </c>
      <c r="N25" s="71" t="s">
        <v>2629</v>
      </c>
      <c r="O25" s="71" t="s">
        <v>2612</v>
      </c>
      <c r="P25" s="71" t="s">
        <v>2604</v>
      </c>
      <c r="Q25" s="71" t="s">
        <v>2630</v>
      </c>
      <c r="R25" s="71" t="s">
        <v>2604</v>
      </c>
      <c r="S25" s="71" t="s">
        <v>2604</v>
      </c>
      <c r="T25" s="71" t="s">
        <v>2604</v>
      </c>
      <c r="U25" s="71" t="s">
        <v>2604</v>
      </c>
      <c r="V25" s="71" t="s">
        <v>2633</v>
      </c>
    </row>
    <row r="26" spans="1:22">
      <c r="A26" s="71" t="s">
        <v>2602</v>
      </c>
      <c r="B26" s="71" t="s">
        <v>2603</v>
      </c>
      <c r="C26" s="72">
        <v>45912.515930844907</v>
      </c>
      <c r="D26" s="72">
        <v>45912.515930844907</v>
      </c>
      <c r="E26" s="71" t="s">
        <v>2604</v>
      </c>
      <c r="F26" s="71" t="s">
        <v>2605</v>
      </c>
      <c r="G26" s="71" t="s">
        <v>2606</v>
      </c>
      <c r="H26" s="71" t="s">
        <v>2607</v>
      </c>
      <c r="I26" s="71" t="s">
        <v>2604</v>
      </c>
      <c r="J26" s="71" t="s">
        <v>813</v>
      </c>
      <c r="K26" s="71" t="s">
        <v>2608</v>
      </c>
      <c r="L26" s="71" t="s">
        <v>2609</v>
      </c>
      <c r="M26" s="71" t="s">
        <v>2610</v>
      </c>
      <c r="N26" s="71" t="s">
        <v>2611</v>
      </c>
      <c r="O26" s="71" t="s">
        <v>2612</v>
      </c>
      <c r="P26" s="71" t="s">
        <v>2604</v>
      </c>
      <c r="Q26" s="71" t="s">
        <v>2613</v>
      </c>
      <c r="R26" s="71" t="s">
        <v>2604</v>
      </c>
      <c r="S26" s="71" t="s">
        <v>2604</v>
      </c>
      <c r="T26" s="71" t="s">
        <v>2604</v>
      </c>
      <c r="U26" s="71" t="s">
        <v>2604</v>
      </c>
      <c r="V26" s="71" t="s">
        <v>2633</v>
      </c>
    </row>
    <row r="27" spans="1:22">
      <c r="A27" s="71" t="s">
        <v>2602</v>
      </c>
      <c r="B27" s="71" t="s">
        <v>2603</v>
      </c>
      <c r="C27" s="72">
        <v>45912.515930844907</v>
      </c>
      <c r="D27" s="72">
        <v>45912.515930844907</v>
      </c>
      <c r="E27" s="71" t="s">
        <v>2604</v>
      </c>
      <c r="F27" s="71" t="s">
        <v>2605</v>
      </c>
      <c r="G27" s="71" t="s">
        <v>2606</v>
      </c>
      <c r="H27" s="71" t="s">
        <v>2607</v>
      </c>
      <c r="I27" s="71" t="s">
        <v>2604</v>
      </c>
      <c r="J27" s="71" t="s">
        <v>813</v>
      </c>
      <c r="K27" s="71" t="s">
        <v>2608</v>
      </c>
      <c r="L27" s="71" t="s">
        <v>2609</v>
      </c>
      <c r="M27" s="71" t="s">
        <v>2610</v>
      </c>
      <c r="N27" s="71" t="s">
        <v>2611</v>
      </c>
      <c r="O27" s="71" t="s">
        <v>2612</v>
      </c>
      <c r="P27" s="71" t="s">
        <v>2604</v>
      </c>
      <c r="Q27" s="71" t="s">
        <v>2613</v>
      </c>
      <c r="R27" s="71" t="s">
        <v>2604</v>
      </c>
      <c r="S27" s="71" t="s">
        <v>2604</v>
      </c>
      <c r="T27" s="71" t="s">
        <v>2604</v>
      </c>
      <c r="U27" s="71" t="s">
        <v>2604</v>
      </c>
      <c r="V27" s="71" t="s">
        <v>2632</v>
      </c>
    </row>
    <row r="28" spans="1:22">
      <c r="A28" s="71" t="s">
        <v>2602</v>
      </c>
      <c r="B28" s="71" t="s">
        <v>2603</v>
      </c>
      <c r="C28" s="72">
        <v>45912.450159282409</v>
      </c>
      <c r="D28" s="72">
        <v>45912.450159282409</v>
      </c>
      <c r="E28" s="71" t="s">
        <v>2604</v>
      </c>
      <c r="F28" s="71" t="s">
        <v>2614</v>
      </c>
      <c r="G28" s="71" t="s">
        <v>2615</v>
      </c>
      <c r="H28" s="71" t="s">
        <v>2616</v>
      </c>
      <c r="I28" s="71" t="s">
        <v>2604</v>
      </c>
      <c r="J28" s="71" t="s">
        <v>813</v>
      </c>
      <c r="K28" s="71" t="s">
        <v>2608</v>
      </c>
      <c r="L28" s="71" t="s">
        <v>2609</v>
      </c>
      <c r="M28" s="71" t="s">
        <v>2610</v>
      </c>
      <c r="N28" s="71" t="s">
        <v>2610</v>
      </c>
      <c r="O28" s="71" t="s">
        <v>2612</v>
      </c>
      <c r="P28" s="71" t="s">
        <v>2604</v>
      </c>
      <c r="Q28" s="71" t="s">
        <v>2617</v>
      </c>
      <c r="R28" s="71" t="s">
        <v>2604</v>
      </c>
      <c r="S28" s="71" t="s">
        <v>2604</v>
      </c>
      <c r="T28" s="71" t="s">
        <v>2604</v>
      </c>
      <c r="U28" s="71" t="s">
        <v>2604</v>
      </c>
      <c r="V28" s="71" t="s">
        <v>2642</v>
      </c>
    </row>
    <row r="29" spans="1:22">
      <c r="A29" s="71" t="s">
        <v>2602</v>
      </c>
      <c r="B29" s="71" t="s">
        <v>2603</v>
      </c>
      <c r="C29" s="72">
        <v>45912.450159282409</v>
      </c>
      <c r="D29" s="72">
        <v>45912.450159282409</v>
      </c>
      <c r="E29" s="71" t="s">
        <v>2604</v>
      </c>
      <c r="F29" s="71" t="s">
        <v>2614</v>
      </c>
      <c r="G29" s="71" t="s">
        <v>2615</v>
      </c>
      <c r="H29" s="71" t="s">
        <v>2616</v>
      </c>
      <c r="I29" s="71" t="s">
        <v>2604</v>
      </c>
      <c r="J29" s="71" t="s">
        <v>813</v>
      </c>
      <c r="K29" s="71" t="s">
        <v>2608</v>
      </c>
      <c r="L29" s="71" t="s">
        <v>2609</v>
      </c>
      <c r="M29" s="71" t="s">
        <v>2610</v>
      </c>
      <c r="N29" s="71" t="s">
        <v>2610</v>
      </c>
      <c r="O29" s="71" t="s">
        <v>2612</v>
      </c>
      <c r="P29" s="71" t="s">
        <v>2604</v>
      </c>
      <c r="Q29" s="71" t="s">
        <v>2617</v>
      </c>
      <c r="R29" s="71" t="s">
        <v>2604</v>
      </c>
      <c r="S29" s="71" t="s">
        <v>2604</v>
      </c>
      <c r="T29" s="71" t="s">
        <v>2604</v>
      </c>
      <c r="U29" s="71" t="s">
        <v>2604</v>
      </c>
      <c r="V29" s="71" t="s">
        <v>2604</v>
      </c>
    </row>
    <row r="30" spans="1:22">
      <c r="A30" s="71" t="s">
        <v>2602</v>
      </c>
      <c r="B30" s="71" t="s">
        <v>2603</v>
      </c>
      <c r="C30" s="72">
        <v>45912.577526307869</v>
      </c>
      <c r="D30" s="72">
        <v>45912.577526307869</v>
      </c>
      <c r="E30" s="71" t="s">
        <v>2604</v>
      </c>
      <c r="F30" s="71" t="s">
        <v>2626</v>
      </c>
      <c r="G30" s="71" t="s">
        <v>2627</v>
      </c>
      <c r="H30" s="71" t="s">
        <v>2628</v>
      </c>
      <c r="I30" s="71" t="s">
        <v>2604</v>
      </c>
      <c r="J30" s="71" t="s">
        <v>813</v>
      </c>
      <c r="K30" s="71" t="s">
        <v>2608</v>
      </c>
      <c r="L30" s="71" t="s">
        <v>2609</v>
      </c>
      <c r="M30" s="71" t="s">
        <v>2610</v>
      </c>
      <c r="N30" s="71" t="s">
        <v>2629</v>
      </c>
      <c r="O30" s="71" t="s">
        <v>2612</v>
      </c>
      <c r="P30" s="71" t="s">
        <v>2604</v>
      </c>
      <c r="Q30" s="71" t="s">
        <v>2630</v>
      </c>
      <c r="R30" s="71" t="s">
        <v>2604</v>
      </c>
      <c r="S30" s="71" t="s">
        <v>2604</v>
      </c>
      <c r="T30" s="71" t="s">
        <v>2604</v>
      </c>
      <c r="U30" s="71" t="s">
        <v>2604</v>
      </c>
      <c r="V30" s="71" t="s">
        <v>2635</v>
      </c>
    </row>
    <row r="31" spans="1:22">
      <c r="A31" s="71" t="s">
        <v>2602</v>
      </c>
      <c r="B31" s="71" t="s">
        <v>2603</v>
      </c>
      <c r="C31" s="72">
        <v>45912.577526307869</v>
      </c>
      <c r="D31" s="72">
        <v>45912.577526307869</v>
      </c>
      <c r="E31" s="71" t="s">
        <v>2604</v>
      </c>
      <c r="F31" s="71" t="s">
        <v>2626</v>
      </c>
      <c r="G31" s="71" t="s">
        <v>2627</v>
      </c>
      <c r="H31" s="71" t="s">
        <v>2628</v>
      </c>
      <c r="I31" s="71" t="s">
        <v>2604</v>
      </c>
      <c r="J31" s="71" t="s">
        <v>813</v>
      </c>
      <c r="K31" s="71" t="s">
        <v>2608</v>
      </c>
      <c r="L31" s="71" t="s">
        <v>2609</v>
      </c>
      <c r="M31" s="71" t="s">
        <v>2610</v>
      </c>
      <c r="N31" s="71" t="s">
        <v>2629</v>
      </c>
      <c r="O31" s="71" t="s">
        <v>2612</v>
      </c>
      <c r="P31" s="71" t="s">
        <v>2604</v>
      </c>
      <c r="Q31" s="71" t="s">
        <v>2630</v>
      </c>
      <c r="R31" s="71" t="s">
        <v>2604</v>
      </c>
      <c r="S31" s="71" t="s">
        <v>2604</v>
      </c>
      <c r="T31" s="71" t="s">
        <v>2604</v>
      </c>
      <c r="U31" s="71" t="s">
        <v>2604</v>
      </c>
      <c r="V31" s="71" t="s">
        <v>2634</v>
      </c>
    </row>
    <row r="32" spans="1:22">
      <c r="A32" s="71" t="s">
        <v>2602</v>
      </c>
      <c r="B32" s="71" t="s">
        <v>2603</v>
      </c>
      <c r="C32" s="72">
        <v>45912.577526307869</v>
      </c>
      <c r="D32" s="72">
        <v>45912.577526307869</v>
      </c>
      <c r="E32" s="71" t="s">
        <v>2604</v>
      </c>
      <c r="F32" s="71" t="s">
        <v>2626</v>
      </c>
      <c r="G32" s="71" t="s">
        <v>2627</v>
      </c>
      <c r="H32" s="71" t="s">
        <v>2628</v>
      </c>
      <c r="I32" s="71" t="s">
        <v>2604</v>
      </c>
      <c r="J32" s="71" t="s">
        <v>813</v>
      </c>
      <c r="K32" s="71" t="s">
        <v>2608</v>
      </c>
      <c r="L32" s="71" t="s">
        <v>2609</v>
      </c>
      <c r="M32" s="71" t="s">
        <v>2610</v>
      </c>
      <c r="N32" s="71" t="s">
        <v>2629</v>
      </c>
      <c r="O32" s="71" t="s">
        <v>2612</v>
      </c>
      <c r="P32" s="71" t="s">
        <v>2604</v>
      </c>
      <c r="Q32" s="71" t="s">
        <v>2630</v>
      </c>
      <c r="R32" s="71" t="s">
        <v>2604</v>
      </c>
      <c r="S32" s="71" t="s">
        <v>2604</v>
      </c>
      <c r="T32" s="71" t="s">
        <v>2604</v>
      </c>
      <c r="U32" s="71" t="s">
        <v>2604</v>
      </c>
      <c r="V32" s="71" t="s">
        <v>2618</v>
      </c>
    </row>
    <row r="33" spans="1:22">
      <c r="A33" s="71" t="s">
        <v>2602</v>
      </c>
      <c r="B33" s="71" t="s">
        <v>1096</v>
      </c>
      <c r="C33" s="72">
        <v>46065.579825624998</v>
      </c>
      <c r="D33" s="72">
        <v>46065.579825624998</v>
      </c>
      <c r="E33" s="71" t="s">
        <v>365</v>
      </c>
      <c r="F33" s="71" t="s">
        <v>1098</v>
      </c>
      <c r="G33" s="71" t="s">
        <v>1099</v>
      </c>
      <c r="H33" s="71" t="s">
        <v>1097</v>
      </c>
      <c r="I33" s="71" t="s">
        <v>2604</v>
      </c>
      <c r="J33" s="71" t="s">
        <v>774</v>
      </c>
      <c r="K33" s="71" t="s">
        <v>2637</v>
      </c>
      <c r="L33" s="71" t="s">
        <v>2604</v>
      </c>
      <c r="M33" s="71" t="s">
        <v>2638</v>
      </c>
      <c r="N33" s="71" t="s">
        <v>2639</v>
      </c>
      <c r="O33" s="71" t="s">
        <v>2640</v>
      </c>
      <c r="P33" s="71" t="s">
        <v>2604</v>
      </c>
      <c r="Q33" s="71" t="s">
        <v>2641</v>
      </c>
      <c r="R33" s="71" t="s">
        <v>2604</v>
      </c>
      <c r="S33" s="71" t="s">
        <v>2604</v>
      </c>
      <c r="T33" s="71" t="s">
        <v>2604</v>
      </c>
      <c r="U33" s="71" t="s">
        <v>2604</v>
      </c>
      <c r="V33" s="71" t="s">
        <v>2604</v>
      </c>
    </row>
    <row r="34" spans="1:22">
      <c r="A34" s="71" t="s">
        <v>2602</v>
      </c>
      <c r="B34" s="71" t="s">
        <v>2603</v>
      </c>
      <c r="C34" s="72">
        <v>45912.450159282409</v>
      </c>
      <c r="D34" s="72">
        <v>45912.450159282409</v>
      </c>
      <c r="E34" s="71" t="s">
        <v>2604</v>
      </c>
      <c r="F34" s="71" t="s">
        <v>2614</v>
      </c>
      <c r="G34" s="71" t="s">
        <v>2615</v>
      </c>
      <c r="H34" s="71" t="s">
        <v>2616</v>
      </c>
      <c r="I34" s="71" t="s">
        <v>2604</v>
      </c>
      <c r="J34" s="71" t="s">
        <v>813</v>
      </c>
      <c r="K34" s="71" t="s">
        <v>2608</v>
      </c>
      <c r="L34" s="71" t="s">
        <v>2609</v>
      </c>
      <c r="M34" s="71" t="s">
        <v>2610</v>
      </c>
      <c r="N34" s="71" t="s">
        <v>2610</v>
      </c>
      <c r="O34" s="71" t="s">
        <v>2612</v>
      </c>
      <c r="P34" s="71" t="s">
        <v>2604</v>
      </c>
      <c r="Q34" s="71" t="s">
        <v>2617</v>
      </c>
      <c r="R34" s="71" t="s">
        <v>2604</v>
      </c>
      <c r="S34" s="71" t="s">
        <v>2604</v>
      </c>
      <c r="T34" s="71" t="s">
        <v>2604</v>
      </c>
      <c r="U34" s="71" t="s">
        <v>2604</v>
      </c>
      <c r="V34" s="71" t="s">
        <v>2636</v>
      </c>
    </row>
    <row r="35" spans="1:22">
      <c r="A35" s="71" t="s">
        <v>2602</v>
      </c>
      <c r="B35" s="71" t="s">
        <v>2603</v>
      </c>
      <c r="C35" s="72">
        <v>45912.560670474537</v>
      </c>
      <c r="D35" s="72">
        <v>45912.560670474537</v>
      </c>
      <c r="E35" s="71" t="s">
        <v>2604</v>
      </c>
      <c r="F35" s="71" t="s">
        <v>2619</v>
      </c>
      <c r="G35" s="71" t="s">
        <v>2620</v>
      </c>
      <c r="H35" s="71" t="s">
        <v>2621</v>
      </c>
      <c r="I35" s="71" t="s">
        <v>2604</v>
      </c>
      <c r="J35" s="71" t="s">
        <v>774</v>
      </c>
      <c r="K35" s="71" t="s">
        <v>2622</v>
      </c>
      <c r="L35" s="71" t="s">
        <v>2604</v>
      </c>
      <c r="M35" s="71" t="s">
        <v>2623</v>
      </c>
      <c r="N35" s="71" t="s">
        <v>2623</v>
      </c>
      <c r="O35" s="71" t="s">
        <v>2612</v>
      </c>
      <c r="P35" s="71" t="s">
        <v>2604</v>
      </c>
      <c r="Q35" s="71" t="s">
        <v>2624</v>
      </c>
      <c r="R35" s="71" t="s">
        <v>2604</v>
      </c>
      <c r="S35" s="71" t="s">
        <v>2604</v>
      </c>
      <c r="T35" s="71" t="s">
        <v>2604</v>
      </c>
      <c r="U35" s="71" t="s">
        <v>2604</v>
      </c>
      <c r="V35" s="71" t="s">
        <v>2604</v>
      </c>
    </row>
    <row r="36" spans="1:22">
      <c r="A36" s="71" t="s">
        <v>2602</v>
      </c>
      <c r="B36" s="71" t="s">
        <v>2603</v>
      </c>
      <c r="C36" s="72">
        <v>45912.515930844907</v>
      </c>
      <c r="D36" s="72">
        <v>45912.515930844907</v>
      </c>
      <c r="E36" s="71" t="s">
        <v>2604</v>
      </c>
      <c r="F36" s="71" t="s">
        <v>2605</v>
      </c>
      <c r="G36" s="71" t="s">
        <v>2606</v>
      </c>
      <c r="H36" s="71" t="s">
        <v>2607</v>
      </c>
      <c r="I36" s="71" t="s">
        <v>2604</v>
      </c>
      <c r="J36" s="71" t="s">
        <v>813</v>
      </c>
      <c r="K36" s="71" t="s">
        <v>2608</v>
      </c>
      <c r="L36" s="71" t="s">
        <v>2609</v>
      </c>
      <c r="M36" s="71" t="s">
        <v>2610</v>
      </c>
      <c r="N36" s="71" t="s">
        <v>2611</v>
      </c>
      <c r="O36" s="71" t="s">
        <v>2612</v>
      </c>
      <c r="P36" s="71" t="s">
        <v>2604</v>
      </c>
      <c r="Q36" s="71" t="s">
        <v>2613</v>
      </c>
      <c r="R36" s="71" t="s">
        <v>2604</v>
      </c>
      <c r="S36" s="71" t="s">
        <v>2604</v>
      </c>
      <c r="T36" s="71" t="s">
        <v>2604</v>
      </c>
      <c r="U36" s="71" t="s">
        <v>2604</v>
      </c>
      <c r="V36" s="71" t="s">
        <v>2642</v>
      </c>
    </row>
    <row r="37" spans="1:22">
      <c r="A37" s="71" t="s">
        <v>2602</v>
      </c>
      <c r="B37" s="71" t="s">
        <v>2603</v>
      </c>
      <c r="C37" s="72">
        <v>45912.515930844907</v>
      </c>
      <c r="D37" s="72">
        <v>45912.515930844907</v>
      </c>
      <c r="E37" s="71" t="s">
        <v>2604</v>
      </c>
      <c r="F37" s="71" t="s">
        <v>2605</v>
      </c>
      <c r="G37" s="71" t="s">
        <v>2606</v>
      </c>
      <c r="H37" s="71" t="s">
        <v>2607</v>
      </c>
      <c r="I37" s="71" t="s">
        <v>2604</v>
      </c>
      <c r="J37" s="71" t="s">
        <v>813</v>
      </c>
      <c r="K37" s="71" t="s">
        <v>2608</v>
      </c>
      <c r="L37" s="71" t="s">
        <v>2609</v>
      </c>
      <c r="M37" s="71" t="s">
        <v>2610</v>
      </c>
      <c r="N37" s="71" t="s">
        <v>2611</v>
      </c>
      <c r="O37" s="71" t="s">
        <v>2612</v>
      </c>
      <c r="P37" s="71" t="s">
        <v>2604</v>
      </c>
      <c r="Q37" s="71" t="s">
        <v>2613</v>
      </c>
      <c r="R37" s="71" t="s">
        <v>2604</v>
      </c>
      <c r="S37" s="71" t="s">
        <v>2604</v>
      </c>
      <c r="T37" s="71" t="s">
        <v>2604</v>
      </c>
      <c r="U37" s="71" t="s">
        <v>2604</v>
      </c>
      <c r="V37" s="71" t="s">
        <v>2636</v>
      </c>
    </row>
    <row r="38" spans="1:22">
      <c r="A38" s="71" t="s">
        <v>2602</v>
      </c>
      <c r="B38" s="71" t="s">
        <v>1096</v>
      </c>
      <c r="C38" s="72">
        <v>46065.579825624998</v>
      </c>
      <c r="D38" s="72">
        <v>46065.579825624998</v>
      </c>
      <c r="E38" s="71" t="s">
        <v>365</v>
      </c>
      <c r="F38" s="71" t="s">
        <v>1098</v>
      </c>
      <c r="G38" s="71" t="s">
        <v>1099</v>
      </c>
      <c r="H38" s="71" t="s">
        <v>1097</v>
      </c>
      <c r="I38" s="71" t="s">
        <v>2604</v>
      </c>
      <c r="J38" s="71" t="s">
        <v>774</v>
      </c>
      <c r="K38" s="71" t="s">
        <v>2637</v>
      </c>
      <c r="L38" s="71" t="s">
        <v>2604</v>
      </c>
      <c r="M38" s="71" t="s">
        <v>2638</v>
      </c>
      <c r="N38" s="71" t="s">
        <v>2639</v>
      </c>
      <c r="O38" s="71" t="s">
        <v>2640</v>
      </c>
      <c r="P38" s="71" t="s">
        <v>2604</v>
      </c>
      <c r="Q38" s="71" t="s">
        <v>2641</v>
      </c>
      <c r="R38" s="71" t="s">
        <v>2604</v>
      </c>
      <c r="S38" s="71" t="s">
        <v>2604</v>
      </c>
      <c r="T38" s="71" t="s">
        <v>2604</v>
      </c>
      <c r="U38" s="71" t="s">
        <v>2604</v>
      </c>
      <c r="V38" s="71" t="s">
        <v>2625</v>
      </c>
    </row>
    <row r="39" spans="1:22">
      <c r="A39" s="71" t="s">
        <v>2602</v>
      </c>
      <c r="B39" s="71" t="s">
        <v>2603</v>
      </c>
      <c r="C39" s="72">
        <v>45912.560670474537</v>
      </c>
      <c r="D39" s="72">
        <v>45912.560670474537</v>
      </c>
      <c r="E39" s="71" t="s">
        <v>2604</v>
      </c>
      <c r="F39" s="71" t="s">
        <v>2619</v>
      </c>
      <c r="G39" s="71" t="s">
        <v>2620</v>
      </c>
      <c r="H39" s="71" t="s">
        <v>2621</v>
      </c>
      <c r="I39" s="71" t="s">
        <v>2604</v>
      </c>
      <c r="J39" s="71" t="s">
        <v>774</v>
      </c>
      <c r="K39" s="71" t="s">
        <v>2622</v>
      </c>
      <c r="L39" s="71" t="s">
        <v>2604</v>
      </c>
      <c r="M39" s="71" t="s">
        <v>2623</v>
      </c>
      <c r="N39" s="71" t="s">
        <v>2623</v>
      </c>
      <c r="O39" s="71" t="s">
        <v>2612</v>
      </c>
      <c r="P39" s="71" t="s">
        <v>2604</v>
      </c>
      <c r="Q39" s="71" t="s">
        <v>2624</v>
      </c>
      <c r="R39" s="71" t="s">
        <v>2604</v>
      </c>
      <c r="S39" s="71" t="s">
        <v>2604</v>
      </c>
      <c r="T39" s="71" t="s">
        <v>2604</v>
      </c>
      <c r="U39" s="71" t="s">
        <v>2604</v>
      </c>
      <c r="V39" s="71" t="s">
        <v>2618</v>
      </c>
    </row>
    <row r="40" spans="1:22">
      <c r="A40" s="71" t="s">
        <v>2602</v>
      </c>
      <c r="B40" s="71" t="s">
        <v>2603</v>
      </c>
      <c r="C40" s="72">
        <v>45912.450159282409</v>
      </c>
      <c r="D40" s="72">
        <v>45912.450159282409</v>
      </c>
      <c r="E40" s="71" t="s">
        <v>2604</v>
      </c>
      <c r="F40" s="71" t="s">
        <v>2614</v>
      </c>
      <c r="G40" s="71" t="s">
        <v>2615</v>
      </c>
      <c r="H40" s="71" t="s">
        <v>2616</v>
      </c>
      <c r="I40" s="71" t="s">
        <v>2604</v>
      </c>
      <c r="J40" s="71" t="s">
        <v>813</v>
      </c>
      <c r="K40" s="71" t="s">
        <v>2608</v>
      </c>
      <c r="L40" s="71" t="s">
        <v>2609</v>
      </c>
      <c r="M40" s="71" t="s">
        <v>2610</v>
      </c>
      <c r="N40" s="71" t="s">
        <v>2610</v>
      </c>
      <c r="O40" s="71" t="s">
        <v>2612</v>
      </c>
      <c r="P40" s="71" t="s">
        <v>2604</v>
      </c>
      <c r="Q40" s="71" t="s">
        <v>2617</v>
      </c>
      <c r="R40" s="71" t="s">
        <v>2604</v>
      </c>
      <c r="S40" s="71" t="s">
        <v>2604</v>
      </c>
      <c r="T40" s="71" t="s">
        <v>2604</v>
      </c>
      <c r="U40" s="71" t="s">
        <v>2604</v>
      </c>
      <c r="V40" s="71" t="s">
        <v>2643</v>
      </c>
    </row>
    <row r="41" spans="1:22">
      <c r="A41" s="71" t="s">
        <v>2602</v>
      </c>
      <c r="B41" s="71" t="s">
        <v>2603</v>
      </c>
      <c r="C41" s="72">
        <v>45912.450159282409</v>
      </c>
      <c r="D41" s="72">
        <v>45912.450159282409</v>
      </c>
      <c r="E41" s="71" t="s">
        <v>2604</v>
      </c>
      <c r="F41" s="71" t="s">
        <v>2614</v>
      </c>
      <c r="G41" s="71" t="s">
        <v>2615</v>
      </c>
      <c r="H41" s="71" t="s">
        <v>2616</v>
      </c>
      <c r="I41" s="71" t="s">
        <v>2604</v>
      </c>
      <c r="J41" s="71" t="s">
        <v>813</v>
      </c>
      <c r="K41" s="71" t="s">
        <v>2608</v>
      </c>
      <c r="L41" s="71" t="s">
        <v>2609</v>
      </c>
      <c r="M41" s="71" t="s">
        <v>2610</v>
      </c>
      <c r="N41" s="71" t="s">
        <v>2610</v>
      </c>
      <c r="O41" s="71" t="s">
        <v>2612</v>
      </c>
      <c r="P41" s="71" t="s">
        <v>2604</v>
      </c>
      <c r="Q41" s="71" t="s">
        <v>2617</v>
      </c>
      <c r="R41" s="71" t="s">
        <v>2604</v>
      </c>
      <c r="S41" s="71" t="s">
        <v>2604</v>
      </c>
      <c r="T41" s="71" t="s">
        <v>2604</v>
      </c>
      <c r="U41" s="71" t="s">
        <v>2604</v>
      </c>
      <c r="V41" s="71" t="s">
        <v>2631</v>
      </c>
    </row>
    <row r="42" spans="1:22">
      <c r="A42" s="71" t="s">
        <v>2602</v>
      </c>
      <c r="B42" s="71" t="s">
        <v>2603</v>
      </c>
      <c r="C42" s="72">
        <v>45912.515930844907</v>
      </c>
      <c r="D42" s="72">
        <v>45912.515930844907</v>
      </c>
      <c r="E42" s="71" t="s">
        <v>2604</v>
      </c>
      <c r="F42" s="71" t="s">
        <v>2605</v>
      </c>
      <c r="G42" s="71" t="s">
        <v>2606</v>
      </c>
      <c r="H42" s="71" t="s">
        <v>2607</v>
      </c>
      <c r="I42" s="71" t="s">
        <v>2604</v>
      </c>
      <c r="J42" s="71" t="s">
        <v>813</v>
      </c>
      <c r="K42" s="71" t="s">
        <v>2608</v>
      </c>
      <c r="L42" s="71" t="s">
        <v>2609</v>
      </c>
      <c r="M42" s="71" t="s">
        <v>2610</v>
      </c>
      <c r="N42" s="71" t="s">
        <v>2611</v>
      </c>
      <c r="O42" s="71" t="s">
        <v>2612</v>
      </c>
      <c r="P42" s="71" t="s">
        <v>2604</v>
      </c>
      <c r="Q42" s="71" t="s">
        <v>2613</v>
      </c>
      <c r="R42" s="71" t="s">
        <v>2604</v>
      </c>
      <c r="S42" s="71" t="s">
        <v>2604</v>
      </c>
      <c r="T42" s="71" t="s">
        <v>2604</v>
      </c>
      <c r="U42" s="71" t="s">
        <v>2604</v>
      </c>
      <c r="V42" s="71" t="s">
        <v>2625</v>
      </c>
    </row>
    <row r="43" spans="1:22">
      <c r="A43" s="71" t="s">
        <v>2602</v>
      </c>
      <c r="B43" s="71" t="s">
        <v>1096</v>
      </c>
      <c r="C43" s="72">
        <v>46065.579825624998</v>
      </c>
      <c r="D43" s="72">
        <v>46065.579825624998</v>
      </c>
      <c r="E43" s="71" t="s">
        <v>365</v>
      </c>
      <c r="F43" s="71" t="s">
        <v>1098</v>
      </c>
      <c r="G43" s="71" t="s">
        <v>1099</v>
      </c>
      <c r="H43" s="71" t="s">
        <v>1097</v>
      </c>
      <c r="I43" s="71" t="s">
        <v>2604</v>
      </c>
      <c r="J43" s="71" t="s">
        <v>774</v>
      </c>
      <c r="K43" s="71" t="s">
        <v>2637</v>
      </c>
      <c r="L43" s="71" t="s">
        <v>2604</v>
      </c>
      <c r="M43" s="71" t="s">
        <v>2638</v>
      </c>
      <c r="N43" s="71" t="s">
        <v>2639</v>
      </c>
      <c r="O43" s="71" t="s">
        <v>2640</v>
      </c>
      <c r="P43" s="71" t="s">
        <v>2604</v>
      </c>
      <c r="Q43" s="71" t="s">
        <v>2641</v>
      </c>
      <c r="R43" s="71" t="s">
        <v>2604</v>
      </c>
      <c r="S43" s="71" t="s">
        <v>2604</v>
      </c>
      <c r="T43" s="71" t="s">
        <v>2604</v>
      </c>
      <c r="U43" s="71" t="s">
        <v>2604</v>
      </c>
      <c r="V43" s="71" t="s">
        <v>2644</v>
      </c>
    </row>
    <row r="44" spans="1:22">
      <c r="A44" s="71" t="s">
        <v>2602</v>
      </c>
      <c r="B44" s="71" t="s">
        <v>2603</v>
      </c>
      <c r="C44" s="72">
        <v>45912.450159282409</v>
      </c>
      <c r="D44" s="72">
        <v>45912.450159282409</v>
      </c>
      <c r="E44" s="71" t="s">
        <v>2604</v>
      </c>
      <c r="F44" s="71" t="s">
        <v>2614</v>
      </c>
      <c r="G44" s="71" t="s">
        <v>2615</v>
      </c>
      <c r="H44" s="71" t="s">
        <v>2616</v>
      </c>
      <c r="I44" s="71" t="s">
        <v>2604</v>
      </c>
      <c r="J44" s="71" t="s">
        <v>813</v>
      </c>
      <c r="K44" s="71" t="s">
        <v>2608</v>
      </c>
      <c r="L44" s="71" t="s">
        <v>2609</v>
      </c>
      <c r="M44" s="71" t="s">
        <v>2610</v>
      </c>
      <c r="N44" s="71" t="s">
        <v>2610</v>
      </c>
      <c r="O44" s="71" t="s">
        <v>2612</v>
      </c>
      <c r="P44" s="71" t="s">
        <v>2604</v>
      </c>
      <c r="Q44" s="71" t="s">
        <v>2617</v>
      </c>
      <c r="R44" s="71" t="s">
        <v>2604</v>
      </c>
      <c r="S44" s="71" t="s">
        <v>2604</v>
      </c>
      <c r="T44" s="71" t="s">
        <v>2604</v>
      </c>
      <c r="U44" s="71" t="s">
        <v>2604</v>
      </c>
      <c r="V44" s="71" t="s">
        <v>2633</v>
      </c>
    </row>
    <row r="45" spans="1:22">
      <c r="A45" s="71" t="s">
        <v>2645</v>
      </c>
      <c r="B45" s="71" t="s">
        <v>2646</v>
      </c>
      <c r="C45" s="72">
        <v>45798.420781319444</v>
      </c>
      <c r="D45" s="72">
        <v>45798.420781319444</v>
      </c>
      <c r="E45" s="71" t="s">
        <v>473</v>
      </c>
      <c r="F45" s="71" t="s">
        <v>471</v>
      </c>
      <c r="G45" s="71" t="s">
        <v>2647</v>
      </c>
      <c r="H45" s="71" t="s">
        <v>470</v>
      </c>
      <c r="I45" s="71" t="s">
        <v>2604</v>
      </c>
      <c r="J45" s="71" t="s">
        <v>813</v>
      </c>
      <c r="K45" s="71" t="s">
        <v>2648</v>
      </c>
      <c r="L45" s="71" t="s">
        <v>2649</v>
      </c>
      <c r="M45" s="71" t="s">
        <v>2650</v>
      </c>
      <c r="N45" s="71" t="s">
        <v>2651</v>
      </c>
      <c r="O45" s="71" t="s">
        <v>2604</v>
      </c>
      <c r="P45" s="71" t="s">
        <v>2652</v>
      </c>
      <c r="Q45" s="71" t="s">
        <v>2653</v>
      </c>
      <c r="R45" s="71" t="s">
        <v>2604</v>
      </c>
      <c r="S45" s="71" t="s">
        <v>2604</v>
      </c>
      <c r="T45" s="71" t="s">
        <v>2604</v>
      </c>
      <c r="U45" s="71" t="s">
        <v>2604</v>
      </c>
      <c r="V45" s="71" t="s">
        <v>2654</v>
      </c>
    </row>
    <row r="46" spans="1:22">
      <c r="A46" s="71" t="s">
        <v>2645</v>
      </c>
      <c r="B46" s="71" t="s">
        <v>2646</v>
      </c>
      <c r="C46" s="72">
        <v>45798.420781319444</v>
      </c>
      <c r="D46" s="72">
        <v>45798.420781319444</v>
      </c>
      <c r="E46" s="71" t="s">
        <v>473</v>
      </c>
      <c r="F46" s="71" t="s">
        <v>471</v>
      </c>
      <c r="G46" s="71" t="s">
        <v>2647</v>
      </c>
      <c r="H46" s="71" t="s">
        <v>470</v>
      </c>
      <c r="I46" s="71" t="s">
        <v>2604</v>
      </c>
      <c r="J46" s="71" t="s">
        <v>813</v>
      </c>
      <c r="K46" s="71" t="s">
        <v>2648</v>
      </c>
      <c r="L46" s="71" t="s">
        <v>2649</v>
      </c>
      <c r="M46" s="71" t="s">
        <v>2650</v>
      </c>
      <c r="N46" s="71" t="s">
        <v>2651</v>
      </c>
      <c r="O46" s="71" t="s">
        <v>2604</v>
      </c>
      <c r="P46" s="71" t="s">
        <v>2652</v>
      </c>
      <c r="Q46" s="71" t="s">
        <v>2653</v>
      </c>
      <c r="R46" s="71" t="s">
        <v>2604</v>
      </c>
      <c r="S46" s="71" t="s">
        <v>2604</v>
      </c>
      <c r="T46" s="71" t="s">
        <v>2604</v>
      </c>
      <c r="U46" s="71" t="s">
        <v>2604</v>
      </c>
      <c r="V46" s="71" t="s">
        <v>2604</v>
      </c>
    </row>
    <row r="47" spans="1:22">
      <c r="A47" s="71" t="s">
        <v>2645</v>
      </c>
      <c r="B47" s="71" t="s">
        <v>2646</v>
      </c>
      <c r="C47" s="72">
        <v>45798.420781319444</v>
      </c>
      <c r="D47" s="72">
        <v>45798.420781319444</v>
      </c>
      <c r="E47" s="71" t="s">
        <v>473</v>
      </c>
      <c r="F47" s="71" t="s">
        <v>471</v>
      </c>
      <c r="G47" s="71" t="s">
        <v>2647</v>
      </c>
      <c r="H47" s="71" t="s">
        <v>470</v>
      </c>
      <c r="I47" s="71" t="s">
        <v>2604</v>
      </c>
      <c r="J47" s="71" t="s">
        <v>813</v>
      </c>
      <c r="K47" s="71" t="s">
        <v>2648</v>
      </c>
      <c r="L47" s="71" t="s">
        <v>2649</v>
      </c>
      <c r="M47" s="71" t="s">
        <v>2650</v>
      </c>
      <c r="N47" s="71" t="s">
        <v>2651</v>
      </c>
      <c r="O47" s="71" t="s">
        <v>2604</v>
      </c>
      <c r="P47" s="71" t="s">
        <v>2652</v>
      </c>
      <c r="Q47" s="71" t="s">
        <v>2653</v>
      </c>
      <c r="R47" s="71" t="s">
        <v>2604</v>
      </c>
      <c r="S47" s="71" t="s">
        <v>2604</v>
      </c>
      <c r="T47" s="71" t="s">
        <v>2604</v>
      </c>
      <c r="U47" s="71" t="s">
        <v>2604</v>
      </c>
      <c r="V47" s="71" t="s">
        <v>2655</v>
      </c>
    </row>
    <row r="48" spans="1:22">
      <c r="A48" s="71" t="s">
        <v>2645</v>
      </c>
      <c r="B48" s="71" t="s">
        <v>2646</v>
      </c>
      <c r="C48" s="72">
        <v>45798.420781319444</v>
      </c>
      <c r="D48" s="72">
        <v>45798.420781319444</v>
      </c>
      <c r="E48" s="71" t="s">
        <v>473</v>
      </c>
      <c r="F48" s="71" t="s">
        <v>471</v>
      </c>
      <c r="G48" s="71" t="s">
        <v>2647</v>
      </c>
      <c r="H48" s="71" t="s">
        <v>470</v>
      </c>
      <c r="I48" s="71" t="s">
        <v>2604</v>
      </c>
      <c r="J48" s="71" t="s">
        <v>813</v>
      </c>
      <c r="K48" s="71" t="s">
        <v>2648</v>
      </c>
      <c r="L48" s="71" t="s">
        <v>2649</v>
      </c>
      <c r="M48" s="71" t="s">
        <v>2650</v>
      </c>
      <c r="N48" s="71" t="s">
        <v>2651</v>
      </c>
      <c r="O48" s="71" t="s">
        <v>2604</v>
      </c>
      <c r="P48" s="71" t="s">
        <v>2652</v>
      </c>
      <c r="Q48" s="71" t="s">
        <v>2653</v>
      </c>
      <c r="R48" s="71" t="s">
        <v>2604</v>
      </c>
      <c r="S48" s="71" t="s">
        <v>2604</v>
      </c>
      <c r="T48" s="71" t="s">
        <v>2604</v>
      </c>
      <c r="U48" s="71" t="s">
        <v>2604</v>
      </c>
      <c r="V48" s="71" t="s">
        <v>2656</v>
      </c>
    </row>
    <row r="49" spans="1:22">
      <c r="A49" s="71" t="s">
        <v>2645</v>
      </c>
      <c r="B49" s="71" t="s">
        <v>2646</v>
      </c>
      <c r="C49" s="72">
        <v>45798.420781319444</v>
      </c>
      <c r="D49" s="72">
        <v>45798.420781319444</v>
      </c>
      <c r="E49" s="71" t="s">
        <v>473</v>
      </c>
      <c r="F49" s="71" t="s">
        <v>471</v>
      </c>
      <c r="G49" s="71" t="s">
        <v>2647</v>
      </c>
      <c r="H49" s="71" t="s">
        <v>470</v>
      </c>
      <c r="I49" s="71" t="s">
        <v>2604</v>
      </c>
      <c r="J49" s="71" t="s">
        <v>813</v>
      </c>
      <c r="K49" s="71" t="s">
        <v>2648</v>
      </c>
      <c r="L49" s="71" t="s">
        <v>2649</v>
      </c>
      <c r="M49" s="71" t="s">
        <v>2650</v>
      </c>
      <c r="N49" s="71" t="s">
        <v>2651</v>
      </c>
      <c r="O49" s="71" t="s">
        <v>2604</v>
      </c>
      <c r="P49" s="71" t="s">
        <v>2652</v>
      </c>
      <c r="Q49" s="71" t="s">
        <v>2653</v>
      </c>
      <c r="R49" s="71" t="s">
        <v>2604</v>
      </c>
      <c r="S49" s="71" t="s">
        <v>2604</v>
      </c>
      <c r="T49" s="71" t="s">
        <v>2604</v>
      </c>
      <c r="U49" s="71" t="s">
        <v>2604</v>
      </c>
      <c r="V49" s="71" t="s">
        <v>2657</v>
      </c>
    </row>
    <row r="50" spans="1:22">
      <c r="A50" s="71" t="s">
        <v>2645</v>
      </c>
      <c r="B50" s="71" t="s">
        <v>2646</v>
      </c>
      <c r="C50" s="72">
        <v>45798.420781319444</v>
      </c>
      <c r="D50" s="72">
        <v>45798.420781319444</v>
      </c>
      <c r="E50" s="71" t="s">
        <v>473</v>
      </c>
      <c r="F50" s="71" t="s">
        <v>471</v>
      </c>
      <c r="G50" s="71" t="s">
        <v>2647</v>
      </c>
      <c r="H50" s="71" t="s">
        <v>470</v>
      </c>
      <c r="I50" s="71" t="s">
        <v>2604</v>
      </c>
      <c r="J50" s="71" t="s">
        <v>813</v>
      </c>
      <c r="K50" s="71" t="s">
        <v>2648</v>
      </c>
      <c r="L50" s="71" t="s">
        <v>2649</v>
      </c>
      <c r="M50" s="71" t="s">
        <v>2650</v>
      </c>
      <c r="N50" s="71" t="s">
        <v>2651</v>
      </c>
      <c r="O50" s="71" t="s">
        <v>2604</v>
      </c>
      <c r="P50" s="71" t="s">
        <v>2652</v>
      </c>
      <c r="Q50" s="71" t="s">
        <v>2653</v>
      </c>
      <c r="R50" s="71" t="s">
        <v>2604</v>
      </c>
      <c r="S50" s="71" t="s">
        <v>2604</v>
      </c>
      <c r="T50" s="71" t="s">
        <v>2604</v>
      </c>
      <c r="U50" s="71" t="s">
        <v>2604</v>
      </c>
      <c r="V50" s="71" t="s">
        <v>2658</v>
      </c>
    </row>
    <row r="51" spans="1:22">
      <c r="A51" s="71" t="s">
        <v>2645</v>
      </c>
      <c r="B51" s="71" t="s">
        <v>2646</v>
      </c>
      <c r="C51" s="72">
        <v>45798.420781319444</v>
      </c>
      <c r="D51" s="72">
        <v>45798.420781319444</v>
      </c>
      <c r="E51" s="71" t="s">
        <v>473</v>
      </c>
      <c r="F51" s="71" t="s">
        <v>471</v>
      </c>
      <c r="G51" s="71" t="s">
        <v>2647</v>
      </c>
      <c r="H51" s="71" t="s">
        <v>470</v>
      </c>
      <c r="I51" s="71" t="s">
        <v>2604</v>
      </c>
      <c r="J51" s="71" t="s">
        <v>813</v>
      </c>
      <c r="K51" s="71" t="s">
        <v>2648</v>
      </c>
      <c r="L51" s="71" t="s">
        <v>2649</v>
      </c>
      <c r="M51" s="71" t="s">
        <v>2650</v>
      </c>
      <c r="N51" s="71" t="s">
        <v>2651</v>
      </c>
      <c r="O51" s="71" t="s">
        <v>2604</v>
      </c>
      <c r="P51" s="71" t="s">
        <v>2652</v>
      </c>
      <c r="Q51" s="71" t="s">
        <v>2653</v>
      </c>
      <c r="R51" s="71" t="s">
        <v>2604</v>
      </c>
      <c r="S51" s="71" t="s">
        <v>2604</v>
      </c>
      <c r="T51" s="71" t="s">
        <v>2604</v>
      </c>
      <c r="U51" s="71" t="s">
        <v>2604</v>
      </c>
      <c r="V51" s="71" t="s">
        <v>2635</v>
      </c>
    </row>
    <row r="52" spans="1:22">
      <c r="A52" s="71" t="s">
        <v>2659</v>
      </c>
      <c r="B52" s="71" t="s">
        <v>56</v>
      </c>
      <c r="C52" s="72">
        <v>46093.460359976852</v>
      </c>
      <c r="D52" s="72">
        <v>46093.460359976852</v>
      </c>
      <c r="E52" s="71" t="s">
        <v>380</v>
      </c>
      <c r="F52" s="71" t="s">
        <v>1129</v>
      </c>
      <c r="G52" s="71" t="s">
        <v>1130</v>
      </c>
      <c r="H52" s="71" t="s">
        <v>1128</v>
      </c>
      <c r="I52" s="71" t="s">
        <v>2604</v>
      </c>
      <c r="J52" s="71" t="s">
        <v>774</v>
      </c>
      <c r="K52" s="71" t="s">
        <v>2660</v>
      </c>
      <c r="L52" s="71" t="s">
        <v>2604</v>
      </c>
      <c r="M52" s="71" t="s">
        <v>2661</v>
      </c>
      <c r="N52" s="71" t="s">
        <v>2662</v>
      </c>
      <c r="O52" s="71" t="s">
        <v>2640</v>
      </c>
      <c r="P52" s="71" t="s">
        <v>2604</v>
      </c>
      <c r="Q52" s="71" t="s">
        <v>2663</v>
      </c>
      <c r="R52" s="71" t="s">
        <v>2604</v>
      </c>
      <c r="S52" s="71" t="s">
        <v>2604</v>
      </c>
      <c r="T52" s="71" t="s">
        <v>2604</v>
      </c>
      <c r="U52" s="71" t="s">
        <v>2604</v>
      </c>
      <c r="V52" s="71" t="s">
        <v>2664</v>
      </c>
    </row>
    <row r="53" spans="1:22">
      <c r="A53" s="71" t="s">
        <v>2659</v>
      </c>
      <c r="B53" s="71" t="s">
        <v>84</v>
      </c>
      <c r="C53" s="72">
        <v>45909.372352199076</v>
      </c>
      <c r="D53" s="72">
        <v>45909.372352199076</v>
      </c>
      <c r="E53" s="71" t="s">
        <v>365</v>
      </c>
      <c r="F53" s="71" t="s">
        <v>788</v>
      </c>
      <c r="G53" s="71" t="s">
        <v>789</v>
      </c>
      <c r="H53" s="71" t="s">
        <v>787</v>
      </c>
      <c r="I53" s="71" t="s">
        <v>2604</v>
      </c>
      <c r="J53" s="71" t="s">
        <v>744</v>
      </c>
      <c r="K53" s="71" t="s">
        <v>2665</v>
      </c>
      <c r="L53" s="71" t="s">
        <v>2666</v>
      </c>
      <c r="M53" s="71" t="s">
        <v>2667</v>
      </c>
      <c r="N53" s="71" t="s">
        <v>2668</v>
      </c>
      <c r="O53" s="71" t="s">
        <v>2640</v>
      </c>
      <c r="P53" s="71" t="s">
        <v>2604</v>
      </c>
      <c r="Q53" s="71" t="s">
        <v>2669</v>
      </c>
      <c r="R53" s="71" t="s">
        <v>2604</v>
      </c>
      <c r="S53" s="71" t="s">
        <v>2604</v>
      </c>
      <c r="T53" s="71" t="s">
        <v>2604</v>
      </c>
      <c r="U53" s="71" t="s">
        <v>2604</v>
      </c>
      <c r="V53" s="71" t="s">
        <v>2635</v>
      </c>
    </row>
    <row r="54" spans="1:22">
      <c r="A54" s="71" t="s">
        <v>2659</v>
      </c>
      <c r="B54" s="71" t="s">
        <v>84</v>
      </c>
      <c r="C54" s="72">
        <v>45860.413620185187</v>
      </c>
      <c r="D54" s="72">
        <v>45860.413620185187</v>
      </c>
      <c r="E54" s="71" t="s">
        <v>365</v>
      </c>
      <c r="F54" s="71" t="s">
        <v>611</v>
      </c>
      <c r="G54" s="71" t="s">
        <v>612</v>
      </c>
      <c r="H54" s="71" t="s">
        <v>610</v>
      </c>
      <c r="I54" s="71" t="s">
        <v>2604</v>
      </c>
      <c r="J54" s="71" t="s">
        <v>774</v>
      </c>
      <c r="K54" s="71" t="s">
        <v>2670</v>
      </c>
      <c r="L54" s="71" t="s">
        <v>2604</v>
      </c>
      <c r="M54" s="71" t="s">
        <v>2671</v>
      </c>
      <c r="N54" s="71" t="s">
        <v>2672</v>
      </c>
      <c r="O54" s="71" t="s">
        <v>2640</v>
      </c>
      <c r="P54" s="71" t="s">
        <v>2604</v>
      </c>
      <c r="Q54" s="71" t="s">
        <v>2673</v>
      </c>
      <c r="R54" s="71" t="s">
        <v>2604</v>
      </c>
      <c r="S54" s="71" t="s">
        <v>2604</v>
      </c>
      <c r="T54" s="71" t="s">
        <v>2604</v>
      </c>
      <c r="U54" s="71" t="s">
        <v>2604</v>
      </c>
      <c r="V54" s="71" t="s">
        <v>2635</v>
      </c>
    </row>
    <row r="55" spans="1:22">
      <c r="A55" s="71" t="s">
        <v>2659</v>
      </c>
      <c r="B55" s="71" t="s">
        <v>56</v>
      </c>
      <c r="C55" s="72">
        <v>45867.609918958333</v>
      </c>
      <c r="D55" s="72">
        <v>45867.609918958333</v>
      </c>
      <c r="E55" s="71" t="s">
        <v>380</v>
      </c>
      <c r="F55" s="71" t="s">
        <v>658</v>
      </c>
      <c r="G55" s="71" t="s">
        <v>2674</v>
      </c>
      <c r="H55" s="71" t="s">
        <v>657</v>
      </c>
      <c r="I55" s="71" t="s">
        <v>2604</v>
      </c>
      <c r="J55" s="71" t="s">
        <v>752</v>
      </c>
      <c r="K55" s="71" t="s">
        <v>2675</v>
      </c>
      <c r="L55" s="71" t="s">
        <v>2676</v>
      </c>
      <c r="M55" s="71" t="s">
        <v>2677</v>
      </c>
      <c r="N55" s="71" t="s">
        <v>2678</v>
      </c>
      <c r="O55" s="71" t="s">
        <v>2604</v>
      </c>
      <c r="P55" s="71" t="s">
        <v>2604</v>
      </c>
      <c r="Q55" s="71" t="s">
        <v>2679</v>
      </c>
      <c r="R55" s="71" t="s">
        <v>2604</v>
      </c>
      <c r="S55" s="71" t="s">
        <v>2604</v>
      </c>
      <c r="T55" s="71" t="s">
        <v>2604</v>
      </c>
      <c r="U55" s="71" t="s">
        <v>2604</v>
      </c>
      <c r="V55" s="71" t="s">
        <v>2657</v>
      </c>
    </row>
    <row r="56" spans="1:22">
      <c r="A56" s="71" t="s">
        <v>2659</v>
      </c>
      <c r="B56" s="71" t="s">
        <v>56</v>
      </c>
      <c r="C56" s="72">
        <v>45867.58558421296</v>
      </c>
      <c r="D56" s="72">
        <v>45867.58558421296</v>
      </c>
      <c r="E56" s="71" t="s">
        <v>365</v>
      </c>
      <c r="F56" s="71" t="s">
        <v>655</v>
      </c>
      <c r="G56" s="71" t="s">
        <v>656</v>
      </c>
      <c r="H56" s="71" t="s">
        <v>654</v>
      </c>
      <c r="I56" s="71" t="s">
        <v>2604</v>
      </c>
      <c r="J56" s="71" t="s">
        <v>752</v>
      </c>
      <c r="K56" s="71" t="s">
        <v>2680</v>
      </c>
      <c r="L56" s="71" t="s">
        <v>2681</v>
      </c>
      <c r="M56" s="71" t="s">
        <v>2682</v>
      </c>
      <c r="N56" s="71" t="s">
        <v>2682</v>
      </c>
      <c r="O56" s="71" t="s">
        <v>2640</v>
      </c>
      <c r="P56" s="71" t="s">
        <v>2604</v>
      </c>
      <c r="Q56" s="71" t="s">
        <v>2683</v>
      </c>
      <c r="R56" s="71" t="s">
        <v>2604</v>
      </c>
      <c r="S56" s="71" t="s">
        <v>2604</v>
      </c>
      <c r="T56" s="71" t="s">
        <v>2604</v>
      </c>
      <c r="U56" s="71" t="s">
        <v>2604</v>
      </c>
      <c r="V56" s="71" t="s">
        <v>2664</v>
      </c>
    </row>
    <row r="57" spans="1:22">
      <c r="A57" s="71" t="s">
        <v>2659</v>
      </c>
      <c r="B57" s="71" t="s">
        <v>56</v>
      </c>
      <c r="C57" s="72">
        <v>45919.374421539353</v>
      </c>
      <c r="D57" s="72">
        <v>45919.374421539353</v>
      </c>
      <c r="E57" s="71" t="s">
        <v>365</v>
      </c>
      <c r="F57" s="71" t="s">
        <v>818</v>
      </c>
      <c r="G57" s="71" t="s">
        <v>819</v>
      </c>
      <c r="H57" s="71" t="s">
        <v>817</v>
      </c>
      <c r="I57" s="71" t="s">
        <v>2604</v>
      </c>
      <c r="J57" s="71" t="s">
        <v>774</v>
      </c>
      <c r="K57" s="71" t="s">
        <v>2670</v>
      </c>
      <c r="L57" s="71" t="s">
        <v>2604</v>
      </c>
      <c r="M57" s="71" t="s">
        <v>2671</v>
      </c>
      <c r="N57" s="71" t="s">
        <v>2684</v>
      </c>
      <c r="O57" s="71" t="s">
        <v>2640</v>
      </c>
      <c r="P57" s="71" t="s">
        <v>2604</v>
      </c>
      <c r="Q57" s="71" t="s">
        <v>2685</v>
      </c>
      <c r="R57" s="71" t="s">
        <v>2604</v>
      </c>
      <c r="S57" s="71" t="s">
        <v>2604</v>
      </c>
      <c r="T57" s="71" t="s">
        <v>2604</v>
      </c>
      <c r="U57" s="71" t="s">
        <v>2604</v>
      </c>
      <c r="V57" s="71" t="s">
        <v>2635</v>
      </c>
    </row>
    <row r="58" spans="1:22">
      <c r="A58" s="71" t="s">
        <v>2659</v>
      </c>
      <c r="B58" s="71" t="s">
        <v>84</v>
      </c>
      <c r="C58" s="72">
        <v>45987.464755636574</v>
      </c>
      <c r="D58" s="72">
        <v>45987.464755636574</v>
      </c>
      <c r="E58" s="71" t="s">
        <v>365</v>
      </c>
      <c r="F58" s="71" t="s">
        <v>967</v>
      </c>
      <c r="G58" s="71" t="s">
        <v>968</v>
      </c>
      <c r="H58" s="71" t="s">
        <v>966</v>
      </c>
      <c r="I58" s="71" t="s">
        <v>2604</v>
      </c>
      <c r="J58" s="71" t="s">
        <v>752</v>
      </c>
      <c r="K58" s="71" t="s">
        <v>2680</v>
      </c>
      <c r="L58" s="71" t="s">
        <v>2686</v>
      </c>
      <c r="M58" s="71" t="s">
        <v>2687</v>
      </c>
      <c r="N58" s="71" t="s">
        <v>2687</v>
      </c>
      <c r="O58" s="71" t="s">
        <v>2640</v>
      </c>
      <c r="P58" s="71" t="s">
        <v>2604</v>
      </c>
      <c r="Q58" s="71" t="s">
        <v>2688</v>
      </c>
      <c r="R58" s="71" t="s">
        <v>2604</v>
      </c>
      <c r="S58" s="71" t="s">
        <v>2604</v>
      </c>
      <c r="T58" s="71" t="s">
        <v>2604</v>
      </c>
      <c r="U58" s="71" t="s">
        <v>2604</v>
      </c>
      <c r="V58" s="71" t="s">
        <v>2635</v>
      </c>
    </row>
    <row r="59" spans="1:22">
      <c r="A59" s="71" t="s">
        <v>2659</v>
      </c>
      <c r="B59" s="71" t="s">
        <v>2646</v>
      </c>
      <c r="C59" s="72">
        <v>45798.491031481484</v>
      </c>
      <c r="D59" s="72">
        <v>45798.491031481484</v>
      </c>
      <c r="E59" s="71" t="s">
        <v>365</v>
      </c>
      <c r="F59" s="71" t="s">
        <v>483</v>
      </c>
      <c r="G59" s="71" t="s">
        <v>483</v>
      </c>
      <c r="H59" s="71" t="s">
        <v>482</v>
      </c>
      <c r="I59" s="71" t="s">
        <v>2604</v>
      </c>
      <c r="J59" s="71" t="s">
        <v>774</v>
      </c>
      <c r="K59" s="71" t="s">
        <v>2689</v>
      </c>
      <c r="L59" s="71" t="s">
        <v>2604</v>
      </c>
      <c r="M59" s="71" t="s">
        <v>2690</v>
      </c>
      <c r="N59" s="71" t="s">
        <v>2691</v>
      </c>
      <c r="O59" s="71" t="s">
        <v>2692</v>
      </c>
      <c r="P59" s="71" t="s">
        <v>2604</v>
      </c>
      <c r="Q59" s="71" t="s">
        <v>2693</v>
      </c>
      <c r="R59" s="71" t="s">
        <v>2604</v>
      </c>
      <c r="S59" s="71" t="s">
        <v>2604</v>
      </c>
      <c r="T59" s="71" t="s">
        <v>2604</v>
      </c>
      <c r="U59" s="71" t="s">
        <v>2604</v>
      </c>
      <c r="V59" s="71" t="s">
        <v>2604</v>
      </c>
    </row>
    <row r="60" spans="1:22">
      <c r="A60" s="71" t="s">
        <v>2659</v>
      </c>
      <c r="B60" s="71" t="s">
        <v>56</v>
      </c>
      <c r="C60" s="72">
        <v>45940.715550949077</v>
      </c>
      <c r="D60" s="72">
        <v>45940.715550949077</v>
      </c>
      <c r="E60" s="71" t="s">
        <v>365</v>
      </c>
      <c r="F60" s="71" t="s">
        <v>874</v>
      </c>
      <c r="G60" s="71" t="s">
        <v>875</v>
      </c>
      <c r="H60" s="71" t="s">
        <v>873</v>
      </c>
      <c r="I60" s="71" t="s">
        <v>2604</v>
      </c>
      <c r="J60" s="71" t="s">
        <v>744</v>
      </c>
      <c r="K60" s="71" t="s">
        <v>2665</v>
      </c>
      <c r="L60" s="71" t="s">
        <v>2666</v>
      </c>
      <c r="M60" s="71" t="s">
        <v>2694</v>
      </c>
      <c r="N60" s="71" t="s">
        <v>2694</v>
      </c>
      <c r="O60" s="71" t="s">
        <v>2640</v>
      </c>
      <c r="P60" s="71" t="s">
        <v>2604</v>
      </c>
      <c r="Q60" s="71" t="s">
        <v>2695</v>
      </c>
      <c r="R60" s="71" t="s">
        <v>2604</v>
      </c>
      <c r="S60" s="71" t="s">
        <v>2604</v>
      </c>
      <c r="T60" s="71" t="s">
        <v>2604</v>
      </c>
      <c r="U60" s="71" t="s">
        <v>2604</v>
      </c>
      <c r="V60" s="71" t="s">
        <v>2635</v>
      </c>
    </row>
    <row r="61" spans="1:22">
      <c r="A61" s="71" t="s">
        <v>2659</v>
      </c>
      <c r="B61" s="71" t="s">
        <v>56</v>
      </c>
      <c r="C61" s="72">
        <v>46008.558496006946</v>
      </c>
      <c r="D61" s="72">
        <v>46008.558496006946</v>
      </c>
      <c r="E61" s="71" t="s">
        <v>365</v>
      </c>
      <c r="F61" s="71" t="s">
        <v>1005</v>
      </c>
      <c r="G61" s="71" t="s">
        <v>1006</v>
      </c>
      <c r="H61" s="71" t="s">
        <v>1004</v>
      </c>
      <c r="I61" s="71" t="s">
        <v>2604</v>
      </c>
      <c r="J61" s="71" t="s">
        <v>774</v>
      </c>
      <c r="K61" s="71" t="s">
        <v>2696</v>
      </c>
      <c r="L61" s="71" t="s">
        <v>2604</v>
      </c>
      <c r="M61" s="71" t="s">
        <v>2697</v>
      </c>
      <c r="N61" s="71" t="s">
        <v>2698</v>
      </c>
      <c r="O61" s="71" t="s">
        <v>2640</v>
      </c>
      <c r="P61" s="71" t="s">
        <v>2604</v>
      </c>
      <c r="Q61" s="71" t="s">
        <v>2699</v>
      </c>
      <c r="R61" s="71" t="s">
        <v>2604</v>
      </c>
      <c r="S61" s="71" t="s">
        <v>2604</v>
      </c>
      <c r="T61" s="71" t="s">
        <v>2604</v>
      </c>
      <c r="U61" s="71" t="s">
        <v>2604</v>
      </c>
      <c r="V61" s="71" t="s">
        <v>2635</v>
      </c>
    </row>
    <row r="62" spans="1:22">
      <c r="A62" s="71" t="s">
        <v>2659</v>
      </c>
      <c r="B62" s="71" t="s">
        <v>659</v>
      </c>
      <c r="C62" s="72">
        <v>45877.335951168985</v>
      </c>
      <c r="D62" s="72">
        <v>45877.335951168985</v>
      </c>
      <c r="E62" s="71" t="s">
        <v>365</v>
      </c>
      <c r="F62" s="71" t="s">
        <v>678</v>
      </c>
      <c r="G62" s="71" t="s">
        <v>2700</v>
      </c>
      <c r="H62" s="71" t="s">
        <v>677</v>
      </c>
      <c r="I62" s="71" t="s">
        <v>2604</v>
      </c>
      <c r="J62" s="71" t="s">
        <v>752</v>
      </c>
      <c r="K62" s="71" t="s">
        <v>2675</v>
      </c>
      <c r="L62" s="71" t="s">
        <v>2676</v>
      </c>
      <c r="M62" s="71" t="s">
        <v>2701</v>
      </c>
      <c r="N62" s="71" t="s">
        <v>2702</v>
      </c>
      <c r="O62" s="71" t="s">
        <v>2640</v>
      </c>
      <c r="P62" s="71" t="s">
        <v>2604</v>
      </c>
      <c r="Q62" s="71" t="s">
        <v>2703</v>
      </c>
      <c r="R62" s="71" t="s">
        <v>2604</v>
      </c>
      <c r="S62" s="71" t="s">
        <v>2604</v>
      </c>
      <c r="T62" s="71" t="s">
        <v>2604</v>
      </c>
      <c r="U62" s="71" t="s">
        <v>2604</v>
      </c>
      <c r="V62" s="71" t="s">
        <v>2635</v>
      </c>
    </row>
    <row r="63" spans="1:22">
      <c r="A63" s="71" t="s">
        <v>2659</v>
      </c>
      <c r="B63" s="71" t="s">
        <v>84</v>
      </c>
      <c r="C63" s="72">
        <v>45855.979788194447</v>
      </c>
      <c r="D63" s="72">
        <v>45855.979788194447</v>
      </c>
      <c r="E63" s="71" t="s">
        <v>365</v>
      </c>
      <c r="F63" s="71" t="s">
        <v>580</v>
      </c>
      <c r="G63" s="71" t="s">
        <v>581</v>
      </c>
      <c r="H63" s="71" t="s">
        <v>579</v>
      </c>
      <c r="I63" s="71" t="s">
        <v>2604</v>
      </c>
      <c r="J63" s="71" t="s">
        <v>744</v>
      </c>
      <c r="K63" s="71" t="s">
        <v>2665</v>
      </c>
      <c r="L63" s="71" t="s">
        <v>2704</v>
      </c>
      <c r="M63" s="71" t="s">
        <v>2671</v>
      </c>
      <c r="N63" s="71" t="s">
        <v>2705</v>
      </c>
      <c r="O63" s="71" t="s">
        <v>2640</v>
      </c>
      <c r="P63" s="71" t="s">
        <v>2604</v>
      </c>
      <c r="Q63" s="71" t="s">
        <v>2706</v>
      </c>
      <c r="R63" s="71" t="s">
        <v>2604</v>
      </c>
      <c r="S63" s="71" t="s">
        <v>2604</v>
      </c>
      <c r="T63" s="71" t="s">
        <v>2604</v>
      </c>
      <c r="U63" s="71" t="s">
        <v>2604</v>
      </c>
      <c r="V63" s="71" t="s">
        <v>2635</v>
      </c>
    </row>
    <row r="64" spans="1:22">
      <c r="A64" s="71" t="s">
        <v>2659</v>
      </c>
      <c r="B64" s="71" t="s">
        <v>56</v>
      </c>
      <c r="C64" s="72">
        <v>46063.574311504628</v>
      </c>
      <c r="D64" s="72">
        <v>46063.574311504628</v>
      </c>
      <c r="E64" s="71" t="s">
        <v>135</v>
      </c>
      <c r="F64" s="71" t="s">
        <v>1093</v>
      </c>
      <c r="G64" s="71" t="s">
        <v>1094</v>
      </c>
      <c r="H64" s="71" t="s">
        <v>1092</v>
      </c>
      <c r="I64" s="71" t="s">
        <v>2604</v>
      </c>
      <c r="J64" s="71" t="s">
        <v>744</v>
      </c>
      <c r="K64" s="71" t="s">
        <v>2665</v>
      </c>
      <c r="L64" s="71" t="s">
        <v>2666</v>
      </c>
      <c r="M64" s="71" t="s">
        <v>2671</v>
      </c>
      <c r="N64" s="71" t="s">
        <v>2707</v>
      </c>
      <c r="O64" s="71" t="s">
        <v>2640</v>
      </c>
      <c r="P64" s="71" t="s">
        <v>2604</v>
      </c>
      <c r="Q64" s="71" t="s">
        <v>2708</v>
      </c>
      <c r="R64" s="71" t="s">
        <v>2604</v>
      </c>
      <c r="S64" s="71" t="s">
        <v>2604</v>
      </c>
      <c r="T64" s="71" t="s">
        <v>2604</v>
      </c>
      <c r="U64" s="71" t="s">
        <v>2604</v>
      </c>
      <c r="V64" s="71" t="s">
        <v>2635</v>
      </c>
    </row>
    <row r="65" spans="1:22">
      <c r="A65" s="71" t="s">
        <v>2659</v>
      </c>
      <c r="B65" s="71" t="s">
        <v>56</v>
      </c>
      <c r="C65" s="72">
        <v>45866.379538831017</v>
      </c>
      <c r="D65" s="72">
        <v>45866.379538831017</v>
      </c>
      <c r="E65" s="71" t="s">
        <v>365</v>
      </c>
      <c r="F65" s="71" t="s">
        <v>2709</v>
      </c>
      <c r="G65" s="71" t="s">
        <v>642</v>
      </c>
      <c r="H65" s="71" t="s">
        <v>640</v>
      </c>
      <c r="I65" s="71" t="s">
        <v>2604</v>
      </c>
      <c r="J65" s="71" t="s">
        <v>774</v>
      </c>
      <c r="K65" s="71" t="s">
        <v>2670</v>
      </c>
      <c r="L65" s="71" t="s">
        <v>2604</v>
      </c>
      <c r="M65" s="71" t="s">
        <v>2671</v>
      </c>
      <c r="N65" s="71" t="s">
        <v>2710</v>
      </c>
      <c r="O65" s="71" t="s">
        <v>2640</v>
      </c>
      <c r="P65" s="71" t="s">
        <v>2604</v>
      </c>
      <c r="Q65" s="71" t="s">
        <v>2711</v>
      </c>
      <c r="R65" s="71" t="s">
        <v>2604</v>
      </c>
      <c r="S65" s="71" t="s">
        <v>2604</v>
      </c>
      <c r="T65" s="71" t="s">
        <v>2604</v>
      </c>
      <c r="U65" s="71" t="s">
        <v>2604</v>
      </c>
      <c r="V65" s="71" t="s">
        <v>2604</v>
      </c>
    </row>
    <row r="66" spans="1:22">
      <c r="A66" s="71" t="s">
        <v>2659</v>
      </c>
      <c r="B66" s="71" t="s">
        <v>56</v>
      </c>
      <c r="C66" s="72">
        <v>45890.58737011574</v>
      </c>
      <c r="D66" s="72">
        <v>45890.58737011574</v>
      </c>
      <c r="E66" s="71" t="s">
        <v>365</v>
      </c>
      <c r="F66" s="71" t="s">
        <v>713</v>
      </c>
      <c r="G66" s="71" t="s">
        <v>714</v>
      </c>
      <c r="H66" s="71" t="s">
        <v>712</v>
      </c>
      <c r="I66" s="71" t="s">
        <v>2604</v>
      </c>
      <c r="J66" s="71" t="s">
        <v>752</v>
      </c>
      <c r="K66" s="71" t="s">
        <v>2675</v>
      </c>
      <c r="L66" s="71" t="s">
        <v>2712</v>
      </c>
      <c r="M66" s="71" t="s">
        <v>2713</v>
      </c>
      <c r="N66" s="71" t="s">
        <v>2713</v>
      </c>
      <c r="O66" s="71" t="s">
        <v>2640</v>
      </c>
      <c r="P66" s="71" t="s">
        <v>2604</v>
      </c>
      <c r="Q66" s="71" t="s">
        <v>2714</v>
      </c>
      <c r="R66" s="71" t="s">
        <v>2604</v>
      </c>
      <c r="S66" s="71" t="s">
        <v>2604</v>
      </c>
      <c r="T66" s="71" t="s">
        <v>2604</v>
      </c>
      <c r="U66" s="71" t="s">
        <v>2604</v>
      </c>
      <c r="V66" s="71" t="s">
        <v>2635</v>
      </c>
    </row>
    <row r="67" spans="1:22">
      <c r="A67" s="71" t="s">
        <v>2659</v>
      </c>
      <c r="B67" s="71" t="s">
        <v>56</v>
      </c>
      <c r="C67" s="72">
        <v>45974.57195528935</v>
      </c>
      <c r="D67" s="72">
        <v>45974.57195528935</v>
      </c>
      <c r="E67" s="71" t="s">
        <v>380</v>
      </c>
      <c r="F67" s="71" t="s">
        <v>939</v>
      </c>
      <c r="G67" s="71" t="s">
        <v>940</v>
      </c>
      <c r="H67" s="71" t="s">
        <v>938</v>
      </c>
      <c r="I67" s="71" t="s">
        <v>2604</v>
      </c>
      <c r="J67" s="71" t="s">
        <v>774</v>
      </c>
      <c r="K67" s="71" t="s">
        <v>2670</v>
      </c>
      <c r="L67" s="71" t="s">
        <v>2604</v>
      </c>
      <c r="M67" s="71" t="s">
        <v>2671</v>
      </c>
      <c r="N67" s="71" t="s">
        <v>2715</v>
      </c>
      <c r="O67" s="71" t="s">
        <v>2640</v>
      </c>
      <c r="P67" s="71" t="s">
        <v>2604</v>
      </c>
      <c r="Q67" s="71" t="s">
        <v>2716</v>
      </c>
      <c r="R67" s="71" t="s">
        <v>2604</v>
      </c>
      <c r="S67" s="71" t="s">
        <v>2604</v>
      </c>
      <c r="T67" s="71" t="s">
        <v>2604</v>
      </c>
      <c r="U67" s="71" t="s">
        <v>2604</v>
      </c>
      <c r="V67" s="71" t="s">
        <v>2664</v>
      </c>
    </row>
    <row r="68" spans="1:22">
      <c r="A68" s="71" t="s">
        <v>2659</v>
      </c>
      <c r="B68" s="71" t="s">
        <v>2646</v>
      </c>
      <c r="C68" s="72">
        <v>45798.491031481484</v>
      </c>
      <c r="D68" s="72">
        <v>45798.491031481484</v>
      </c>
      <c r="E68" s="71" t="s">
        <v>365</v>
      </c>
      <c r="F68" s="71" t="s">
        <v>483</v>
      </c>
      <c r="G68" s="71" t="s">
        <v>483</v>
      </c>
      <c r="H68" s="71" t="s">
        <v>482</v>
      </c>
      <c r="I68" s="71" t="s">
        <v>2604</v>
      </c>
      <c r="J68" s="71" t="s">
        <v>774</v>
      </c>
      <c r="K68" s="71" t="s">
        <v>2689</v>
      </c>
      <c r="L68" s="71" t="s">
        <v>2604</v>
      </c>
      <c r="M68" s="71" t="s">
        <v>2690</v>
      </c>
      <c r="N68" s="71" t="s">
        <v>2691</v>
      </c>
      <c r="O68" s="71" t="s">
        <v>2692</v>
      </c>
      <c r="P68" s="71" t="s">
        <v>2604</v>
      </c>
      <c r="Q68" s="71" t="s">
        <v>2693</v>
      </c>
      <c r="R68" s="71" t="s">
        <v>2604</v>
      </c>
      <c r="S68" s="71" t="s">
        <v>2604</v>
      </c>
      <c r="T68" s="71" t="s">
        <v>2604</v>
      </c>
      <c r="U68" s="71" t="s">
        <v>2604</v>
      </c>
      <c r="V68" s="71" t="s">
        <v>2655</v>
      </c>
    </row>
    <row r="69" spans="1:22">
      <c r="A69" s="71" t="s">
        <v>2659</v>
      </c>
      <c r="B69" s="71" t="s">
        <v>84</v>
      </c>
      <c r="C69" s="72">
        <v>45957.639694999998</v>
      </c>
      <c r="D69" s="72">
        <v>45957.639694999998</v>
      </c>
      <c r="E69" s="71" t="s">
        <v>380</v>
      </c>
      <c r="F69" s="71" t="s">
        <v>903</v>
      </c>
      <c r="G69" s="71" t="s">
        <v>904</v>
      </c>
      <c r="H69" s="71" t="s">
        <v>902</v>
      </c>
      <c r="I69" s="71" t="s">
        <v>2604</v>
      </c>
      <c r="J69" s="71" t="s">
        <v>752</v>
      </c>
      <c r="K69" s="71" t="s">
        <v>2675</v>
      </c>
      <c r="L69" s="71" t="s">
        <v>2712</v>
      </c>
      <c r="M69" s="71" t="s">
        <v>2717</v>
      </c>
      <c r="N69" s="71" t="s">
        <v>2718</v>
      </c>
      <c r="O69" s="71" t="s">
        <v>2640</v>
      </c>
      <c r="P69" s="71" t="s">
        <v>2604</v>
      </c>
      <c r="Q69" s="71" t="s">
        <v>2719</v>
      </c>
      <c r="R69" s="71" t="s">
        <v>2604</v>
      </c>
      <c r="S69" s="71" t="s">
        <v>2604</v>
      </c>
      <c r="T69" s="71" t="s">
        <v>2604</v>
      </c>
      <c r="U69" s="71" t="s">
        <v>2604</v>
      </c>
      <c r="V69" s="71" t="s">
        <v>2604</v>
      </c>
    </row>
    <row r="70" spans="1:22">
      <c r="A70" s="71" t="s">
        <v>2659</v>
      </c>
      <c r="B70" s="71" t="s">
        <v>51</v>
      </c>
      <c r="C70" s="72">
        <v>45857.566761909722</v>
      </c>
      <c r="D70" s="72">
        <v>45857.566761909722</v>
      </c>
      <c r="E70" s="71" t="s">
        <v>365</v>
      </c>
      <c r="F70" s="71" t="s">
        <v>2720</v>
      </c>
      <c r="G70" s="71" t="s">
        <v>600</v>
      </c>
      <c r="H70" s="71" t="s">
        <v>598</v>
      </c>
      <c r="I70" s="71" t="s">
        <v>2604</v>
      </c>
      <c r="J70" s="71" t="s">
        <v>744</v>
      </c>
      <c r="K70" s="71" t="s">
        <v>2665</v>
      </c>
      <c r="L70" s="71" t="s">
        <v>2666</v>
      </c>
      <c r="M70" s="71" t="s">
        <v>2671</v>
      </c>
      <c r="N70" s="71" t="s">
        <v>2721</v>
      </c>
      <c r="O70" s="71" t="s">
        <v>2640</v>
      </c>
      <c r="P70" s="71" t="s">
        <v>2604</v>
      </c>
      <c r="Q70" s="71" t="s">
        <v>2722</v>
      </c>
      <c r="R70" s="71" t="s">
        <v>2604</v>
      </c>
      <c r="S70" s="71" t="s">
        <v>2604</v>
      </c>
      <c r="T70" s="71" t="s">
        <v>2604</v>
      </c>
      <c r="U70" s="71" t="s">
        <v>2604</v>
      </c>
      <c r="V70" s="71" t="s">
        <v>2604</v>
      </c>
    </row>
    <row r="71" spans="1:22">
      <c r="A71" s="71" t="s">
        <v>2659</v>
      </c>
      <c r="B71" s="71" t="s">
        <v>2646</v>
      </c>
      <c r="C71" s="72">
        <v>45768.528389826388</v>
      </c>
      <c r="D71" s="72">
        <v>45768.528389826388</v>
      </c>
      <c r="E71" s="71" t="s">
        <v>365</v>
      </c>
      <c r="F71" s="71" t="s">
        <v>429</v>
      </c>
      <c r="G71" s="71" t="s">
        <v>430</v>
      </c>
      <c r="H71" s="71" t="s">
        <v>428</v>
      </c>
      <c r="I71" s="71" t="s">
        <v>2604</v>
      </c>
      <c r="J71" s="71" t="s">
        <v>752</v>
      </c>
      <c r="K71" s="71" t="s">
        <v>2723</v>
      </c>
      <c r="L71" s="71" t="s">
        <v>2665</v>
      </c>
      <c r="M71" s="71" t="s">
        <v>2724</v>
      </c>
      <c r="N71" s="71" t="s">
        <v>2671</v>
      </c>
      <c r="O71" s="71" t="s">
        <v>2692</v>
      </c>
      <c r="P71" s="71" t="s">
        <v>2604</v>
      </c>
      <c r="Q71" s="71" t="s">
        <v>2725</v>
      </c>
      <c r="R71" s="71" t="s">
        <v>2604</v>
      </c>
      <c r="S71" s="71" t="s">
        <v>2604</v>
      </c>
      <c r="T71" s="71" t="s">
        <v>2604</v>
      </c>
      <c r="U71" s="71" t="s">
        <v>2604</v>
      </c>
      <c r="V71" s="71" t="s">
        <v>2658</v>
      </c>
    </row>
    <row r="72" spans="1:22">
      <c r="A72" s="71" t="s">
        <v>2659</v>
      </c>
      <c r="B72" s="71" t="s">
        <v>56</v>
      </c>
      <c r="C72" s="72">
        <v>45959.412241412036</v>
      </c>
      <c r="D72" s="72">
        <v>45959.412241412036</v>
      </c>
      <c r="E72" s="71" t="s">
        <v>365</v>
      </c>
      <c r="F72" s="71" t="s">
        <v>910</v>
      </c>
      <c r="G72" s="71" t="s">
        <v>910</v>
      </c>
      <c r="H72" s="71" t="s">
        <v>909</v>
      </c>
      <c r="I72" s="71" t="s">
        <v>2604</v>
      </c>
      <c r="J72" s="71" t="s">
        <v>813</v>
      </c>
      <c r="K72" s="71" t="s">
        <v>2648</v>
      </c>
      <c r="L72" s="71" t="s">
        <v>2649</v>
      </c>
      <c r="M72" s="71" t="s">
        <v>2726</v>
      </c>
      <c r="N72" s="71" t="s">
        <v>2727</v>
      </c>
      <c r="O72" s="71" t="s">
        <v>2640</v>
      </c>
      <c r="P72" s="71" t="s">
        <v>2604</v>
      </c>
      <c r="Q72" s="71" t="s">
        <v>2728</v>
      </c>
      <c r="R72" s="71" t="s">
        <v>2604</v>
      </c>
      <c r="S72" s="71" t="s">
        <v>2604</v>
      </c>
      <c r="T72" s="71" t="s">
        <v>2604</v>
      </c>
      <c r="U72" s="71" t="s">
        <v>2604</v>
      </c>
      <c r="V72" s="71" t="s">
        <v>2635</v>
      </c>
    </row>
    <row r="73" spans="1:22">
      <c r="A73" s="71" t="s">
        <v>2659</v>
      </c>
      <c r="B73" s="71" t="s">
        <v>84</v>
      </c>
      <c r="C73" s="72">
        <v>45972.818044050924</v>
      </c>
      <c r="D73" s="72">
        <v>45972.818044050924</v>
      </c>
      <c r="E73" s="71" t="s">
        <v>365</v>
      </c>
      <c r="F73" s="71" t="s">
        <v>932</v>
      </c>
      <c r="G73" s="71" t="s">
        <v>933</v>
      </c>
      <c r="H73" s="71" t="s">
        <v>931</v>
      </c>
      <c r="I73" s="71" t="s">
        <v>2604</v>
      </c>
      <c r="J73" s="71" t="s">
        <v>774</v>
      </c>
      <c r="K73" s="71" t="s">
        <v>2670</v>
      </c>
      <c r="L73" s="71" t="s">
        <v>2604</v>
      </c>
      <c r="M73" s="71" t="s">
        <v>2671</v>
      </c>
      <c r="N73" s="71" t="s">
        <v>2729</v>
      </c>
      <c r="O73" s="71" t="s">
        <v>2640</v>
      </c>
      <c r="P73" s="71" t="s">
        <v>2604</v>
      </c>
      <c r="Q73" s="71" t="s">
        <v>2730</v>
      </c>
      <c r="R73" s="71" t="s">
        <v>2604</v>
      </c>
      <c r="S73" s="71" t="s">
        <v>2604</v>
      </c>
      <c r="T73" s="71" t="s">
        <v>2604</v>
      </c>
      <c r="U73" s="71" t="s">
        <v>2604</v>
      </c>
      <c r="V73" s="71" t="s">
        <v>2635</v>
      </c>
    </row>
    <row r="74" spans="1:22">
      <c r="A74" s="71" t="s">
        <v>2659</v>
      </c>
      <c r="B74" s="71" t="s">
        <v>51</v>
      </c>
      <c r="C74" s="72">
        <v>45860.571338090274</v>
      </c>
      <c r="D74" s="72">
        <v>45860.571338090274</v>
      </c>
      <c r="E74" s="71" t="s">
        <v>365</v>
      </c>
      <c r="F74" s="71" t="s">
        <v>616</v>
      </c>
      <c r="G74" s="71" t="s">
        <v>617</v>
      </c>
      <c r="H74" s="71" t="s">
        <v>615</v>
      </c>
      <c r="I74" s="71" t="s">
        <v>2604</v>
      </c>
      <c r="J74" s="71" t="s">
        <v>752</v>
      </c>
      <c r="K74" s="71" t="s">
        <v>2723</v>
      </c>
      <c r="L74" s="71" t="s">
        <v>2665</v>
      </c>
      <c r="M74" s="71" t="s">
        <v>2731</v>
      </c>
      <c r="N74" s="71" t="s">
        <v>2671</v>
      </c>
      <c r="O74" s="71" t="s">
        <v>2640</v>
      </c>
      <c r="P74" s="71" t="s">
        <v>2604</v>
      </c>
      <c r="Q74" s="71" t="s">
        <v>2732</v>
      </c>
      <c r="R74" s="71" t="s">
        <v>2604</v>
      </c>
      <c r="S74" s="71" t="s">
        <v>2604</v>
      </c>
      <c r="T74" s="71" t="s">
        <v>2604</v>
      </c>
      <c r="U74" s="71" t="s">
        <v>2604</v>
      </c>
      <c r="V74" s="71" t="s">
        <v>2604</v>
      </c>
    </row>
    <row r="75" spans="1:22">
      <c r="A75" s="71" t="s">
        <v>2659</v>
      </c>
      <c r="B75" s="71" t="s">
        <v>56</v>
      </c>
      <c r="C75" s="72">
        <v>45863.531127361108</v>
      </c>
      <c r="D75" s="72">
        <v>45863.531127361108</v>
      </c>
      <c r="E75" s="71" t="s">
        <v>365</v>
      </c>
      <c r="F75" s="71" t="s">
        <v>633</v>
      </c>
      <c r="G75" s="71" t="s">
        <v>634</v>
      </c>
      <c r="H75" s="71" t="s">
        <v>632</v>
      </c>
      <c r="I75" s="71" t="s">
        <v>2604</v>
      </c>
      <c r="J75" s="71" t="s">
        <v>744</v>
      </c>
      <c r="K75" s="71" t="s">
        <v>2665</v>
      </c>
      <c r="L75" s="71" t="s">
        <v>2704</v>
      </c>
      <c r="M75" s="71" t="s">
        <v>2671</v>
      </c>
      <c r="N75" s="71" t="s">
        <v>2733</v>
      </c>
      <c r="O75" s="71" t="s">
        <v>2640</v>
      </c>
      <c r="P75" s="71" t="s">
        <v>2604</v>
      </c>
      <c r="Q75" s="71" t="s">
        <v>2734</v>
      </c>
      <c r="R75" s="71" t="s">
        <v>2604</v>
      </c>
      <c r="S75" s="71" t="s">
        <v>2604</v>
      </c>
      <c r="T75" s="71" t="s">
        <v>2604</v>
      </c>
      <c r="U75" s="71" t="s">
        <v>2604</v>
      </c>
      <c r="V75" s="71" t="s">
        <v>2664</v>
      </c>
    </row>
    <row r="76" spans="1:22">
      <c r="A76" s="71" t="s">
        <v>2659</v>
      </c>
      <c r="B76" s="71" t="s">
        <v>84</v>
      </c>
      <c r="C76" s="72">
        <v>45861.700638043978</v>
      </c>
      <c r="D76" s="72">
        <v>45861.700638043978</v>
      </c>
      <c r="E76" s="71" t="s">
        <v>365</v>
      </c>
      <c r="F76" s="71" t="s">
        <v>2735</v>
      </c>
      <c r="G76" s="71" t="s">
        <v>620</v>
      </c>
      <c r="H76" s="71" t="s">
        <v>618</v>
      </c>
      <c r="I76" s="71" t="s">
        <v>2604</v>
      </c>
      <c r="J76" s="71" t="s">
        <v>774</v>
      </c>
      <c r="K76" s="71" t="s">
        <v>2670</v>
      </c>
      <c r="L76" s="71" t="s">
        <v>2604</v>
      </c>
      <c r="M76" s="71" t="s">
        <v>2671</v>
      </c>
      <c r="N76" s="71" t="s">
        <v>2736</v>
      </c>
      <c r="O76" s="71" t="s">
        <v>2640</v>
      </c>
      <c r="P76" s="71" t="s">
        <v>2604</v>
      </c>
      <c r="Q76" s="71" t="s">
        <v>2737</v>
      </c>
      <c r="R76" s="71" t="s">
        <v>2604</v>
      </c>
      <c r="S76" s="71" t="s">
        <v>2604</v>
      </c>
      <c r="T76" s="71" t="s">
        <v>2604</v>
      </c>
      <c r="U76" s="71" t="s">
        <v>2604</v>
      </c>
      <c r="V76" s="71" t="s">
        <v>2664</v>
      </c>
    </row>
    <row r="77" spans="1:22">
      <c r="A77" s="71" t="s">
        <v>2659</v>
      </c>
      <c r="B77" s="71" t="s">
        <v>724</v>
      </c>
      <c r="C77" s="72">
        <v>46051.358842627313</v>
      </c>
      <c r="D77" s="72">
        <v>46051.358842627313</v>
      </c>
      <c r="E77" s="71" t="s">
        <v>365</v>
      </c>
      <c r="F77" s="71" t="s">
        <v>1063</v>
      </c>
      <c r="G77" s="71" t="s">
        <v>1064</v>
      </c>
      <c r="H77" s="71" t="s">
        <v>1062</v>
      </c>
      <c r="I77" s="71" t="s">
        <v>2604</v>
      </c>
      <c r="J77" s="71" t="s">
        <v>774</v>
      </c>
      <c r="K77" s="71" t="s">
        <v>2738</v>
      </c>
      <c r="L77" s="71" t="s">
        <v>2604</v>
      </c>
      <c r="M77" s="71" t="s">
        <v>2739</v>
      </c>
      <c r="N77" s="71" t="s">
        <v>2740</v>
      </c>
      <c r="O77" s="71" t="s">
        <v>2640</v>
      </c>
      <c r="P77" s="71" t="s">
        <v>2604</v>
      </c>
      <c r="Q77" s="71" t="s">
        <v>2741</v>
      </c>
      <c r="R77" s="71" t="s">
        <v>2604</v>
      </c>
      <c r="S77" s="71" t="s">
        <v>2604</v>
      </c>
      <c r="T77" s="71" t="s">
        <v>2604</v>
      </c>
      <c r="U77" s="71" t="s">
        <v>2604</v>
      </c>
      <c r="V77" s="71" t="s">
        <v>2604</v>
      </c>
    </row>
    <row r="78" spans="1:22">
      <c r="A78" s="71" t="s">
        <v>2659</v>
      </c>
      <c r="B78" s="71" t="s">
        <v>56</v>
      </c>
      <c r="C78" s="72">
        <v>45877.615013229166</v>
      </c>
      <c r="D78" s="72">
        <v>45877.615013229166</v>
      </c>
      <c r="E78" s="71" t="s">
        <v>365</v>
      </c>
      <c r="F78" s="71" t="s">
        <v>683</v>
      </c>
      <c r="G78" s="71" t="s">
        <v>684</v>
      </c>
      <c r="H78" s="71" t="s">
        <v>682</v>
      </c>
      <c r="I78" s="71" t="s">
        <v>2604</v>
      </c>
      <c r="J78" s="71" t="s">
        <v>774</v>
      </c>
      <c r="K78" s="71" t="s">
        <v>2670</v>
      </c>
      <c r="L78" s="71" t="s">
        <v>2604</v>
      </c>
      <c r="M78" s="71" t="s">
        <v>2671</v>
      </c>
      <c r="N78" s="71" t="s">
        <v>2742</v>
      </c>
      <c r="O78" s="71" t="s">
        <v>2640</v>
      </c>
      <c r="P78" s="71" t="s">
        <v>2604</v>
      </c>
      <c r="Q78" s="71" t="s">
        <v>2743</v>
      </c>
      <c r="R78" s="71" t="s">
        <v>2604</v>
      </c>
      <c r="S78" s="71" t="s">
        <v>2604</v>
      </c>
      <c r="T78" s="71" t="s">
        <v>2604</v>
      </c>
      <c r="U78" s="71" t="s">
        <v>2604</v>
      </c>
      <c r="V78" s="71" t="s">
        <v>2635</v>
      </c>
    </row>
    <row r="79" spans="1:22">
      <c r="A79" s="71" t="s">
        <v>2659</v>
      </c>
      <c r="B79" s="71" t="s">
        <v>84</v>
      </c>
      <c r="C79" s="72">
        <v>45881.505229907409</v>
      </c>
      <c r="D79" s="72">
        <v>45881.505229907409</v>
      </c>
      <c r="E79" s="71" t="s">
        <v>365</v>
      </c>
      <c r="F79" s="71" t="s">
        <v>695</v>
      </c>
      <c r="G79" s="71" t="s">
        <v>696</v>
      </c>
      <c r="H79" s="71" t="s">
        <v>694</v>
      </c>
      <c r="I79" s="71" t="s">
        <v>2604</v>
      </c>
      <c r="J79" s="71" t="s">
        <v>744</v>
      </c>
      <c r="K79" s="71" t="s">
        <v>2665</v>
      </c>
      <c r="L79" s="71" t="s">
        <v>2666</v>
      </c>
      <c r="M79" s="71" t="s">
        <v>2671</v>
      </c>
      <c r="N79" s="71" t="s">
        <v>2744</v>
      </c>
      <c r="O79" s="71" t="s">
        <v>2640</v>
      </c>
      <c r="P79" s="71" t="s">
        <v>2604</v>
      </c>
      <c r="Q79" s="71" t="s">
        <v>2745</v>
      </c>
      <c r="R79" s="71" t="s">
        <v>2604</v>
      </c>
      <c r="S79" s="71" t="s">
        <v>2604</v>
      </c>
      <c r="T79" s="71" t="s">
        <v>2604</v>
      </c>
      <c r="U79" s="71" t="s">
        <v>2604</v>
      </c>
      <c r="V79" s="71" t="s">
        <v>2635</v>
      </c>
    </row>
    <row r="80" spans="1:22">
      <c r="A80" s="71" t="s">
        <v>2659</v>
      </c>
      <c r="B80" s="71" t="s">
        <v>84</v>
      </c>
      <c r="C80" s="72">
        <v>45856.457176875003</v>
      </c>
      <c r="D80" s="72">
        <v>45856.457176875003</v>
      </c>
      <c r="E80" s="71" t="s">
        <v>365</v>
      </c>
      <c r="F80" s="71" t="s">
        <v>590</v>
      </c>
      <c r="G80" s="71" t="s">
        <v>591</v>
      </c>
      <c r="H80" s="71" t="s">
        <v>589</v>
      </c>
      <c r="I80" s="71" t="s">
        <v>2604</v>
      </c>
      <c r="J80" s="71" t="s">
        <v>774</v>
      </c>
      <c r="K80" s="71" t="s">
        <v>2670</v>
      </c>
      <c r="L80" s="71" t="s">
        <v>2604</v>
      </c>
      <c r="M80" s="71" t="s">
        <v>2671</v>
      </c>
      <c r="N80" s="71" t="s">
        <v>2746</v>
      </c>
      <c r="O80" s="71" t="s">
        <v>2640</v>
      </c>
      <c r="P80" s="71" t="s">
        <v>2604</v>
      </c>
      <c r="Q80" s="71" t="s">
        <v>2747</v>
      </c>
      <c r="R80" s="71" t="s">
        <v>2604</v>
      </c>
      <c r="S80" s="71" t="s">
        <v>2604</v>
      </c>
      <c r="T80" s="71" t="s">
        <v>2604</v>
      </c>
      <c r="U80" s="71" t="s">
        <v>2604</v>
      </c>
      <c r="V80" s="71" t="s">
        <v>2635</v>
      </c>
    </row>
    <row r="81" spans="1:22">
      <c r="A81" s="71" t="s">
        <v>2659</v>
      </c>
      <c r="B81" s="71" t="s">
        <v>659</v>
      </c>
      <c r="C81" s="72">
        <v>45869.36627111111</v>
      </c>
      <c r="D81" s="72">
        <v>45869.36627111111</v>
      </c>
      <c r="E81" s="71" t="s">
        <v>473</v>
      </c>
      <c r="F81" s="71" t="s">
        <v>2748</v>
      </c>
      <c r="G81" s="71" t="s">
        <v>2749</v>
      </c>
      <c r="H81" s="71" t="s">
        <v>660</v>
      </c>
      <c r="I81" s="71" t="s">
        <v>2604</v>
      </c>
      <c r="J81" s="71" t="s">
        <v>1140</v>
      </c>
      <c r="K81" s="71" t="s">
        <v>2750</v>
      </c>
      <c r="L81" s="71" t="s">
        <v>2604</v>
      </c>
      <c r="M81" s="71" t="s">
        <v>2751</v>
      </c>
      <c r="N81" s="71" t="s">
        <v>2752</v>
      </c>
      <c r="O81" s="71" t="s">
        <v>2640</v>
      </c>
      <c r="P81" s="71" t="s">
        <v>2753</v>
      </c>
      <c r="Q81" s="71" t="s">
        <v>2754</v>
      </c>
      <c r="R81" s="71" t="s">
        <v>2604</v>
      </c>
      <c r="S81" s="71" t="s">
        <v>2604</v>
      </c>
      <c r="T81" s="71" t="s">
        <v>2604</v>
      </c>
      <c r="U81" s="71" t="s">
        <v>2604</v>
      </c>
      <c r="V81" s="71" t="s">
        <v>2658</v>
      </c>
    </row>
    <row r="82" spans="1:22">
      <c r="A82" s="71" t="s">
        <v>2659</v>
      </c>
      <c r="B82" s="71" t="s">
        <v>2646</v>
      </c>
      <c r="C82" s="72">
        <v>45793.740437337961</v>
      </c>
      <c r="D82" s="72">
        <v>45793.740437337961</v>
      </c>
      <c r="E82" s="71" t="s">
        <v>365</v>
      </c>
      <c r="F82" s="71" t="s">
        <v>465</v>
      </c>
      <c r="G82" s="71" t="s">
        <v>466</v>
      </c>
      <c r="H82" s="71" t="s">
        <v>464</v>
      </c>
      <c r="I82" s="71" t="s">
        <v>2604</v>
      </c>
      <c r="J82" s="71" t="s">
        <v>774</v>
      </c>
      <c r="K82" s="71" t="s">
        <v>2670</v>
      </c>
      <c r="L82" s="71" t="s">
        <v>2604</v>
      </c>
      <c r="M82" s="71" t="s">
        <v>2671</v>
      </c>
      <c r="N82" s="71" t="s">
        <v>2755</v>
      </c>
      <c r="O82" s="71" t="s">
        <v>2692</v>
      </c>
      <c r="P82" s="71" t="s">
        <v>2604</v>
      </c>
      <c r="Q82" s="71" t="s">
        <v>2756</v>
      </c>
      <c r="R82" s="71" t="s">
        <v>2604</v>
      </c>
      <c r="S82" s="71" t="s">
        <v>2604</v>
      </c>
      <c r="T82" s="71" t="s">
        <v>2604</v>
      </c>
      <c r="U82" s="71" t="s">
        <v>2604</v>
      </c>
      <c r="V82" s="71" t="s">
        <v>2655</v>
      </c>
    </row>
    <row r="83" spans="1:22">
      <c r="A83" s="71" t="s">
        <v>2659</v>
      </c>
      <c r="B83" s="71" t="s">
        <v>56</v>
      </c>
      <c r="C83" s="72">
        <v>45930.776813530094</v>
      </c>
      <c r="D83" s="72">
        <v>45930.776813530094</v>
      </c>
      <c r="E83" s="71" t="s">
        <v>135</v>
      </c>
      <c r="F83" s="71" t="s">
        <v>848</v>
      </c>
      <c r="G83" s="71" t="s">
        <v>849</v>
      </c>
      <c r="H83" s="71" t="s">
        <v>847</v>
      </c>
      <c r="I83" s="71" t="s">
        <v>2604</v>
      </c>
      <c r="J83" s="71" t="s">
        <v>744</v>
      </c>
      <c r="K83" s="71" t="s">
        <v>2665</v>
      </c>
      <c r="L83" s="71" t="s">
        <v>2666</v>
      </c>
      <c r="M83" s="71" t="s">
        <v>2671</v>
      </c>
      <c r="N83" s="71" t="s">
        <v>2757</v>
      </c>
      <c r="O83" s="71" t="s">
        <v>2640</v>
      </c>
      <c r="P83" s="71" t="s">
        <v>2604</v>
      </c>
      <c r="Q83" s="71" t="s">
        <v>2758</v>
      </c>
      <c r="R83" s="71" t="s">
        <v>2604</v>
      </c>
      <c r="S83" s="71" t="s">
        <v>2604</v>
      </c>
      <c r="T83" s="71" t="s">
        <v>2604</v>
      </c>
      <c r="U83" s="71" t="s">
        <v>2604</v>
      </c>
      <c r="V83" s="71" t="s">
        <v>2635</v>
      </c>
    </row>
    <row r="84" spans="1:22">
      <c r="A84" s="71" t="s">
        <v>2659</v>
      </c>
      <c r="B84" s="71" t="s">
        <v>2646</v>
      </c>
      <c r="C84" s="72">
        <v>45810.444206087966</v>
      </c>
      <c r="D84" s="72">
        <v>45810.444206087966</v>
      </c>
      <c r="E84" s="71" t="s">
        <v>365</v>
      </c>
      <c r="F84" s="71" t="s">
        <v>485</v>
      </c>
      <c r="G84" s="71" t="s">
        <v>486</v>
      </c>
      <c r="H84" s="71" t="s">
        <v>484</v>
      </c>
      <c r="I84" s="71" t="s">
        <v>2604</v>
      </c>
      <c r="J84" s="71" t="s">
        <v>752</v>
      </c>
      <c r="K84" s="71" t="s">
        <v>2723</v>
      </c>
      <c r="L84" s="71" t="s">
        <v>2665</v>
      </c>
      <c r="M84" s="71" t="s">
        <v>2759</v>
      </c>
      <c r="N84" s="71" t="s">
        <v>2759</v>
      </c>
      <c r="O84" s="71" t="s">
        <v>2692</v>
      </c>
      <c r="P84" s="71" t="s">
        <v>2604</v>
      </c>
      <c r="Q84" s="71" t="s">
        <v>2760</v>
      </c>
      <c r="R84" s="71" t="s">
        <v>2604</v>
      </c>
      <c r="S84" s="71" t="s">
        <v>2604</v>
      </c>
      <c r="T84" s="71" t="s">
        <v>2604</v>
      </c>
      <c r="U84" s="71" t="s">
        <v>2604</v>
      </c>
      <c r="V84" s="71" t="s">
        <v>2655</v>
      </c>
    </row>
    <row r="85" spans="1:22">
      <c r="A85" s="71" t="s">
        <v>2659</v>
      </c>
      <c r="B85" s="71" t="s">
        <v>2646</v>
      </c>
      <c r="C85" s="72">
        <v>45779.436436458331</v>
      </c>
      <c r="D85" s="72">
        <v>45779.436436458331</v>
      </c>
      <c r="E85" s="71" t="s">
        <v>365</v>
      </c>
      <c r="F85" s="71" t="s">
        <v>1266</v>
      </c>
      <c r="G85" s="71" t="s">
        <v>2761</v>
      </c>
      <c r="H85" s="71" t="s">
        <v>447</v>
      </c>
      <c r="I85" s="71" t="s">
        <v>2604</v>
      </c>
      <c r="J85" s="71" t="s">
        <v>752</v>
      </c>
      <c r="K85" s="71" t="s">
        <v>2723</v>
      </c>
      <c r="L85" s="71" t="s">
        <v>2665</v>
      </c>
      <c r="M85" s="71" t="s">
        <v>2762</v>
      </c>
      <c r="N85" s="71" t="s">
        <v>2763</v>
      </c>
      <c r="O85" s="71" t="s">
        <v>2692</v>
      </c>
      <c r="P85" s="71" t="s">
        <v>2604</v>
      </c>
      <c r="Q85" s="71" t="s">
        <v>2764</v>
      </c>
      <c r="R85" s="71" t="s">
        <v>2604</v>
      </c>
      <c r="S85" s="71" t="s">
        <v>2604</v>
      </c>
      <c r="T85" s="71" t="s">
        <v>2604</v>
      </c>
      <c r="U85" s="71" t="s">
        <v>2604</v>
      </c>
      <c r="V85" s="71" t="s">
        <v>2658</v>
      </c>
    </row>
    <row r="86" spans="1:22">
      <c r="A86" s="71" t="s">
        <v>2659</v>
      </c>
      <c r="B86" s="71" t="s">
        <v>51</v>
      </c>
      <c r="C86" s="72">
        <v>45863.415494988425</v>
      </c>
      <c r="D86" s="72">
        <v>45863.415494988425</v>
      </c>
      <c r="E86" s="71" t="s">
        <v>365</v>
      </c>
      <c r="F86" s="71" t="s">
        <v>629</v>
      </c>
      <c r="G86" s="71" t="s">
        <v>630</v>
      </c>
      <c r="H86" s="71" t="s">
        <v>628</v>
      </c>
      <c r="I86" s="71" t="s">
        <v>2604</v>
      </c>
      <c r="J86" s="71" t="s">
        <v>774</v>
      </c>
      <c r="K86" s="71" t="s">
        <v>2670</v>
      </c>
      <c r="L86" s="71" t="s">
        <v>2604</v>
      </c>
      <c r="M86" s="71" t="s">
        <v>2671</v>
      </c>
      <c r="N86" s="71" t="s">
        <v>2726</v>
      </c>
      <c r="O86" s="71" t="s">
        <v>2640</v>
      </c>
      <c r="P86" s="71" t="s">
        <v>2604</v>
      </c>
      <c r="Q86" s="71" t="s">
        <v>2765</v>
      </c>
      <c r="R86" s="71" t="s">
        <v>2604</v>
      </c>
      <c r="S86" s="71" t="s">
        <v>2604</v>
      </c>
      <c r="T86" s="71" t="s">
        <v>2604</v>
      </c>
      <c r="U86" s="71" t="s">
        <v>2604</v>
      </c>
      <c r="V86" s="71" t="s">
        <v>2635</v>
      </c>
    </row>
    <row r="87" spans="1:22">
      <c r="A87" s="71" t="s">
        <v>2659</v>
      </c>
      <c r="B87" s="71" t="s">
        <v>2646</v>
      </c>
      <c r="C87" s="72">
        <v>45765.62110016204</v>
      </c>
      <c r="D87" s="72">
        <v>45765.62110016204</v>
      </c>
      <c r="E87" s="71" t="s">
        <v>365</v>
      </c>
      <c r="F87" s="71" t="s">
        <v>426</v>
      </c>
      <c r="G87" s="71" t="s">
        <v>427</v>
      </c>
      <c r="H87" s="71" t="s">
        <v>425</v>
      </c>
      <c r="I87" s="71" t="s">
        <v>2604</v>
      </c>
      <c r="J87" s="71" t="s">
        <v>752</v>
      </c>
      <c r="K87" s="71" t="s">
        <v>2723</v>
      </c>
      <c r="L87" s="71" t="s">
        <v>2665</v>
      </c>
      <c r="M87" s="71" t="s">
        <v>2766</v>
      </c>
      <c r="N87" s="71" t="s">
        <v>2766</v>
      </c>
      <c r="O87" s="71" t="s">
        <v>2692</v>
      </c>
      <c r="P87" s="71" t="s">
        <v>2604</v>
      </c>
      <c r="Q87" s="71" t="s">
        <v>2767</v>
      </c>
      <c r="R87" s="71" t="s">
        <v>2604</v>
      </c>
      <c r="S87" s="71" t="s">
        <v>2604</v>
      </c>
      <c r="T87" s="71" t="s">
        <v>2604</v>
      </c>
      <c r="U87" s="71" t="s">
        <v>2604</v>
      </c>
      <c r="V87" s="71" t="s">
        <v>2658</v>
      </c>
    </row>
    <row r="88" spans="1:22">
      <c r="A88" s="71" t="s">
        <v>2659</v>
      </c>
      <c r="B88" s="71" t="s">
        <v>659</v>
      </c>
      <c r="C88" s="72">
        <v>46057.460707175924</v>
      </c>
      <c r="D88" s="72">
        <v>46057.460707175924</v>
      </c>
      <c r="E88" s="71" t="s">
        <v>135</v>
      </c>
      <c r="F88" s="71" t="s">
        <v>1073</v>
      </c>
      <c r="G88" s="71" t="s">
        <v>1074</v>
      </c>
      <c r="H88" s="71" t="s">
        <v>1072</v>
      </c>
      <c r="I88" s="71" t="s">
        <v>2604</v>
      </c>
      <c r="J88" s="71" t="s">
        <v>747</v>
      </c>
      <c r="K88" s="71" t="s">
        <v>2768</v>
      </c>
      <c r="L88" s="71" t="s">
        <v>2769</v>
      </c>
      <c r="M88" s="71" t="s">
        <v>2770</v>
      </c>
      <c r="N88" s="71" t="s">
        <v>2771</v>
      </c>
      <c r="O88" s="71" t="s">
        <v>2640</v>
      </c>
      <c r="P88" s="71" t="s">
        <v>2604</v>
      </c>
      <c r="Q88" s="71" t="s">
        <v>2772</v>
      </c>
      <c r="R88" s="71" t="s">
        <v>2604</v>
      </c>
      <c r="S88" s="71" t="s">
        <v>2604</v>
      </c>
      <c r="T88" s="71" t="s">
        <v>2604</v>
      </c>
      <c r="U88" s="71" t="s">
        <v>2604</v>
      </c>
      <c r="V88" s="71" t="s">
        <v>2618</v>
      </c>
    </row>
    <row r="89" spans="1:22">
      <c r="A89" s="71" t="s">
        <v>2659</v>
      </c>
      <c r="B89" s="71" t="s">
        <v>84</v>
      </c>
      <c r="C89" s="72">
        <v>46034.596374247689</v>
      </c>
      <c r="D89" s="72">
        <v>46034.596374247689</v>
      </c>
      <c r="E89" s="71" t="s">
        <v>365</v>
      </c>
      <c r="F89" s="71" t="s">
        <v>1040</v>
      </c>
      <c r="G89" s="71" t="s">
        <v>1041</v>
      </c>
      <c r="H89" s="71" t="s">
        <v>1039</v>
      </c>
      <c r="I89" s="71" t="s">
        <v>2604</v>
      </c>
      <c r="J89" s="71" t="s">
        <v>769</v>
      </c>
      <c r="K89" s="71" t="s">
        <v>2773</v>
      </c>
      <c r="L89" s="71" t="s">
        <v>2670</v>
      </c>
      <c r="M89" s="71" t="s">
        <v>2638</v>
      </c>
      <c r="N89" s="71" t="s">
        <v>2774</v>
      </c>
      <c r="O89" s="71" t="s">
        <v>2640</v>
      </c>
      <c r="P89" s="71" t="s">
        <v>2604</v>
      </c>
      <c r="Q89" s="71" t="s">
        <v>2775</v>
      </c>
      <c r="R89" s="71" t="s">
        <v>2604</v>
      </c>
      <c r="S89" s="71" t="s">
        <v>2604</v>
      </c>
      <c r="T89" s="71" t="s">
        <v>2604</v>
      </c>
      <c r="U89" s="71" t="s">
        <v>2604</v>
      </c>
      <c r="V89" s="71" t="s">
        <v>2664</v>
      </c>
    </row>
    <row r="90" spans="1:22">
      <c r="A90" s="71" t="s">
        <v>2659</v>
      </c>
      <c r="B90" s="71" t="s">
        <v>56</v>
      </c>
      <c r="C90" s="72">
        <v>45954.655897141201</v>
      </c>
      <c r="D90" s="72">
        <v>45954.655897141201</v>
      </c>
      <c r="E90" s="71" t="s">
        <v>365</v>
      </c>
      <c r="F90" s="71" t="s">
        <v>900</v>
      </c>
      <c r="G90" s="71" t="s">
        <v>901</v>
      </c>
      <c r="H90" s="71" t="s">
        <v>899</v>
      </c>
      <c r="I90" s="71" t="s">
        <v>2604</v>
      </c>
      <c r="J90" s="71" t="s">
        <v>752</v>
      </c>
      <c r="K90" s="71" t="s">
        <v>2675</v>
      </c>
      <c r="L90" s="71" t="s">
        <v>2712</v>
      </c>
      <c r="M90" s="71" t="s">
        <v>2776</v>
      </c>
      <c r="N90" s="71" t="s">
        <v>2777</v>
      </c>
      <c r="O90" s="71" t="s">
        <v>2640</v>
      </c>
      <c r="P90" s="71" t="s">
        <v>2604</v>
      </c>
      <c r="Q90" s="71" t="s">
        <v>2778</v>
      </c>
      <c r="R90" s="71" t="s">
        <v>2604</v>
      </c>
      <c r="S90" s="71" t="s">
        <v>2604</v>
      </c>
      <c r="T90" s="71" t="s">
        <v>2604</v>
      </c>
      <c r="U90" s="71" t="s">
        <v>2604</v>
      </c>
      <c r="V90" s="71" t="s">
        <v>2635</v>
      </c>
    </row>
    <row r="91" spans="1:22">
      <c r="A91" s="71" t="s">
        <v>2659</v>
      </c>
      <c r="B91" s="71" t="s">
        <v>56</v>
      </c>
      <c r="C91" s="72">
        <v>45929.670792592595</v>
      </c>
      <c r="D91" s="72">
        <v>45929.670792592595</v>
      </c>
      <c r="E91" s="71" t="s">
        <v>365</v>
      </c>
      <c r="F91" s="71" t="s">
        <v>1011</v>
      </c>
      <c r="G91" s="71" t="s">
        <v>1012</v>
      </c>
      <c r="H91" s="71" t="s">
        <v>1010</v>
      </c>
      <c r="I91" s="71" t="s">
        <v>2604</v>
      </c>
      <c r="J91" s="71" t="s">
        <v>774</v>
      </c>
      <c r="K91" s="71" t="s">
        <v>2779</v>
      </c>
      <c r="L91" s="71" t="s">
        <v>2604</v>
      </c>
      <c r="M91" s="71" t="s">
        <v>2774</v>
      </c>
      <c r="N91" s="71" t="s">
        <v>2780</v>
      </c>
      <c r="O91" s="71" t="s">
        <v>2640</v>
      </c>
      <c r="P91" s="71" t="s">
        <v>2604</v>
      </c>
      <c r="Q91" s="71" t="s">
        <v>2781</v>
      </c>
      <c r="R91" s="71" t="s">
        <v>2604</v>
      </c>
      <c r="S91" s="71" t="s">
        <v>2604</v>
      </c>
      <c r="T91" s="71" t="s">
        <v>2604</v>
      </c>
      <c r="U91" s="71" t="s">
        <v>2604</v>
      </c>
      <c r="V91" s="71" t="s">
        <v>2604</v>
      </c>
    </row>
    <row r="92" spans="1:22">
      <c r="A92" s="71" t="s">
        <v>2659</v>
      </c>
      <c r="B92" s="71" t="s">
        <v>56</v>
      </c>
      <c r="C92" s="72">
        <v>46057.682791874999</v>
      </c>
      <c r="D92" s="72">
        <v>46057.682791874999</v>
      </c>
      <c r="E92" s="71" t="s">
        <v>365</v>
      </c>
      <c r="F92" s="71" t="s">
        <v>1077</v>
      </c>
      <c r="G92" s="71" t="s">
        <v>1078</v>
      </c>
      <c r="H92" s="71" t="s">
        <v>1076</v>
      </c>
      <c r="I92" s="71" t="s">
        <v>2604</v>
      </c>
      <c r="J92" s="71" t="s">
        <v>747</v>
      </c>
      <c r="K92" s="71" t="s">
        <v>2768</v>
      </c>
      <c r="L92" s="71" t="s">
        <v>2769</v>
      </c>
      <c r="M92" s="71" t="s">
        <v>2782</v>
      </c>
      <c r="N92" s="71" t="s">
        <v>2783</v>
      </c>
      <c r="O92" s="71" t="s">
        <v>2640</v>
      </c>
      <c r="P92" s="71" t="s">
        <v>2604</v>
      </c>
      <c r="Q92" s="71" t="s">
        <v>2784</v>
      </c>
      <c r="R92" s="71" t="s">
        <v>2604</v>
      </c>
      <c r="S92" s="71" t="s">
        <v>2604</v>
      </c>
      <c r="T92" s="71" t="s">
        <v>2604</v>
      </c>
      <c r="U92" s="71" t="s">
        <v>2604</v>
      </c>
      <c r="V92" s="71" t="s">
        <v>2664</v>
      </c>
    </row>
    <row r="93" spans="1:22">
      <c r="A93" s="71" t="s">
        <v>2659</v>
      </c>
      <c r="B93" s="71" t="s">
        <v>51</v>
      </c>
      <c r="C93" s="72">
        <v>45864.570643472223</v>
      </c>
      <c r="D93" s="72">
        <v>45864.570643472223</v>
      </c>
      <c r="E93" s="71" t="s">
        <v>380</v>
      </c>
      <c r="F93" s="71" t="s">
        <v>2785</v>
      </c>
      <c r="G93" s="71" t="s">
        <v>637</v>
      </c>
      <c r="H93" s="71" t="s">
        <v>635</v>
      </c>
      <c r="I93" s="71" t="s">
        <v>2604</v>
      </c>
      <c r="J93" s="71" t="s">
        <v>774</v>
      </c>
      <c r="K93" s="71" t="s">
        <v>2670</v>
      </c>
      <c r="L93" s="71" t="s">
        <v>2604</v>
      </c>
      <c r="M93" s="71" t="s">
        <v>2671</v>
      </c>
      <c r="N93" s="71" t="s">
        <v>2726</v>
      </c>
      <c r="O93" s="71" t="s">
        <v>2640</v>
      </c>
      <c r="P93" s="71" t="s">
        <v>2604</v>
      </c>
      <c r="Q93" s="71" t="s">
        <v>2786</v>
      </c>
      <c r="R93" s="71" t="s">
        <v>2604</v>
      </c>
      <c r="S93" s="71" t="s">
        <v>2604</v>
      </c>
      <c r="T93" s="71" t="s">
        <v>2604</v>
      </c>
      <c r="U93" s="71" t="s">
        <v>2604</v>
      </c>
      <c r="V93" s="71" t="s">
        <v>2604</v>
      </c>
    </row>
    <row r="94" spans="1:22">
      <c r="A94" s="71" t="s">
        <v>2659</v>
      </c>
      <c r="B94" s="71" t="s">
        <v>84</v>
      </c>
      <c r="C94" s="72">
        <v>45855.979788194447</v>
      </c>
      <c r="D94" s="72">
        <v>45855.979788194447</v>
      </c>
      <c r="E94" s="71" t="s">
        <v>365</v>
      </c>
      <c r="F94" s="71" t="s">
        <v>580</v>
      </c>
      <c r="G94" s="71" t="s">
        <v>581</v>
      </c>
      <c r="H94" s="71" t="s">
        <v>579</v>
      </c>
      <c r="I94" s="71" t="s">
        <v>2604</v>
      </c>
      <c r="J94" s="71" t="s">
        <v>744</v>
      </c>
      <c r="K94" s="71" t="s">
        <v>2665</v>
      </c>
      <c r="L94" s="71" t="s">
        <v>2704</v>
      </c>
      <c r="M94" s="71" t="s">
        <v>2671</v>
      </c>
      <c r="N94" s="71" t="s">
        <v>2705</v>
      </c>
      <c r="O94" s="71" t="s">
        <v>2640</v>
      </c>
      <c r="P94" s="71" t="s">
        <v>2604</v>
      </c>
      <c r="Q94" s="71" t="s">
        <v>2706</v>
      </c>
      <c r="R94" s="71" t="s">
        <v>2604</v>
      </c>
      <c r="S94" s="71" t="s">
        <v>2604</v>
      </c>
      <c r="T94" s="71" t="s">
        <v>2604</v>
      </c>
      <c r="U94" s="71" t="s">
        <v>2604</v>
      </c>
      <c r="V94" s="71" t="s">
        <v>2604</v>
      </c>
    </row>
    <row r="95" spans="1:22">
      <c r="A95" s="71" t="s">
        <v>2659</v>
      </c>
      <c r="B95" s="71" t="s">
        <v>84</v>
      </c>
      <c r="C95" s="72">
        <v>45849.500967256943</v>
      </c>
      <c r="D95" s="72">
        <v>45849.500967256943</v>
      </c>
      <c r="E95" s="71" t="s">
        <v>365</v>
      </c>
      <c r="F95" s="71" t="s">
        <v>546</v>
      </c>
      <c r="G95" s="71" t="s">
        <v>547</v>
      </c>
      <c r="H95" s="71" t="s">
        <v>545</v>
      </c>
      <c r="I95" s="71" t="s">
        <v>2604</v>
      </c>
      <c r="J95" s="71" t="s">
        <v>752</v>
      </c>
      <c r="K95" s="71" t="s">
        <v>2723</v>
      </c>
      <c r="L95" s="71" t="s">
        <v>2665</v>
      </c>
      <c r="M95" s="71" t="s">
        <v>2787</v>
      </c>
      <c r="N95" s="71" t="s">
        <v>2788</v>
      </c>
      <c r="O95" s="71" t="s">
        <v>2640</v>
      </c>
      <c r="P95" s="71" t="s">
        <v>2604</v>
      </c>
      <c r="Q95" s="71" t="s">
        <v>2789</v>
      </c>
      <c r="R95" s="71" t="s">
        <v>2604</v>
      </c>
      <c r="S95" s="71" t="s">
        <v>2604</v>
      </c>
      <c r="T95" s="71" t="s">
        <v>2604</v>
      </c>
      <c r="U95" s="71" t="s">
        <v>2604</v>
      </c>
      <c r="V95" s="71" t="s">
        <v>2635</v>
      </c>
    </row>
    <row r="96" spans="1:22">
      <c r="A96" s="71" t="s">
        <v>2659</v>
      </c>
      <c r="B96" s="71" t="s">
        <v>724</v>
      </c>
      <c r="C96" s="72">
        <v>46052.649132812498</v>
      </c>
      <c r="D96" s="72">
        <v>46052.649132812498</v>
      </c>
      <c r="E96" s="71" t="s">
        <v>365</v>
      </c>
      <c r="F96" s="71" t="s">
        <v>1066</v>
      </c>
      <c r="G96" s="71" t="s">
        <v>1067</v>
      </c>
      <c r="H96" s="71" t="s">
        <v>1065</v>
      </c>
      <c r="I96" s="71" t="s">
        <v>2604</v>
      </c>
      <c r="J96" s="71" t="s">
        <v>752</v>
      </c>
      <c r="K96" s="71" t="s">
        <v>2675</v>
      </c>
      <c r="L96" s="71" t="s">
        <v>2790</v>
      </c>
      <c r="M96" s="71" t="s">
        <v>2791</v>
      </c>
      <c r="N96" s="71" t="s">
        <v>2792</v>
      </c>
      <c r="O96" s="71" t="s">
        <v>2640</v>
      </c>
      <c r="P96" s="71" t="s">
        <v>2604</v>
      </c>
      <c r="Q96" s="71" t="s">
        <v>2793</v>
      </c>
      <c r="R96" s="71" t="s">
        <v>2604</v>
      </c>
      <c r="S96" s="71" t="s">
        <v>2604</v>
      </c>
      <c r="T96" s="71" t="s">
        <v>2604</v>
      </c>
      <c r="U96" s="71" t="s">
        <v>2604</v>
      </c>
      <c r="V96" s="71" t="s">
        <v>2635</v>
      </c>
    </row>
    <row r="97" spans="1:22">
      <c r="A97" s="71" t="s">
        <v>2659</v>
      </c>
      <c r="B97" s="71" t="s">
        <v>56</v>
      </c>
      <c r="C97" s="72">
        <v>45988.578998773148</v>
      </c>
      <c r="D97" s="72">
        <v>45988.578998773148</v>
      </c>
      <c r="E97" s="71" t="s">
        <v>365</v>
      </c>
      <c r="F97" s="71" t="s">
        <v>975</v>
      </c>
      <c r="G97" s="71" t="s">
        <v>976</v>
      </c>
      <c r="H97" s="71" t="s">
        <v>974</v>
      </c>
      <c r="I97" s="71" t="s">
        <v>2604</v>
      </c>
      <c r="J97" s="71" t="s">
        <v>744</v>
      </c>
      <c r="K97" s="71" t="s">
        <v>2665</v>
      </c>
      <c r="L97" s="71" t="s">
        <v>2666</v>
      </c>
      <c r="M97" s="71" t="s">
        <v>2671</v>
      </c>
      <c r="N97" s="71" t="s">
        <v>2794</v>
      </c>
      <c r="O97" s="71" t="s">
        <v>2640</v>
      </c>
      <c r="P97" s="71" t="s">
        <v>2604</v>
      </c>
      <c r="Q97" s="71" t="s">
        <v>2795</v>
      </c>
      <c r="R97" s="71" t="s">
        <v>2604</v>
      </c>
      <c r="S97" s="71" t="s">
        <v>2604</v>
      </c>
      <c r="T97" s="71" t="s">
        <v>2604</v>
      </c>
      <c r="U97" s="71" t="s">
        <v>2604</v>
      </c>
      <c r="V97" s="71" t="s">
        <v>2664</v>
      </c>
    </row>
    <row r="98" spans="1:22">
      <c r="A98" s="71" t="s">
        <v>2659</v>
      </c>
      <c r="B98" s="71" t="s">
        <v>84</v>
      </c>
      <c r="C98" s="72">
        <v>45879.807169976855</v>
      </c>
      <c r="D98" s="72">
        <v>45879.807169976855</v>
      </c>
      <c r="E98" s="71" t="s">
        <v>365</v>
      </c>
      <c r="F98" s="71" t="s">
        <v>689</v>
      </c>
      <c r="G98" s="71" t="s">
        <v>690</v>
      </c>
      <c r="H98" s="71" t="s">
        <v>688</v>
      </c>
      <c r="I98" s="71" t="s">
        <v>2604</v>
      </c>
      <c r="J98" s="71" t="s">
        <v>744</v>
      </c>
      <c r="K98" s="71" t="s">
        <v>2665</v>
      </c>
      <c r="L98" s="71" t="s">
        <v>2666</v>
      </c>
      <c r="M98" s="71" t="s">
        <v>2671</v>
      </c>
      <c r="N98" s="71" t="s">
        <v>2726</v>
      </c>
      <c r="O98" s="71" t="s">
        <v>2640</v>
      </c>
      <c r="P98" s="71" t="s">
        <v>2604</v>
      </c>
      <c r="Q98" s="71" t="s">
        <v>2796</v>
      </c>
      <c r="R98" s="71" t="s">
        <v>2604</v>
      </c>
      <c r="S98" s="71" t="s">
        <v>2604</v>
      </c>
      <c r="T98" s="71" t="s">
        <v>2604</v>
      </c>
      <c r="U98" s="71" t="s">
        <v>2604</v>
      </c>
      <c r="V98" s="71" t="s">
        <v>2635</v>
      </c>
    </row>
    <row r="99" spans="1:22">
      <c r="A99" s="71" t="s">
        <v>2659</v>
      </c>
      <c r="B99" s="71" t="s">
        <v>56</v>
      </c>
      <c r="C99" s="72">
        <v>45971.391454629629</v>
      </c>
      <c r="D99" s="72">
        <v>45971.391454629629</v>
      </c>
      <c r="E99" s="71" t="s">
        <v>365</v>
      </c>
      <c r="F99" s="71" t="s">
        <v>927</v>
      </c>
      <c r="G99" s="71" t="s">
        <v>928</v>
      </c>
      <c r="H99" s="71" t="s">
        <v>926</v>
      </c>
      <c r="I99" s="71" t="s">
        <v>2604</v>
      </c>
      <c r="J99" s="71" t="s">
        <v>774</v>
      </c>
      <c r="K99" s="71" t="s">
        <v>2670</v>
      </c>
      <c r="L99" s="71" t="s">
        <v>2604</v>
      </c>
      <c r="M99" s="71" t="s">
        <v>2671</v>
      </c>
      <c r="N99" s="71" t="s">
        <v>2797</v>
      </c>
      <c r="O99" s="71" t="s">
        <v>2640</v>
      </c>
      <c r="P99" s="71" t="s">
        <v>2604</v>
      </c>
      <c r="Q99" s="71" t="s">
        <v>2798</v>
      </c>
      <c r="R99" s="71" t="s">
        <v>2604</v>
      </c>
      <c r="S99" s="71" t="s">
        <v>2604</v>
      </c>
      <c r="T99" s="71" t="s">
        <v>2604</v>
      </c>
      <c r="U99" s="71" t="s">
        <v>2604</v>
      </c>
      <c r="V99" s="71" t="s">
        <v>2604</v>
      </c>
    </row>
    <row r="100" spans="1:22">
      <c r="A100" s="71" t="s">
        <v>2659</v>
      </c>
      <c r="B100" s="71" t="s">
        <v>56</v>
      </c>
      <c r="C100" s="72">
        <v>46072.578369687501</v>
      </c>
      <c r="D100" s="72">
        <v>46072.578369687501</v>
      </c>
      <c r="E100" s="71" t="s">
        <v>365</v>
      </c>
      <c r="F100" s="71" t="s">
        <v>2799</v>
      </c>
      <c r="G100" s="71" t="s">
        <v>1109</v>
      </c>
      <c r="H100" s="71" t="s">
        <v>1107</v>
      </c>
      <c r="I100" s="71" t="s">
        <v>2604</v>
      </c>
      <c r="J100" s="71" t="s">
        <v>752</v>
      </c>
      <c r="K100" s="71" t="s">
        <v>2675</v>
      </c>
      <c r="L100" s="71" t="s">
        <v>2712</v>
      </c>
      <c r="M100" s="71" t="s">
        <v>2800</v>
      </c>
      <c r="N100" s="71" t="s">
        <v>2801</v>
      </c>
      <c r="O100" s="71" t="s">
        <v>2640</v>
      </c>
      <c r="P100" s="71" t="s">
        <v>2604</v>
      </c>
      <c r="Q100" s="71" t="s">
        <v>2802</v>
      </c>
      <c r="R100" s="71" t="s">
        <v>2604</v>
      </c>
      <c r="S100" s="71" t="s">
        <v>2604</v>
      </c>
      <c r="T100" s="71" t="s">
        <v>2604</v>
      </c>
      <c r="U100" s="71" t="s">
        <v>2604</v>
      </c>
      <c r="V100" s="71" t="s">
        <v>2604</v>
      </c>
    </row>
    <row r="101" spans="1:22">
      <c r="A101" s="71" t="s">
        <v>2659</v>
      </c>
      <c r="B101" s="71" t="s">
        <v>56</v>
      </c>
      <c r="C101" s="72">
        <v>45959.759778692132</v>
      </c>
      <c r="D101" s="72">
        <v>45959.759778692132</v>
      </c>
      <c r="E101" s="71" t="s">
        <v>365</v>
      </c>
      <c r="F101" s="71" t="s">
        <v>912</v>
      </c>
      <c r="G101" s="71" t="s">
        <v>913</v>
      </c>
      <c r="H101" s="71" t="s">
        <v>911</v>
      </c>
      <c r="I101" s="71" t="s">
        <v>2604</v>
      </c>
      <c r="J101" s="71" t="s">
        <v>774</v>
      </c>
      <c r="K101" s="71" t="s">
        <v>2670</v>
      </c>
      <c r="L101" s="71" t="s">
        <v>2604</v>
      </c>
      <c r="M101" s="71" t="s">
        <v>2671</v>
      </c>
      <c r="N101" s="71" t="s">
        <v>2803</v>
      </c>
      <c r="O101" s="71" t="s">
        <v>2640</v>
      </c>
      <c r="P101" s="71" t="s">
        <v>2604</v>
      </c>
      <c r="Q101" s="71" t="s">
        <v>2804</v>
      </c>
      <c r="R101" s="71" t="s">
        <v>2604</v>
      </c>
      <c r="S101" s="71" t="s">
        <v>2604</v>
      </c>
      <c r="T101" s="71" t="s">
        <v>2604</v>
      </c>
      <c r="U101" s="71" t="s">
        <v>2604</v>
      </c>
      <c r="V101" s="71" t="s">
        <v>2664</v>
      </c>
    </row>
    <row r="102" spans="1:22">
      <c r="A102" s="71" t="s">
        <v>2659</v>
      </c>
      <c r="B102" s="71" t="s">
        <v>84</v>
      </c>
      <c r="C102" s="72">
        <v>45860.424292361109</v>
      </c>
      <c r="D102" s="72">
        <v>45860.424292361109</v>
      </c>
      <c r="E102" s="71" t="s">
        <v>365</v>
      </c>
      <c r="F102" s="71" t="s">
        <v>2805</v>
      </c>
      <c r="G102" s="71" t="s">
        <v>2806</v>
      </c>
      <c r="H102" s="71" t="s">
        <v>613</v>
      </c>
      <c r="I102" s="71" t="s">
        <v>2604</v>
      </c>
      <c r="J102" s="71" t="s">
        <v>774</v>
      </c>
      <c r="K102" s="71" t="s">
        <v>2670</v>
      </c>
      <c r="L102" s="71" t="s">
        <v>2604</v>
      </c>
      <c r="M102" s="71" t="s">
        <v>2671</v>
      </c>
      <c r="N102" s="71" t="s">
        <v>2671</v>
      </c>
      <c r="O102" s="71" t="s">
        <v>2640</v>
      </c>
      <c r="P102" s="71" t="s">
        <v>2604</v>
      </c>
      <c r="Q102" s="71" t="s">
        <v>2807</v>
      </c>
      <c r="R102" s="71" t="s">
        <v>2604</v>
      </c>
      <c r="S102" s="71" t="s">
        <v>2604</v>
      </c>
      <c r="T102" s="71" t="s">
        <v>2604</v>
      </c>
      <c r="U102" s="71" t="s">
        <v>2604</v>
      </c>
      <c r="V102" s="71" t="s">
        <v>2604</v>
      </c>
    </row>
    <row r="103" spans="1:22">
      <c r="A103" s="71" t="s">
        <v>2659</v>
      </c>
      <c r="B103" s="71" t="s">
        <v>56</v>
      </c>
      <c r="C103" s="72">
        <v>45866.715620891206</v>
      </c>
      <c r="D103" s="72">
        <v>45866.715620891206</v>
      </c>
      <c r="E103" s="71" t="s">
        <v>365</v>
      </c>
      <c r="F103" s="71" t="s">
        <v>2808</v>
      </c>
      <c r="G103" s="71" t="s">
        <v>650</v>
      </c>
      <c r="H103" s="71" t="s">
        <v>648</v>
      </c>
      <c r="I103" s="71" t="s">
        <v>2604</v>
      </c>
      <c r="J103" s="71" t="s">
        <v>744</v>
      </c>
      <c r="K103" s="71" t="s">
        <v>2665</v>
      </c>
      <c r="L103" s="71" t="s">
        <v>2666</v>
      </c>
      <c r="M103" s="71" t="s">
        <v>2671</v>
      </c>
      <c r="N103" s="71" t="s">
        <v>2809</v>
      </c>
      <c r="O103" s="71" t="s">
        <v>2640</v>
      </c>
      <c r="P103" s="71" t="s">
        <v>2604</v>
      </c>
      <c r="Q103" s="71" t="s">
        <v>2810</v>
      </c>
      <c r="R103" s="71" t="s">
        <v>2604</v>
      </c>
      <c r="S103" s="71" t="s">
        <v>2604</v>
      </c>
      <c r="T103" s="71" t="s">
        <v>2604</v>
      </c>
      <c r="U103" s="71" t="s">
        <v>2604</v>
      </c>
      <c r="V103" s="71" t="s">
        <v>2664</v>
      </c>
    </row>
    <row r="104" spans="1:22">
      <c r="A104" s="71" t="s">
        <v>2659</v>
      </c>
      <c r="B104" s="71" t="s">
        <v>2646</v>
      </c>
      <c r="C104" s="72">
        <v>45778.935127974539</v>
      </c>
      <c r="D104" s="72">
        <v>45778.935127974539</v>
      </c>
      <c r="E104" s="71" t="s">
        <v>365</v>
      </c>
      <c r="F104" s="71" t="s">
        <v>441</v>
      </c>
      <c r="G104" s="71" t="s">
        <v>442</v>
      </c>
      <c r="H104" s="71" t="s">
        <v>440</v>
      </c>
      <c r="I104" s="71" t="s">
        <v>2604</v>
      </c>
      <c r="J104" s="71" t="s">
        <v>813</v>
      </c>
      <c r="K104" s="71" t="s">
        <v>2648</v>
      </c>
      <c r="L104" s="71" t="s">
        <v>2649</v>
      </c>
      <c r="M104" s="71" t="s">
        <v>2650</v>
      </c>
      <c r="N104" s="71" t="s">
        <v>2651</v>
      </c>
      <c r="O104" s="71" t="s">
        <v>2692</v>
      </c>
      <c r="P104" s="71" t="s">
        <v>2604</v>
      </c>
      <c r="Q104" s="71" t="s">
        <v>2811</v>
      </c>
      <c r="R104" s="71" t="s">
        <v>2604</v>
      </c>
      <c r="S104" s="71" t="s">
        <v>2604</v>
      </c>
      <c r="T104" s="71" t="s">
        <v>2604</v>
      </c>
      <c r="U104" s="71" t="s">
        <v>2604</v>
      </c>
      <c r="V104" s="71" t="s">
        <v>2635</v>
      </c>
    </row>
    <row r="105" spans="1:22">
      <c r="A105" s="71" t="s">
        <v>2659</v>
      </c>
      <c r="B105" s="71" t="s">
        <v>84</v>
      </c>
      <c r="C105" s="72">
        <v>45978.677846724539</v>
      </c>
      <c r="D105" s="72">
        <v>45978.677846724539</v>
      </c>
      <c r="E105" s="71" t="s">
        <v>365</v>
      </c>
      <c r="F105" s="71" t="s">
        <v>952</v>
      </c>
      <c r="G105" s="71" t="s">
        <v>953</v>
      </c>
      <c r="H105" s="71" t="s">
        <v>951</v>
      </c>
      <c r="I105" s="71" t="s">
        <v>2604</v>
      </c>
      <c r="J105" s="71" t="s">
        <v>752</v>
      </c>
      <c r="K105" s="71" t="s">
        <v>2680</v>
      </c>
      <c r="L105" s="71" t="s">
        <v>2812</v>
      </c>
      <c r="M105" s="71" t="s">
        <v>2813</v>
      </c>
      <c r="N105" s="71" t="s">
        <v>2814</v>
      </c>
      <c r="O105" s="71" t="s">
        <v>2640</v>
      </c>
      <c r="P105" s="71" t="s">
        <v>2604</v>
      </c>
      <c r="Q105" s="71" t="s">
        <v>2815</v>
      </c>
      <c r="R105" s="71" t="s">
        <v>2604</v>
      </c>
      <c r="S105" s="71" t="s">
        <v>2604</v>
      </c>
      <c r="T105" s="71" t="s">
        <v>2604</v>
      </c>
      <c r="U105" s="71" t="s">
        <v>2604</v>
      </c>
      <c r="V105" s="71" t="s">
        <v>2635</v>
      </c>
    </row>
    <row r="106" spans="1:22">
      <c r="A106" s="71" t="s">
        <v>2659</v>
      </c>
      <c r="B106" s="71" t="s">
        <v>2646</v>
      </c>
      <c r="C106" s="72">
        <v>45813.288968009256</v>
      </c>
      <c r="D106" s="72">
        <v>45813.288968009256</v>
      </c>
      <c r="E106" s="71" t="s">
        <v>473</v>
      </c>
      <c r="F106" s="71" t="s">
        <v>2816</v>
      </c>
      <c r="G106" s="71" t="s">
        <v>495</v>
      </c>
      <c r="H106" s="71" t="s">
        <v>493</v>
      </c>
      <c r="I106" s="71" t="s">
        <v>2604</v>
      </c>
      <c r="J106" s="71" t="s">
        <v>752</v>
      </c>
      <c r="K106" s="71" t="s">
        <v>2723</v>
      </c>
      <c r="L106" s="71" t="s">
        <v>2665</v>
      </c>
      <c r="M106" s="71" t="s">
        <v>2817</v>
      </c>
      <c r="N106" s="71" t="s">
        <v>2671</v>
      </c>
      <c r="O106" s="71" t="s">
        <v>2612</v>
      </c>
      <c r="P106" s="71" t="s">
        <v>2604</v>
      </c>
      <c r="Q106" s="71" t="s">
        <v>2818</v>
      </c>
      <c r="R106" s="71" t="s">
        <v>2604</v>
      </c>
      <c r="S106" s="71" t="s">
        <v>2604</v>
      </c>
      <c r="T106" s="71" t="s">
        <v>2604</v>
      </c>
      <c r="U106" s="71" t="s">
        <v>2604</v>
      </c>
      <c r="V106" s="71" t="s">
        <v>2635</v>
      </c>
    </row>
    <row r="107" spans="1:22">
      <c r="A107" s="71" t="s">
        <v>2659</v>
      </c>
      <c r="B107" s="71" t="s">
        <v>84</v>
      </c>
      <c r="C107" s="72">
        <v>45861.700638043978</v>
      </c>
      <c r="D107" s="72">
        <v>45861.700638043978</v>
      </c>
      <c r="E107" s="71" t="s">
        <v>365</v>
      </c>
      <c r="F107" s="71" t="s">
        <v>2735</v>
      </c>
      <c r="G107" s="71" t="s">
        <v>620</v>
      </c>
      <c r="H107" s="71" t="s">
        <v>618</v>
      </c>
      <c r="I107" s="71" t="s">
        <v>2604</v>
      </c>
      <c r="J107" s="71" t="s">
        <v>774</v>
      </c>
      <c r="K107" s="71" t="s">
        <v>2670</v>
      </c>
      <c r="L107" s="71" t="s">
        <v>2604</v>
      </c>
      <c r="M107" s="71" t="s">
        <v>2671</v>
      </c>
      <c r="N107" s="71" t="s">
        <v>2736</v>
      </c>
      <c r="O107" s="71" t="s">
        <v>2640</v>
      </c>
      <c r="P107" s="71" t="s">
        <v>2604</v>
      </c>
      <c r="Q107" s="71" t="s">
        <v>2737</v>
      </c>
      <c r="R107" s="71" t="s">
        <v>2604</v>
      </c>
      <c r="S107" s="71" t="s">
        <v>2604</v>
      </c>
      <c r="T107" s="71" t="s">
        <v>2604</v>
      </c>
      <c r="U107" s="71" t="s">
        <v>2604</v>
      </c>
      <c r="V107" s="71" t="s">
        <v>2604</v>
      </c>
    </row>
    <row r="108" spans="1:22">
      <c r="A108" s="71" t="s">
        <v>2659</v>
      </c>
      <c r="B108" s="71" t="s">
        <v>56</v>
      </c>
      <c r="C108" s="72">
        <v>46045.710965115744</v>
      </c>
      <c r="D108" s="72">
        <v>46045.710965115744</v>
      </c>
      <c r="E108" s="71" t="s">
        <v>365</v>
      </c>
      <c r="F108" s="71" t="s">
        <v>1056</v>
      </c>
      <c r="G108" s="71" t="s">
        <v>1057</v>
      </c>
      <c r="H108" s="71" t="s">
        <v>1055</v>
      </c>
      <c r="I108" s="71" t="s">
        <v>2604</v>
      </c>
      <c r="J108" s="71" t="s">
        <v>813</v>
      </c>
      <c r="K108" s="71" t="s">
        <v>2648</v>
      </c>
      <c r="L108" s="71" t="s">
        <v>2649</v>
      </c>
      <c r="M108" s="71" t="s">
        <v>2726</v>
      </c>
      <c r="N108" s="71" t="s">
        <v>2726</v>
      </c>
      <c r="O108" s="71" t="s">
        <v>2640</v>
      </c>
      <c r="P108" s="71" t="s">
        <v>2604</v>
      </c>
      <c r="Q108" s="71" t="s">
        <v>2819</v>
      </c>
      <c r="R108" s="71" t="s">
        <v>2604</v>
      </c>
      <c r="S108" s="71" t="s">
        <v>2604</v>
      </c>
      <c r="T108" s="71" t="s">
        <v>2604</v>
      </c>
      <c r="U108" s="71" t="s">
        <v>2604</v>
      </c>
      <c r="V108" s="71" t="s">
        <v>2664</v>
      </c>
    </row>
    <row r="109" spans="1:22">
      <c r="A109" s="71" t="s">
        <v>2659</v>
      </c>
      <c r="B109" s="71" t="s">
        <v>84</v>
      </c>
      <c r="C109" s="72">
        <v>46008.631939421299</v>
      </c>
      <c r="D109" s="72">
        <v>46008.631939421299</v>
      </c>
      <c r="E109" s="71" t="s">
        <v>365</v>
      </c>
      <c r="F109" s="71" t="s">
        <v>1008</v>
      </c>
      <c r="G109" s="71" t="s">
        <v>1009</v>
      </c>
      <c r="H109" s="71" t="s">
        <v>1007</v>
      </c>
      <c r="I109" s="71" t="s">
        <v>2604</v>
      </c>
      <c r="J109" s="71" t="s">
        <v>774</v>
      </c>
      <c r="K109" s="71" t="s">
        <v>2670</v>
      </c>
      <c r="L109" s="71" t="s">
        <v>2604</v>
      </c>
      <c r="M109" s="71" t="s">
        <v>2671</v>
      </c>
      <c r="N109" s="71" t="s">
        <v>2671</v>
      </c>
      <c r="O109" s="71" t="s">
        <v>2640</v>
      </c>
      <c r="P109" s="71" t="s">
        <v>2604</v>
      </c>
      <c r="Q109" s="71" t="s">
        <v>2820</v>
      </c>
      <c r="R109" s="71" t="s">
        <v>2604</v>
      </c>
      <c r="S109" s="71" t="s">
        <v>2604</v>
      </c>
      <c r="T109" s="71" t="s">
        <v>2604</v>
      </c>
      <c r="U109" s="71" t="s">
        <v>2604</v>
      </c>
      <c r="V109" s="71" t="s">
        <v>2604</v>
      </c>
    </row>
    <row r="110" spans="1:22">
      <c r="A110" s="71" t="s">
        <v>2659</v>
      </c>
      <c r="B110" s="71" t="s">
        <v>724</v>
      </c>
      <c r="C110" s="72">
        <v>46059.793704421296</v>
      </c>
      <c r="D110" s="72">
        <v>46059.793704421296</v>
      </c>
      <c r="E110" s="71" t="s">
        <v>365</v>
      </c>
      <c r="F110" s="71" t="s">
        <v>1084</v>
      </c>
      <c r="G110" s="71" t="s">
        <v>1085</v>
      </c>
      <c r="H110" s="71" t="s">
        <v>1083</v>
      </c>
      <c r="I110" s="71" t="s">
        <v>2604</v>
      </c>
      <c r="J110" s="71" t="s">
        <v>744</v>
      </c>
      <c r="K110" s="71" t="s">
        <v>2665</v>
      </c>
      <c r="L110" s="71" t="s">
        <v>2821</v>
      </c>
      <c r="M110" s="71" t="s">
        <v>2671</v>
      </c>
      <c r="N110" s="71" t="s">
        <v>2671</v>
      </c>
      <c r="O110" s="71" t="s">
        <v>2640</v>
      </c>
      <c r="P110" s="71" t="s">
        <v>2604</v>
      </c>
      <c r="Q110" s="71" t="s">
        <v>2822</v>
      </c>
      <c r="R110" s="71" t="s">
        <v>2604</v>
      </c>
      <c r="S110" s="71" t="s">
        <v>2604</v>
      </c>
      <c r="T110" s="71" t="s">
        <v>2604</v>
      </c>
      <c r="U110" s="71" t="s">
        <v>2604</v>
      </c>
      <c r="V110" s="71" t="s">
        <v>2664</v>
      </c>
    </row>
    <row r="111" spans="1:22">
      <c r="A111" s="71" t="s">
        <v>2659</v>
      </c>
      <c r="B111" s="71" t="s">
        <v>56</v>
      </c>
      <c r="C111" s="72">
        <v>46057.682791874999</v>
      </c>
      <c r="D111" s="72">
        <v>46057.682791874999</v>
      </c>
      <c r="E111" s="71" t="s">
        <v>365</v>
      </c>
      <c r="F111" s="71" t="s">
        <v>1077</v>
      </c>
      <c r="G111" s="71" t="s">
        <v>1078</v>
      </c>
      <c r="H111" s="71" t="s">
        <v>1076</v>
      </c>
      <c r="I111" s="71" t="s">
        <v>2604</v>
      </c>
      <c r="J111" s="71" t="s">
        <v>747</v>
      </c>
      <c r="K111" s="71" t="s">
        <v>2768</v>
      </c>
      <c r="L111" s="71" t="s">
        <v>2769</v>
      </c>
      <c r="M111" s="71" t="s">
        <v>2782</v>
      </c>
      <c r="N111" s="71" t="s">
        <v>2783</v>
      </c>
      <c r="O111" s="71" t="s">
        <v>2640</v>
      </c>
      <c r="P111" s="71" t="s">
        <v>2604</v>
      </c>
      <c r="Q111" s="71" t="s">
        <v>2784</v>
      </c>
      <c r="R111" s="71" t="s">
        <v>2604</v>
      </c>
      <c r="S111" s="71" t="s">
        <v>2604</v>
      </c>
      <c r="T111" s="71" t="s">
        <v>2604</v>
      </c>
      <c r="U111" s="71" t="s">
        <v>2604</v>
      </c>
      <c r="V111" s="71" t="s">
        <v>2635</v>
      </c>
    </row>
    <row r="112" spans="1:22">
      <c r="A112" s="71" t="s">
        <v>2659</v>
      </c>
      <c r="B112" s="71" t="s">
        <v>84</v>
      </c>
      <c r="C112" s="72">
        <v>45938.476830613428</v>
      </c>
      <c r="D112" s="72">
        <v>45938.476830613428</v>
      </c>
      <c r="E112" s="71" t="s">
        <v>473</v>
      </c>
      <c r="F112" s="71" t="s">
        <v>865</v>
      </c>
      <c r="G112" s="71" t="s">
        <v>866</v>
      </c>
      <c r="H112" s="71" t="s">
        <v>864</v>
      </c>
      <c r="I112" s="71" t="s">
        <v>2604</v>
      </c>
      <c r="J112" s="71" t="s">
        <v>752</v>
      </c>
      <c r="K112" s="71" t="s">
        <v>2675</v>
      </c>
      <c r="L112" s="71" t="s">
        <v>2712</v>
      </c>
      <c r="M112" s="71" t="s">
        <v>2823</v>
      </c>
      <c r="N112" s="71" t="s">
        <v>2824</v>
      </c>
      <c r="O112" s="71" t="s">
        <v>2640</v>
      </c>
      <c r="P112" s="71" t="s">
        <v>2604</v>
      </c>
      <c r="Q112" s="71" t="s">
        <v>2825</v>
      </c>
      <c r="R112" s="71" t="s">
        <v>2604</v>
      </c>
      <c r="S112" s="71" t="s">
        <v>2604</v>
      </c>
      <c r="T112" s="71" t="s">
        <v>2604</v>
      </c>
      <c r="U112" s="71" t="s">
        <v>2604</v>
      </c>
      <c r="V112" s="71" t="s">
        <v>2635</v>
      </c>
    </row>
    <row r="113" spans="1:22">
      <c r="A113" s="71" t="s">
        <v>2659</v>
      </c>
      <c r="B113" s="71" t="s">
        <v>2646</v>
      </c>
      <c r="C113" s="72">
        <v>45811.65802422454</v>
      </c>
      <c r="D113" s="72">
        <v>45811.65802422454</v>
      </c>
      <c r="E113" s="71" t="s">
        <v>365</v>
      </c>
      <c r="F113" s="71" t="s">
        <v>488</v>
      </c>
      <c r="G113" s="71" t="s">
        <v>489</v>
      </c>
      <c r="H113" s="71" t="s">
        <v>487</v>
      </c>
      <c r="I113" s="71" t="s">
        <v>2604</v>
      </c>
      <c r="J113" s="71" t="s">
        <v>752</v>
      </c>
      <c r="K113" s="71" t="s">
        <v>2723</v>
      </c>
      <c r="L113" s="71" t="s">
        <v>2665</v>
      </c>
      <c r="M113" s="71" t="s">
        <v>2826</v>
      </c>
      <c r="N113" s="71" t="s">
        <v>2826</v>
      </c>
      <c r="O113" s="71" t="s">
        <v>2692</v>
      </c>
      <c r="P113" s="71" t="s">
        <v>2604</v>
      </c>
      <c r="Q113" s="71" t="s">
        <v>2827</v>
      </c>
      <c r="R113" s="71" t="s">
        <v>2604</v>
      </c>
      <c r="S113" s="71" t="s">
        <v>2604</v>
      </c>
      <c r="T113" s="71" t="s">
        <v>2604</v>
      </c>
      <c r="U113" s="71" t="s">
        <v>2604</v>
      </c>
      <c r="V113" s="71" t="s">
        <v>2635</v>
      </c>
    </row>
    <row r="114" spans="1:22">
      <c r="A114" s="71" t="s">
        <v>2659</v>
      </c>
      <c r="B114" s="71" t="s">
        <v>84</v>
      </c>
      <c r="C114" s="72">
        <v>45925.570581099535</v>
      </c>
      <c r="D114" s="72">
        <v>45925.570581099535</v>
      </c>
      <c r="E114" s="71" t="s">
        <v>473</v>
      </c>
      <c r="F114" s="71" t="s">
        <v>839</v>
      </c>
      <c r="G114" s="71" t="s">
        <v>840</v>
      </c>
      <c r="H114" s="71" t="s">
        <v>838</v>
      </c>
      <c r="I114" s="71" t="s">
        <v>2604</v>
      </c>
      <c r="J114" s="71" t="s">
        <v>752</v>
      </c>
      <c r="K114" s="71" t="s">
        <v>2680</v>
      </c>
      <c r="L114" s="71" t="s">
        <v>2812</v>
      </c>
      <c r="M114" s="71" t="s">
        <v>2828</v>
      </c>
      <c r="N114" s="71" t="s">
        <v>2829</v>
      </c>
      <c r="O114" s="71" t="s">
        <v>2640</v>
      </c>
      <c r="P114" s="71" t="s">
        <v>2604</v>
      </c>
      <c r="Q114" s="71" t="s">
        <v>2830</v>
      </c>
      <c r="R114" s="71" t="s">
        <v>2604</v>
      </c>
      <c r="S114" s="71" t="s">
        <v>2604</v>
      </c>
      <c r="T114" s="71" t="s">
        <v>2604</v>
      </c>
      <c r="U114" s="71" t="s">
        <v>2604</v>
      </c>
      <c r="V114" s="71" t="s">
        <v>2635</v>
      </c>
    </row>
    <row r="115" spans="1:22">
      <c r="A115" s="71" t="s">
        <v>2659</v>
      </c>
      <c r="B115" s="71" t="s">
        <v>56</v>
      </c>
      <c r="C115" s="72">
        <v>45900.395212719908</v>
      </c>
      <c r="D115" s="72">
        <v>45900.395212719908</v>
      </c>
      <c r="E115" s="71" t="s">
        <v>365</v>
      </c>
      <c r="F115" s="71" t="s">
        <v>754</v>
      </c>
      <c r="G115" s="71" t="s">
        <v>755</v>
      </c>
      <c r="H115" s="71" t="s">
        <v>753</v>
      </c>
      <c r="I115" s="71" t="s">
        <v>2604</v>
      </c>
      <c r="J115" s="71" t="s">
        <v>744</v>
      </c>
      <c r="K115" s="71" t="s">
        <v>2665</v>
      </c>
      <c r="L115" s="71" t="s">
        <v>2821</v>
      </c>
      <c r="M115" s="71" t="s">
        <v>2671</v>
      </c>
      <c r="N115" s="71" t="s">
        <v>2831</v>
      </c>
      <c r="O115" s="71" t="s">
        <v>2640</v>
      </c>
      <c r="P115" s="71" t="s">
        <v>2604</v>
      </c>
      <c r="Q115" s="71" t="s">
        <v>2832</v>
      </c>
      <c r="R115" s="71" t="s">
        <v>2604</v>
      </c>
      <c r="S115" s="71" t="s">
        <v>2604</v>
      </c>
      <c r="T115" s="71" t="s">
        <v>2604</v>
      </c>
      <c r="U115" s="71" t="s">
        <v>2604</v>
      </c>
      <c r="V115" s="71" t="s">
        <v>2604</v>
      </c>
    </row>
    <row r="116" spans="1:22">
      <c r="A116" s="71" t="s">
        <v>2659</v>
      </c>
      <c r="B116" s="71" t="s">
        <v>2646</v>
      </c>
      <c r="C116" s="72">
        <v>45803.684088437498</v>
      </c>
      <c r="D116" s="72">
        <v>45803.684088437498</v>
      </c>
      <c r="E116" s="71" t="s">
        <v>365</v>
      </c>
      <c r="F116" s="71" t="s">
        <v>2833</v>
      </c>
      <c r="G116" s="71" t="s">
        <v>2834</v>
      </c>
      <c r="H116" s="71" t="s">
        <v>2835</v>
      </c>
      <c r="I116" s="71" t="s">
        <v>2604</v>
      </c>
      <c r="J116" s="71" t="s">
        <v>813</v>
      </c>
      <c r="K116" s="71" t="s">
        <v>2648</v>
      </c>
      <c r="L116" s="71" t="s">
        <v>2649</v>
      </c>
      <c r="M116" s="71" t="s">
        <v>2650</v>
      </c>
      <c r="N116" s="71" t="s">
        <v>2836</v>
      </c>
      <c r="O116" s="71" t="s">
        <v>2692</v>
      </c>
      <c r="P116" s="71" t="s">
        <v>2604</v>
      </c>
      <c r="Q116" s="71" t="s">
        <v>2837</v>
      </c>
      <c r="R116" s="71" t="s">
        <v>2604</v>
      </c>
      <c r="S116" s="71" t="s">
        <v>2604</v>
      </c>
      <c r="T116" s="71" t="s">
        <v>2604</v>
      </c>
      <c r="U116" s="71" t="s">
        <v>2604</v>
      </c>
      <c r="V116" s="71" t="s">
        <v>2604</v>
      </c>
    </row>
    <row r="117" spans="1:22">
      <c r="A117" s="71" t="s">
        <v>2659</v>
      </c>
      <c r="B117" s="71" t="s">
        <v>84</v>
      </c>
      <c r="C117" s="72">
        <v>45903.428415694441</v>
      </c>
      <c r="D117" s="72">
        <v>45903.428415694441</v>
      </c>
      <c r="E117" s="71" t="s">
        <v>135</v>
      </c>
      <c r="F117" s="71" t="s">
        <v>767</v>
      </c>
      <c r="G117" s="71" t="s">
        <v>768</v>
      </c>
      <c r="H117" s="71" t="s">
        <v>766</v>
      </c>
      <c r="I117" s="71" t="s">
        <v>2604</v>
      </c>
      <c r="J117" s="71" t="s">
        <v>769</v>
      </c>
      <c r="K117" s="71" t="s">
        <v>2838</v>
      </c>
      <c r="L117" s="71" t="s">
        <v>2839</v>
      </c>
      <c r="M117" s="71" t="s">
        <v>2671</v>
      </c>
      <c r="N117" s="71" t="s">
        <v>2840</v>
      </c>
      <c r="O117" s="71" t="s">
        <v>2640</v>
      </c>
      <c r="P117" s="71" t="s">
        <v>2604</v>
      </c>
      <c r="Q117" s="71" t="s">
        <v>2841</v>
      </c>
      <c r="R117" s="71" t="s">
        <v>2604</v>
      </c>
      <c r="S117" s="71" t="s">
        <v>2604</v>
      </c>
      <c r="T117" s="71" t="s">
        <v>2604</v>
      </c>
      <c r="U117" s="71" t="s">
        <v>2604</v>
      </c>
      <c r="V117" s="71" t="s">
        <v>2604</v>
      </c>
    </row>
    <row r="118" spans="1:22">
      <c r="A118" s="71" t="s">
        <v>2659</v>
      </c>
      <c r="B118" s="71" t="s">
        <v>56</v>
      </c>
      <c r="C118" s="72">
        <v>45923.504220196759</v>
      </c>
      <c r="D118" s="72">
        <v>45923.504220196759</v>
      </c>
      <c r="E118" s="71" t="s">
        <v>365</v>
      </c>
      <c r="F118" s="71" t="s">
        <v>830</v>
      </c>
      <c r="G118" s="71" t="s">
        <v>831</v>
      </c>
      <c r="H118" s="71" t="s">
        <v>829</v>
      </c>
      <c r="I118" s="71" t="s">
        <v>2604</v>
      </c>
      <c r="J118" s="71" t="s">
        <v>813</v>
      </c>
      <c r="K118" s="71" t="s">
        <v>2648</v>
      </c>
      <c r="L118" s="71" t="s">
        <v>2649</v>
      </c>
      <c r="M118" s="71" t="s">
        <v>2726</v>
      </c>
      <c r="N118" s="71" t="s">
        <v>2726</v>
      </c>
      <c r="O118" s="71" t="s">
        <v>2640</v>
      </c>
      <c r="P118" s="71" t="s">
        <v>2604</v>
      </c>
      <c r="Q118" s="71" t="s">
        <v>2842</v>
      </c>
      <c r="R118" s="71" t="s">
        <v>2604</v>
      </c>
      <c r="S118" s="71" t="s">
        <v>2604</v>
      </c>
      <c r="T118" s="71" t="s">
        <v>2604</v>
      </c>
      <c r="U118" s="71" t="s">
        <v>2604</v>
      </c>
      <c r="V118" s="71" t="s">
        <v>2604</v>
      </c>
    </row>
    <row r="119" spans="1:22">
      <c r="A119" s="71" t="s">
        <v>2659</v>
      </c>
      <c r="B119" s="71" t="s">
        <v>56</v>
      </c>
      <c r="C119" s="72">
        <v>46071.768705092596</v>
      </c>
      <c r="D119" s="72">
        <v>46071.768705092596</v>
      </c>
      <c r="E119" s="71" t="s">
        <v>473</v>
      </c>
      <c r="F119" s="71" t="s">
        <v>2843</v>
      </c>
      <c r="G119" s="71" t="s">
        <v>1105</v>
      </c>
      <c r="H119" s="71" t="s">
        <v>1103</v>
      </c>
      <c r="I119" s="71" t="s">
        <v>2604</v>
      </c>
      <c r="J119" s="71" t="s">
        <v>752</v>
      </c>
      <c r="K119" s="71" t="s">
        <v>2675</v>
      </c>
      <c r="L119" s="71" t="s">
        <v>2790</v>
      </c>
      <c r="M119" s="71" t="s">
        <v>2844</v>
      </c>
      <c r="N119" s="71" t="s">
        <v>2845</v>
      </c>
      <c r="O119" s="71" t="s">
        <v>2640</v>
      </c>
      <c r="P119" s="71" t="s">
        <v>2604</v>
      </c>
      <c r="Q119" s="71" t="s">
        <v>2846</v>
      </c>
      <c r="R119" s="71" t="s">
        <v>2604</v>
      </c>
      <c r="S119" s="71" t="s">
        <v>2604</v>
      </c>
      <c r="T119" s="71" t="s">
        <v>2604</v>
      </c>
      <c r="U119" s="71" t="s">
        <v>2604</v>
      </c>
      <c r="V119" s="71" t="s">
        <v>2604</v>
      </c>
    </row>
    <row r="120" spans="1:22">
      <c r="A120" s="71" t="s">
        <v>2659</v>
      </c>
      <c r="B120" s="71" t="s">
        <v>56</v>
      </c>
      <c r="C120" s="72">
        <v>45974.57195528935</v>
      </c>
      <c r="D120" s="72">
        <v>45974.57195528935</v>
      </c>
      <c r="E120" s="71" t="s">
        <v>380</v>
      </c>
      <c r="F120" s="71" t="s">
        <v>939</v>
      </c>
      <c r="G120" s="71" t="s">
        <v>940</v>
      </c>
      <c r="H120" s="71" t="s">
        <v>938</v>
      </c>
      <c r="I120" s="71" t="s">
        <v>2604</v>
      </c>
      <c r="J120" s="71" t="s">
        <v>774</v>
      </c>
      <c r="K120" s="71" t="s">
        <v>2670</v>
      </c>
      <c r="L120" s="71" t="s">
        <v>2604</v>
      </c>
      <c r="M120" s="71" t="s">
        <v>2671</v>
      </c>
      <c r="N120" s="71" t="s">
        <v>2715</v>
      </c>
      <c r="O120" s="71" t="s">
        <v>2640</v>
      </c>
      <c r="P120" s="71" t="s">
        <v>2604</v>
      </c>
      <c r="Q120" s="71" t="s">
        <v>2716</v>
      </c>
      <c r="R120" s="71" t="s">
        <v>2604</v>
      </c>
      <c r="S120" s="71" t="s">
        <v>2604</v>
      </c>
      <c r="T120" s="71" t="s">
        <v>2604</v>
      </c>
      <c r="U120" s="71" t="s">
        <v>2604</v>
      </c>
      <c r="V120" s="71" t="s">
        <v>2635</v>
      </c>
    </row>
    <row r="121" spans="1:22">
      <c r="A121" s="71" t="s">
        <v>2659</v>
      </c>
      <c r="B121" s="71" t="s">
        <v>56</v>
      </c>
      <c r="C121" s="72">
        <v>45940.434554409723</v>
      </c>
      <c r="D121" s="72">
        <v>45940.434554409723</v>
      </c>
      <c r="E121" s="71" t="s">
        <v>365</v>
      </c>
      <c r="F121" s="71" t="s">
        <v>870</v>
      </c>
      <c r="G121" s="71" t="s">
        <v>871</v>
      </c>
      <c r="H121" s="71" t="s">
        <v>869</v>
      </c>
      <c r="I121" s="71" t="s">
        <v>2604</v>
      </c>
      <c r="J121" s="71" t="s">
        <v>752</v>
      </c>
      <c r="K121" s="71" t="s">
        <v>2675</v>
      </c>
      <c r="L121" s="71" t="s">
        <v>2790</v>
      </c>
      <c r="M121" s="71" t="s">
        <v>2847</v>
      </c>
      <c r="N121" s="71" t="s">
        <v>2848</v>
      </c>
      <c r="O121" s="71" t="s">
        <v>2640</v>
      </c>
      <c r="P121" s="71" t="s">
        <v>2604</v>
      </c>
      <c r="Q121" s="71" t="s">
        <v>2849</v>
      </c>
      <c r="R121" s="71" t="s">
        <v>2604</v>
      </c>
      <c r="S121" s="71" t="s">
        <v>2604</v>
      </c>
      <c r="T121" s="71" t="s">
        <v>2604</v>
      </c>
      <c r="U121" s="71" t="s">
        <v>2604</v>
      </c>
      <c r="V121" s="71" t="s">
        <v>2635</v>
      </c>
    </row>
    <row r="122" spans="1:22">
      <c r="A122" s="71" t="s">
        <v>2659</v>
      </c>
      <c r="B122" s="71" t="s">
        <v>56</v>
      </c>
      <c r="C122" s="72">
        <v>45971.476252118053</v>
      </c>
      <c r="D122" s="72">
        <v>45971.476252118053</v>
      </c>
      <c r="E122" s="71" t="s">
        <v>380</v>
      </c>
      <c r="F122" s="71" t="s">
        <v>2850</v>
      </c>
      <c r="G122" s="71" t="s">
        <v>2851</v>
      </c>
      <c r="H122" s="71" t="s">
        <v>929</v>
      </c>
      <c r="I122" s="71" t="s">
        <v>2604</v>
      </c>
      <c r="J122" s="71" t="s">
        <v>752</v>
      </c>
      <c r="K122" s="71" t="s">
        <v>2675</v>
      </c>
      <c r="L122" s="71" t="s">
        <v>2852</v>
      </c>
      <c r="M122" s="71" t="s">
        <v>2853</v>
      </c>
      <c r="N122" s="71" t="s">
        <v>2854</v>
      </c>
      <c r="O122" s="71" t="s">
        <v>2640</v>
      </c>
      <c r="P122" s="71" t="s">
        <v>2604</v>
      </c>
      <c r="Q122" s="71" t="s">
        <v>2855</v>
      </c>
      <c r="R122" s="71" t="s">
        <v>2604</v>
      </c>
      <c r="S122" s="71" t="s">
        <v>2604</v>
      </c>
      <c r="T122" s="71" t="s">
        <v>2604</v>
      </c>
      <c r="U122" s="71" t="s">
        <v>2604</v>
      </c>
      <c r="V122" s="71" t="s">
        <v>2604</v>
      </c>
    </row>
    <row r="123" spans="1:22">
      <c r="A123" s="71" t="s">
        <v>2659</v>
      </c>
      <c r="B123" s="71" t="s">
        <v>56</v>
      </c>
      <c r="C123" s="72">
        <v>45862.773318032407</v>
      </c>
      <c r="D123" s="72">
        <v>45862.773318032407</v>
      </c>
      <c r="E123" s="71" t="s">
        <v>365</v>
      </c>
      <c r="F123" s="71" t="s">
        <v>626</v>
      </c>
      <c r="G123" s="71" t="s">
        <v>627</v>
      </c>
      <c r="H123" s="71" t="s">
        <v>625</v>
      </c>
      <c r="I123" s="71" t="s">
        <v>2604</v>
      </c>
      <c r="J123" s="71" t="s">
        <v>744</v>
      </c>
      <c r="K123" s="71" t="s">
        <v>2665</v>
      </c>
      <c r="L123" s="71" t="s">
        <v>2666</v>
      </c>
      <c r="M123" s="71" t="s">
        <v>2671</v>
      </c>
      <c r="N123" s="71" t="s">
        <v>2856</v>
      </c>
      <c r="O123" s="71" t="s">
        <v>2640</v>
      </c>
      <c r="P123" s="71" t="s">
        <v>2604</v>
      </c>
      <c r="Q123" s="71" t="s">
        <v>2857</v>
      </c>
      <c r="R123" s="71" t="s">
        <v>2604</v>
      </c>
      <c r="S123" s="71" t="s">
        <v>2604</v>
      </c>
      <c r="T123" s="71" t="s">
        <v>2604</v>
      </c>
      <c r="U123" s="71" t="s">
        <v>2604</v>
      </c>
      <c r="V123" s="71" t="s">
        <v>2604</v>
      </c>
    </row>
    <row r="124" spans="1:22">
      <c r="A124" s="71" t="s">
        <v>2659</v>
      </c>
      <c r="B124" s="71" t="s">
        <v>56</v>
      </c>
      <c r="C124" s="72">
        <v>45931.534792002312</v>
      </c>
      <c r="D124" s="72">
        <v>45931.534792002312</v>
      </c>
      <c r="E124" s="71" t="s">
        <v>365</v>
      </c>
      <c r="F124" s="71" t="s">
        <v>851</v>
      </c>
      <c r="G124" s="71" t="s">
        <v>852</v>
      </c>
      <c r="H124" s="71" t="s">
        <v>850</v>
      </c>
      <c r="I124" s="71" t="s">
        <v>2604</v>
      </c>
      <c r="J124" s="71" t="s">
        <v>774</v>
      </c>
      <c r="K124" s="71" t="s">
        <v>2670</v>
      </c>
      <c r="L124" s="71" t="s">
        <v>2604</v>
      </c>
      <c r="M124" s="71" t="s">
        <v>2671</v>
      </c>
      <c r="N124" s="71" t="s">
        <v>2858</v>
      </c>
      <c r="O124" s="71" t="s">
        <v>2640</v>
      </c>
      <c r="P124" s="71" t="s">
        <v>2604</v>
      </c>
      <c r="Q124" s="71" t="s">
        <v>2859</v>
      </c>
      <c r="R124" s="71" t="s">
        <v>2604</v>
      </c>
      <c r="S124" s="71" t="s">
        <v>2604</v>
      </c>
      <c r="T124" s="71" t="s">
        <v>2604</v>
      </c>
      <c r="U124" s="71" t="s">
        <v>2604</v>
      </c>
      <c r="V124" s="71" t="s">
        <v>2664</v>
      </c>
    </row>
    <row r="125" spans="1:22">
      <c r="A125" s="71" t="s">
        <v>2659</v>
      </c>
      <c r="B125" s="71" t="s">
        <v>2646</v>
      </c>
      <c r="C125" s="72">
        <v>45787.501753159719</v>
      </c>
      <c r="D125" s="72">
        <v>45787.501753159719</v>
      </c>
      <c r="E125" s="71" t="s">
        <v>365</v>
      </c>
      <c r="F125" s="71" t="s">
        <v>458</v>
      </c>
      <c r="G125" s="71" t="s">
        <v>459</v>
      </c>
      <c r="H125" s="71" t="s">
        <v>457</v>
      </c>
      <c r="I125" s="71" t="s">
        <v>2604</v>
      </c>
      <c r="J125" s="71" t="s">
        <v>774</v>
      </c>
      <c r="K125" s="71" t="s">
        <v>2670</v>
      </c>
      <c r="L125" s="71" t="s">
        <v>2604</v>
      </c>
      <c r="M125" s="71" t="s">
        <v>2671</v>
      </c>
      <c r="N125" s="71" t="s">
        <v>2651</v>
      </c>
      <c r="O125" s="71" t="s">
        <v>2692</v>
      </c>
      <c r="P125" s="71" t="s">
        <v>2604</v>
      </c>
      <c r="Q125" s="71" t="s">
        <v>2860</v>
      </c>
      <c r="R125" s="71" t="s">
        <v>2604</v>
      </c>
      <c r="S125" s="71" t="s">
        <v>2604</v>
      </c>
      <c r="T125" s="71" t="s">
        <v>2604</v>
      </c>
      <c r="U125" s="71" t="s">
        <v>2604</v>
      </c>
      <c r="V125" s="71" t="s">
        <v>2655</v>
      </c>
    </row>
    <row r="126" spans="1:22">
      <c r="A126" s="71" t="s">
        <v>2659</v>
      </c>
      <c r="B126" s="71" t="s">
        <v>724</v>
      </c>
      <c r="C126" s="72">
        <v>45897.503976701388</v>
      </c>
      <c r="D126" s="72">
        <v>45897.503976701388</v>
      </c>
      <c r="E126" s="71" t="s">
        <v>473</v>
      </c>
      <c r="F126" s="71" t="s">
        <v>152</v>
      </c>
      <c r="G126" s="71" t="s">
        <v>743</v>
      </c>
      <c r="H126" s="71" t="s">
        <v>742</v>
      </c>
      <c r="I126" s="71" t="s">
        <v>2604</v>
      </c>
      <c r="J126" s="71" t="s">
        <v>744</v>
      </c>
      <c r="K126" s="71" t="s">
        <v>2665</v>
      </c>
      <c r="L126" s="71" t="s">
        <v>2666</v>
      </c>
      <c r="M126" s="71" t="s">
        <v>2861</v>
      </c>
      <c r="N126" s="71" t="s">
        <v>2862</v>
      </c>
      <c r="O126" s="71" t="s">
        <v>2640</v>
      </c>
      <c r="P126" s="71" t="s">
        <v>2863</v>
      </c>
      <c r="Q126" s="71" t="s">
        <v>2864</v>
      </c>
      <c r="R126" s="71" t="s">
        <v>2604</v>
      </c>
      <c r="S126" s="71" t="s">
        <v>2604</v>
      </c>
      <c r="T126" s="71" t="s">
        <v>2604</v>
      </c>
      <c r="U126" s="71" t="s">
        <v>2604</v>
      </c>
      <c r="V126" s="71" t="s">
        <v>2635</v>
      </c>
    </row>
    <row r="127" spans="1:22">
      <c r="A127" s="71" t="s">
        <v>2659</v>
      </c>
      <c r="B127" s="71" t="s">
        <v>56</v>
      </c>
      <c r="C127" s="72">
        <v>46090.864898321757</v>
      </c>
      <c r="D127" s="72">
        <v>46090.864898321757</v>
      </c>
      <c r="E127" s="71" t="s">
        <v>365</v>
      </c>
      <c r="F127" s="71" t="s">
        <v>1125</v>
      </c>
      <c r="G127" s="71" t="s">
        <v>1126</v>
      </c>
      <c r="H127" s="71" t="s">
        <v>1124</v>
      </c>
      <c r="I127" s="71" t="s">
        <v>2604</v>
      </c>
      <c r="J127" s="71" t="s">
        <v>774</v>
      </c>
      <c r="K127" s="71" t="s">
        <v>2670</v>
      </c>
      <c r="L127" s="71" t="s">
        <v>2604</v>
      </c>
      <c r="M127" s="71" t="s">
        <v>2671</v>
      </c>
      <c r="N127" s="71" t="s">
        <v>2865</v>
      </c>
      <c r="O127" s="71" t="s">
        <v>2640</v>
      </c>
      <c r="P127" s="71" t="s">
        <v>2604</v>
      </c>
      <c r="Q127" s="71" t="s">
        <v>2866</v>
      </c>
      <c r="R127" s="71" t="s">
        <v>2604</v>
      </c>
      <c r="S127" s="71" t="s">
        <v>2604</v>
      </c>
      <c r="T127" s="71" t="s">
        <v>2604</v>
      </c>
      <c r="U127" s="71" t="s">
        <v>2604</v>
      </c>
      <c r="V127" s="71" t="s">
        <v>2664</v>
      </c>
    </row>
    <row r="128" spans="1:22">
      <c r="A128" s="71" t="s">
        <v>2659</v>
      </c>
      <c r="B128" s="71" t="s">
        <v>2646</v>
      </c>
      <c r="C128" s="72">
        <v>45765.62110016204</v>
      </c>
      <c r="D128" s="72">
        <v>45765.62110016204</v>
      </c>
      <c r="E128" s="71" t="s">
        <v>365</v>
      </c>
      <c r="F128" s="71" t="s">
        <v>426</v>
      </c>
      <c r="G128" s="71" t="s">
        <v>427</v>
      </c>
      <c r="H128" s="71" t="s">
        <v>425</v>
      </c>
      <c r="I128" s="71" t="s">
        <v>2604</v>
      </c>
      <c r="J128" s="71" t="s">
        <v>752</v>
      </c>
      <c r="K128" s="71" t="s">
        <v>2723</v>
      </c>
      <c r="L128" s="71" t="s">
        <v>2665</v>
      </c>
      <c r="M128" s="71" t="s">
        <v>2766</v>
      </c>
      <c r="N128" s="71" t="s">
        <v>2766</v>
      </c>
      <c r="O128" s="71" t="s">
        <v>2692</v>
      </c>
      <c r="P128" s="71" t="s">
        <v>2604</v>
      </c>
      <c r="Q128" s="71" t="s">
        <v>2767</v>
      </c>
      <c r="R128" s="71" t="s">
        <v>2604</v>
      </c>
      <c r="S128" s="71" t="s">
        <v>2604</v>
      </c>
      <c r="T128" s="71" t="s">
        <v>2604</v>
      </c>
      <c r="U128" s="71" t="s">
        <v>2604</v>
      </c>
      <c r="V128" s="71" t="s">
        <v>2635</v>
      </c>
    </row>
    <row r="129" spans="1:22">
      <c r="A129" s="71" t="s">
        <v>2659</v>
      </c>
      <c r="B129" s="71" t="s">
        <v>56</v>
      </c>
      <c r="C129" s="72">
        <v>45922.448731932869</v>
      </c>
      <c r="D129" s="72">
        <v>45922.448731932869</v>
      </c>
      <c r="E129" s="71" t="s">
        <v>380</v>
      </c>
      <c r="F129" s="71" t="s">
        <v>821</v>
      </c>
      <c r="G129" s="71" t="s">
        <v>822</v>
      </c>
      <c r="H129" s="71" t="s">
        <v>820</v>
      </c>
      <c r="I129" s="71" t="s">
        <v>2604</v>
      </c>
      <c r="J129" s="71" t="s">
        <v>774</v>
      </c>
      <c r="K129" s="71" t="s">
        <v>2867</v>
      </c>
      <c r="L129" s="71" t="s">
        <v>2604</v>
      </c>
      <c r="M129" s="71" t="s">
        <v>2868</v>
      </c>
      <c r="N129" s="71" t="s">
        <v>2774</v>
      </c>
      <c r="O129" s="71" t="s">
        <v>2640</v>
      </c>
      <c r="P129" s="71" t="s">
        <v>2604</v>
      </c>
      <c r="Q129" s="71" t="s">
        <v>2869</v>
      </c>
      <c r="R129" s="71" t="s">
        <v>2604</v>
      </c>
      <c r="S129" s="71" t="s">
        <v>2604</v>
      </c>
      <c r="T129" s="71" t="s">
        <v>2604</v>
      </c>
      <c r="U129" s="71" t="s">
        <v>2604</v>
      </c>
      <c r="V129" s="71" t="s">
        <v>2635</v>
      </c>
    </row>
    <row r="130" spans="1:22">
      <c r="A130" s="71" t="s">
        <v>2659</v>
      </c>
      <c r="B130" s="71" t="s">
        <v>51</v>
      </c>
      <c r="C130" s="72">
        <v>45849.57217890046</v>
      </c>
      <c r="D130" s="72">
        <v>45849.57217890046</v>
      </c>
      <c r="E130" s="71" t="s">
        <v>135</v>
      </c>
      <c r="F130" s="71" t="s">
        <v>2870</v>
      </c>
      <c r="G130" s="71" t="s">
        <v>2871</v>
      </c>
      <c r="H130" s="71" t="s">
        <v>548</v>
      </c>
      <c r="I130" s="71" t="s">
        <v>2604</v>
      </c>
      <c r="J130" s="71" t="s">
        <v>744</v>
      </c>
      <c r="K130" s="71" t="s">
        <v>2665</v>
      </c>
      <c r="L130" s="71" t="s">
        <v>2704</v>
      </c>
      <c r="M130" s="71" t="s">
        <v>2671</v>
      </c>
      <c r="N130" s="71" t="s">
        <v>2671</v>
      </c>
      <c r="O130" s="71" t="s">
        <v>2640</v>
      </c>
      <c r="P130" s="71" t="s">
        <v>2604</v>
      </c>
      <c r="Q130" s="71" t="s">
        <v>2872</v>
      </c>
      <c r="R130" s="71" t="s">
        <v>2604</v>
      </c>
      <c r="S130" s="71" t="s">
        <v>2604</v>
      </c>
      <c r="T130" s="71" t="s">
        <v>2604</v>
      </c>
      <c r="U130" s="71" t="s">
        <v>2604</v>
      </c>
      <c r="V130" s="71" t="s">
        <v>2618</v>
      </c>
    </row>
    <row r="131" spans="1:22">
      <c r="A131" s="71" t="s">
        <v>2659</v>
      </c>
      <c r="B131" s="71" t="s">
        <v>56</v>
      </c>
      <c r="C131" s="72">
        <v>46094.692030590275</v>
      </c>
      <c r="D131" s="72">
        <v>46094.692030590275</v>
      </c>
      <c r="E131" s="71" t="s">
        <v>365</v>
      </c>
      <c r="F131" s="71" t="s">
        <v>1132</v>
      </c>
      <c r="G131" s="71" t="s">
        <v>1133</v>
      </c>
      <c r="H131" s="71" t="s">
        <v>1131</v>
      </c>
      <c r="I131" s="71" t="s">
        <v>2604</v>
      </c>
      <c r="J131" s="71" t="s">
        <v>752</v>
      </c>
      <c r="K131" s="71" t="s">
        <v>2675</v>
      </c>
      <c r="L131" s="71" t="s">
        <v>2790</v>
      </c>
      <c r="M131" s="71" t="s">
        <v>2873</v>
      </c>
      <c r="N131" s="71" t="s">
        <v>2874</v>
      </c>
      <c r="O131" s="71" t="s">
        <v>2640</v>
      </c>
      <c r="P131" s="71" t="s">
        <v>2604</v>
      </c>
      <c r="Q131" s="71" t="s">
        <v>2875</v>
      </c>
      <c r="R131" s="71" t="s">
        <v>2604</v>
      </c>
      <c r="S131" s="71" t="s">
        <v>2604</v>
      </c>
      <c r="T131" s="71" t="s">
        <v>2604</v>
      </c>
      <c r="U131" s="71" t="s">
        <v>2604</v>
      </c>
      <c r="V131" s="71" t="s">
        <v>2635</v>
      </c>
    </row>
    <row r="132" spans="1:22">
      <c r="A132" s="71" t="s">
        <v>2659</v>
      </c>
      <c r="B132" s="71" t="s">
        <v>56</v>
      </c>
      <c r="C132" s="72">
        <v>45900.395212719908</v>
      </c>
      <c r="D132" s="72">
        <v>45900.395212719908</v>
      </c>
      <c r="E132" s="71" t="s">
        <v>365</v>
      </c>
      <c r="F132" s="71" t="s">
        <v>754</v>
      </c>
      <c r="G132" s="71" t="s">
        <v>755</v>
      </c>
      <c r="H132" s="71" t="s">
        <v>753</v>
      </c>
      <c r="I132" s="71" t="s">
        <v>2604</v>
      </c>
      <c r="J132" s="71" t="s">
        <v>744</v>
      </c>
      <c r="K132" s="71" t="s">
        <v>2665</v>
      </c>
      <c r="L132" s="71" t="s">
        <v>2821</v>
      </c>
      <c r="M132" s="71" t="s">
        <v>2671</v>
      </c>
      <c r="N132" s="71" t="s">
        <v>2831</v>
      </c>
      <c r="O132" s="71" t="s">
        <v>2640</v>
      </c>
      <c r="P132" s="71" t="s">
        <v>2604</v>
      </c>
      <c r="Q132" s="71" t="s">
        <v>2832</v>
      </c>
      <c r="R132" s="71" t="s">
        <v>2604</v>
      </c>
      <c r="S132" s="71" t="s">
        <v>2604</v>
      </c>
      <c r="T132" s="71" t="s">
        <v>2604</v>
      </c>
      <c r="U132" s="71" t="s">
        <v>2604</v>
      </c>
      <c r="V132" s="71" t="s">
        <v>2635</v>
      </c>
    </row>
    <row r="133" spans="1:22">
      <c r="A133" s="71" t="s">
        <v>2659</v>
      </c>
      <c r="B133" s="71" t="s">
        <v>2646</v>
      </c>
      <c r="C133" s="72">
        <v>45769.453627256946</v>
      </c>
      <c r="D133" s="72">
        <v>45769.453627256946</v>
      </c>
      <c r="E133" s="71" t="s">
        <v>365</v>
      </c>
      <c r="F133" s="71" t="s">
        <v>432</v>
      </c>
      <c r="G133" s="71" t="s">
        <v>433</v>
      </c>
      <c r="H133" s="71" t="s">
        <v>431</v>
      </c>
      <c r="I133" s="71" t="s">
        <v>2604</v>
      </c>
      <c r="J133" s="71" t="s">
        <v>752</v>
      </c>
      <c r="K133" s="71" t="s">
        <v>2723</v>
      </c>
      <c r="L133" s="71" t="s">
        <v>2665</v>
      </c>
      <c r="M133" s="71" t="s">
        <v>2876</v>
      </c>
      <c r="N133" s="71" t="s">
        <v>2877</v>
      </c>
      <c r="O133" s="71" t="s">
        <v>2692</v>
      </c>
      <c r="P133" s="71" t="s">
        <v>2604</v>
      </c>
      <c r="Q133" s="71" t="s">
        <v>2878</v>
      </c>
      <c r="R133" s="71" t="s">
        <v>2604</v>
      </c>
      <c r="S133" s="71" t="s">
        <v>2604</v>
      </c>
      <c r="T133" s="71" t="s">
        <v>2604</v>
      </c>
      <c r="U133" s="71" t="s">
        <v>2604</v>
      </c>
      <c r="V133" s="71" t="s">
        <v>2635</v>
      </c>
    </row>
    <row r="134" spans="1:22">
      <c r="A134" s="71" t="s">
        <v>2659</v>
      </c>
      <c r="B134" s="71" t="s">
        <v>2646</v>
      </c>
      <c r="C134" s="72">
        <v>45779.342285416664</v>
      </c>
      <c r="D134" s="72">
        <v>45779.342285416664</v>
      </c>
      <c r="E134" s="71" t="s">
        <v>380</v>
      </c>
      <c r="F134" s="71" t="s">
        <v>444</v>
      </c>
      <c r="G134" s="71" t="s">
        <v>2879</v>
      </c>
      <c r="H134" s="71" t="s">
        <v>443</v>
      </c>
      <c r="I134" s="71" t="s">
        <v>2604</v>
      </c>
      <c r="J134" s="71" t="s">
        <v>752</v>
      </c>
      <c r="K134" s="71" t="s">
        <v>2723</v>
      </c>
      <c r="L134" s="71" t="s">
        <v>2665</v>
      </c>
      <c r="M134" s="71" t="s">
        <v>2880</v>
      </c>
      <c r="N134" s="71" t="s">
        <v>2881</v>
      </c>
      <c r="O134" s="71" t="s">
        <v>2692</v>
      </c>
      <c r="P134" s="71" t="s">
        <v>2604</v>
      </c>
      <c r="Q134" s="71" t="s">
        <v>2882</v>
      </c>
      <c r="R134" s="71" t="s">
        <v>2604</v>
      </c>
      <c r="S134" s="71" t="s">
        <v>2604</v>
      </c>
      <c r="T134" s="71" t="s">
        <v>2604</v>
      </c>
      <c r="U134" s="71" t="s">
        <v>2604</v>
      </c>
      <c r="V134" s="71" t="s">
        <v>2658</v>
      </c>
    </row>
    <row r="135" spans="1:22">
      <c r="A135" s="71" t="s">
        <v>2659</v>
      </c>
      <c r="B135" s="71" t="s">
        <v>2646</v>
      </c>
      <c r="C135" s="72">
        <v>45807.381936527781</v>
      </c>
      <c r="D135" s="72">
        <v>45807.381936527781</v>
      </c>
      <c r="E135" s="71" t="s">
        <v>135</v>
      </c>
      <c r="F135" s="71" t="s">
        <v>2883</v>
      </c>
      <c r="G135" s="71" t="s">
        <v>2884</v>
      </c>
      <c r="H135" s="71" t="s">
        <v>2885</v>
      </c>
      <c r="I135" s="71" t="s">
        <v>2604</v>
      </c>
      <c r="J135" s="71" t="s">
        <v>752</v>
      </c>
      <c r="K135" s="71" t="s">
        <v>2723</v>
      </c>
      <c r="L135" s="71" t="s">
        <v>2665</v>
      </c>
      <c r="M135" s="71" t="s">
        <v>2886</v>
      </c>
      <c r="N135" s="71" t="s">
        <v>2671</v>
      </c>
      <c r="O135" s="71" t="s">
        <v>2692</v>
      </c>
      <c r="P135" s="71" t="s">
        <v>2604</v>
      </c>
      <c r="Q135" s="71" t="s">
        <v>2887</v>
      </c>
      <c r="R135" s="71" t="s">
        <v>2604</v>
      </c>
      <c r="S135" s="71" t="s">
        <v>2604</v>
      </c>
      <c r="T135" s="71" t="s">
        <v>2604</v>
      </c>
      <c r="U135" s="71" t="s">
        <v>2604</v>
      </c>
      <c r="V135" s="71" t="s">
        <v>2658</v>
      </c>
    </row>
    <row r="136" spans="1:22">
      <c r="A136" s="71" t="s">
        <v>2659</v>
      </c>
      <c r="B136" s="71" t="s">
        <v>56</v>
      </c>
      <c r="C136" s="72">
        <v>45995.451786562502</v>
      </c>
      <c r="D136" s="72">
        <v>45995.451786562502</v>
      </c>
      <c r="E136" s="71" t="s">
        <v>365</v>
      </c>
      <c r="F136" s="71" t="s">
        <v>988</v>
      </c>
      <c r="G136" s="71" t="s">
        <v>989</v>
      </c>
      <c r="H136" s="71" t="s">
        <v>987</v>
      </c>
      <c r="I136" s="71" t="s">
        <v>2604</v>
      </c>
      <c r="J136" s="71" t="s">
        <v>744</v>
      </c>
      <c r="K136" s="71" t="s">
        <v>2665</v>
      </c>
      <c r="L136" s="71" t="s">
        <v>2821</v>
      </c>
      <c r="M136" s="71" t="s">
        <v>2671</v>
      </c>
      <c r="N136" s="71" t="s">
        <v>2888</v>
      </c>
      <c r="O136" s="71" t="s">
        <v>2640</v>
      </c>
      <c r="P136" s="71" t="s">
        <v>2604</v>
      </c>
      <c r="Q136" s="71" t="s">
        <v>2889</v>
      </c>
      <c r="R136" s="71" t="s">
        <v>2604</v>
      </c>
      <c r="S136" s="71" t="s">
        <v>2604</v>
      </c>
      <c r="T136" s="71" t="s">
        <v>2604</v>
      </c>
      <c r="U136" s="71" t="s">
        <v>2604</v>
      </c>
      <c r="V136" s="71" t="s">
        <v>2664</v>
      </c>
    </row>
    <row r="137" spans="1:22">
      <c r="A137" s="71" t="s">
        <v>2659</v>
      </c>
      <c r="B137" s="71" t="s">
        <v>56</v>
      </c>
      <c r="C137" s="72">
        <v>46062.678909907409</v>
      </c>
      <c r="D137" s="72">
        <v>46062.678909907409</v>
      </c>
      <c r="E137" s="71" t="s">
        <v>380</v>
      </c>
      <c r="F137" s="71" t="s">
        <v>1087</v>
      </c>
      <c r="G137" s="71" t="s">
        <v>1088</v>
      </c>
      <c r="H137" s="71" t="s">
        <v>1086</v>
      </c>
      <c r="I137" s="71" t="s">
        <v>2604</v>
      </c>
      <c r="J137" s="71" t="s">
        <v>774</v>
      </c>
      <c r="K137" s="71" t="s">
        <v>2670</v>
      </c>
      <c r="L137" s="71" t="s">
        <v>2604</v>
      </c>
      <c r="M137" s="71" t="s">
        <v>2671</v>
      </c>
      <c r="N137" s="71" t="s">
        <v>2890</v>
      </c>
      <c r="O137" s="71" t="s">
        <v>2640</v>
      </c>
      <c r="P137" s="71" t="s">
        <v>2604</v>
      </c>
      <c r="Q137" s="71" t="s">
        <v>2891</v>
      </c>
      <c r="R137" s="71" t="s">
        <v>2604</v>
      </c>
      <c r="S137" s="71" t="s">
        <v>2604</v>
      </c>
      <c r="T137" s="71" t="s">
        <v>2604</v>
      </c>
      <c r="U137" s="71" t="s">
        <v>2604</v>
      </c>
      <c r="V137" s="71" t="s">
        <v>2664</v>
      </c>
    </row>
    <row r="138" spans="1:22">
      <c r="A138" s="71" t="s">
        <v>2659</v>
      </c>
      <c r="B138" s="71" t="s">
        <v>56</v>
      </c>
      <c r="C138" s="72">
        <v>45841.883658090279</v>
      </c>
      <c r="D138" s="72">
        <v>45841.883658090279</v>
      </c>
      <c r="E138" s="71" t="s">
        <v>365</v>
      </c>
      <c r="F138" s="71" t="s">
        <v>537</v>
      </c>
      <c r="G138" s="71" t="s">
        <v>538</v>
      </c>
      <c r="H138" s="71" t="s">
        <v>536</v>
      </c>
      <c r="I138" s="71" t="s">
        <v>2604</v>
      </c>
      <c r="J138" s="71" t="s">
        <v>752</v>
      </c>
      <c r="K138" s="71" t="s">
        <v>2723</v>
      </c>
      <c r="L138" s="71" t="s">
        <v>2665</v>
      </c>
      <c r="M138" s="71" t="s">
        <v>2892</v>
      </c>
      <c r="N138" s="71" t="s">
        <v>2893</v>
      </c>
      <c r="O138" s="71" t="s">
        <v>2640</v>
      </c>
      <c r="P138" s="71" t="s">
        <v>2604</v>
      </c>
      <c r="Q138" s="71" t="s">
        <v>2894</v>
      </c>
      <c r="R138" s="71" t="s">
        <v>2604</v>
      </c>
      <c r="S138" s="71" t="s">
        <v>2604</v>
      </c>
      <c r="T138" s="71" t="s">
        <v>2604</v>
      </c>
      <c r="U138" s="71" t="s">
        <v>2604</v>
      </c>
      <c r="V138" s="71" t="s">
        <v>2635</v>
      </c>
    </row>
    <row r="139" spans="1:22">
      <c r="A139" s="71" t="s">
        <v>2659</v>
      </c>
      <c r="B139" s="71" t="s">
        <v>56</v>
      </c>
      <c r="C139" s="72">
        <v>45853.654062280089</v>
      </c>
      <c r="D139" s="72">
        <v>45853.654062280089</v>
      </c>
      <c r="E139" s="71" t="s">
        <v>365</v>
      </c>
      <c r="F139" s="71" t="s">
        <v>2895</v>
      </c>
      <c r="G139" s="71" t="s">
        <v>564</v>
      </c>
      <c r="H139" s="71" t="s">
        <v>562</v>
      </c>
      <c r="I139" s="71" t="s">
        <v>2604</v>
      </c>
      <c r="J139" s="71" t="s">
        <v>813</v>
      </c>
      <c r="K139" s="71" t="s">
        <v>2648</v>
      </c>
      <c r="L139" s="71" t="s">
        <v>2649</v>
      </c>
      <c r="M139" s="71" t="s">
        <v>2650</v>
      </c>
      <c r="N139" s="71" t="s">
        <v>2896</v>
      </c>
      <c r="O139" s="71" t="s">
        <v>2640</v>
      </c>
      <c r="P139" s="71" t="s">
        <v>2604</v>
      </c>
      <c r="Q139" s="71" t="s">
        <v>2897</v>
      </c>
      <c r="R139" s="71" t="s">
        <v>2604</v>
      </c>
      <c r="S139" s="71" t="s">
        <v>2604</v>
      </c>
      <c r="T139" s="71" t="s">
        <v>2604</v>
      </c>
      <c r="U139" s="71" t="s">
        <v>2604</v>
      </c>
      <c r="V139" s="71" t="s">
        <v>2635</v>
      </c>
    </row>
    <row r="140" spans="1:22">
      <c r="A140" s="71" t="s">
        <v>2659</v>
      </c>
      <c r="B140" s="71" t="s">
        <v>56</v>
      </c>
      <c r="C140" s="72">
        <v>46014.722542083335</v>
      </c>
      <c r="D140" s="72">
        <v>46014.722542083335</v>
      </c>
      <c r="E140" s="71" t="s">
        <v>365</v>
      </c>
      <c r="F140" s="71" t="s">
        <v>1020</v>
      </c>
      <c r="G140" s="71" t="s">
        <v>1021</v>
      </c>
      <c r="H140" s="71" t="s">
        <v>1019</v>
      </c>
      <c r="I140" s="71" t="s">
        <v>2604</v>
      </c>
      <c r="J140" s="71" t="s">
        <v>752</v>
      </c>
      <c r="K140" s="71" t="s">
        <v>2675</v>
      </c>
      <c r="L140" s="71" t="s">
        <v>2790</v>
      </c>
      <c r="M140" s="71" t="s">
        <v>2898</v>
      </c>
      <c r="N140" s="71" t="s">
        <v>2899</v>
      </c>
      <c r="O140" s="71" t="s">
        <v>2640</v>
      </c>
      <c r="P140" s="71" t="s">
        <v>2604</v>
      </c>
      <c r="Q140" s="71" t="s">
        <v>2900</v>
      </c>
      <c r="R140" s="71" t="s">
        <v>2604</v>
      </c>
      <c r="S140" s="71" t="s">
        <v>2604</v>
      </c>
      <c r="T140" s="71" t="s">
        <v>2604</v>
      </c>
      <c r="U140" s="71" t="s">
        <v>2604</v>
      </c>
      <c r="V140" s="71" t="s">
        <v>2664</v>
      </c>
    </row>
    <row r="141" spans="1:22">
      <c r="A141" s="71" t="s">
        <v>2659</v>
      </c>
      <c r="B141" s="71" t="s">
        <v>56</v>
      </c>
      <c r="C141" s="72">
        <v>45853.562116365742</v>
      </c>
      <c r="D141" s="72">
        <v>45853.562116365742</v>
      </c>
      <c r="E141" s="71" t="s">
        <v>365</v>
      </c>
      <c r="F141" s="71" t="s">
        <v>560</v>
      </c>
      <c r="G141" s="71" t="s">
        <v>561</v>
      </c>
      <c r="H141" s="71" t="s">
        <v>559</v>
      </c>
      <c r="I141" s="71" t="s">
        <v>2604</v>
      </c>
      <c r="J141" s="71" t="s">
        <v>752</v>
      </c>
      <c r="K141" s="71" t="s">
        <v>2675</v>
      </c>
      <c r="L141" s="71" t="s">
        <v>2676</v>
      </c>
      <c r="M141" s="71" t="s">
        <v>2901</v>
      </c>
      <c r="N141" s="71" t="s">
        <v>2902</v>
      </c>
      <c r="O141" s="71" t="s">
        <v>2640</v>
      </c>
      <c r="P141" s="71" t="s">
        <v>2604</v>
      </c>
      <c r="Q141" s="71" t="s">
        <v>2903</v>
      </c>
      <c r="R141" s="71" t="s">
        <v>2604</v>
      </c>
      <c r="S141" s="71" t="s">
        <v>2604</v>
      </c>
      <c r="T141" s="71" t="s">
        <v>2604</v>
      </c>
      <c r="U141" s="71" t="s">
        <v>2604</v>
      </c>
      <c r="V141" s="71" t="s">
        <v>2635</v>
      </c>
    </row>
    <row r="142" spans="1:22">
      <c r="A142" s="71" t="s">
        <v>2659</v>
      </c>
      <c r="B142" s="71" t="s">
        <v>84</v>
      </c>
      <c r="C142" s="72">
        <v>45896.587576701386</v>
      </c>
      <c r="D142" s="72">
        <v>45896.587576701386</v>
      </c>
      <c r="E142" s="71" t="s">
        <v>365</v>
      </c>
      <c r="F142" s="71" t="s">
        <v>740</v>
      </c>
      <c r="G142" s="71" t="s">
        <v>741</v>
      </c>
      <c r="H142" s="71" t="s">
        <v>739</v>
      </c>
      <c r="I142" s="71" t="s">
        <v>2604</v>
      </c>
      <c r="J142" s="71" t="s">
        <v>744</v>
      </c>
      <c r="K142" s="71" t="s">
        <v>2665</v>
      </c>
      <c r="L142" s="71" t="s">
        <v>2704</v>
      </c>
      <c r="M142" s="71" t="s">
        <v>2671</v>
      </c>
      <c r="N142" s="71" t="s">
        <v>2904</v>
      </c>
      <c r="O142" s="71" t="s">
        <v>2640</v>
      </c>
      <c r="P142" s="71" t="s">
        <v>2604</v>
      </c>
      <c r="Q142" s="71" t="s">
        <v>2905</v>
      </c>
      <c r="R142" s="71" t="s">
        <v>2604</v>
      </c>
      <c r="S142" s="71" t="s">
        <v>2604</v>
      </c>
      <c r="T142" s="71" t="s">
        <v>2604</v>
      </c>
      <c r="U142" s="71" t="s">
        <v>2604</v>
      </c>
      <c r="V142" s="71" t="s">
        <v>2635</v>
      </c>
    </row>
    <row r="143" spans="1:22">
      <c r="A143" s="71" t="s">
        <v>2659</v>
      </c>
      <c r="B143" s="71" t="s">
        <v>84</v>
      </c>
      <c r="C143" s="72">
        <v>45933.495278599534</v>
      </c>
      <c r="D143" s="72">
        <v>45933.495278599534</v>
      </c>
      <c r="E143" s="71" t="s">
        <v>365</v>
      </c>
      <c r="F143" s="71" t="s">
        <v>854</v>
      </c>
      <c r="G143" s="71" t="s">
        <v>855</v>
      </c>
      <c r="H143" s="71" t="s">
        <v>853</v>
      </c>
      <c r="I143" s="71" t="s">
        <v>2604</v>
      </c>
      <c r="J143" s="71" t="s">
        <v>752</v>
      </c>
      <c r="K143" s="71" t="s">
        <v>2675</v>
      </c>
      <c r="L143" s="71" t="s">
        <v>2790</v>
      </c>
      <c r="M143" s="71" t="s">
        <v>2906</v>
      </c>
      <c r="N143" s="71" t="s">
        <v>2907</v>
      </c>
      <c r="O143" s="71" t="s">
        <v>2640</v>
      </c>
      <c r="P143" s="71" t="s">
        <v>2604</v>
      </c>
      <c r="Q143" s="71" t="s">
        <v>2908</v>
      </c>
      <c r="R143" s="71" t="s">
        <v>2604</v>
      </c>
      <c r="S143" s="71" t="s">
        <v>2604</v>
      </c>
      <c r="T143" s="71" t="s">
        <v>2604</v>
      </c>
      <c r="U143" s="71" t="s">
        <v>2604</v>
      </c>
      <c r="V143" s="71" t="s">
        <v>2635</v>
      </c>
    </row>
    <row r="144" spans="1:22">
      <c r="A144" s="71" t="s">
        <v>2659</v>
      </c>
      <c r="B144" s="71" t="s">
        <v>84</v>
      </c>
      <c r="C144" s="72">
        <v>45908.552274641203</v>
      </c>
      <c r="D144" s="72">
        <v>45908.552274641203</v>
      </c>
      <c r="E144" s="71" t="s">
        <v>365</v>
      </c>
      <c r="F144" s="71" t="s">
        <v>782</v>
      </c>
      <c r="G144" s="71" t="s">
        <v>783</v>
      </c>
      <c r="H144" s="71" t="s">
        <v>781</v>
      </c>
      <c r="I144" s="71" t="s">
        <v>2604</v>
      </c>
      <c r="J144" s="71" t="s">
        <v>774</v>
      </c>
      <c r="K144" s="71" t="s">
        <v>2670</v>
      </c>
      <c r="L144" s="71" t="s">
        <v>2604</v>
      </c>
      <c r="M144" s="71" t="s">
        <v>2671</v>
      </c>
      <c r="N144" s="71" t="s">
        <v>2909</v>
      </c>
      <c r="O144" s="71" t="s">
        <v>2640</v>
      </c>
      <c r="P144" s="71" t="s">
        <v>2604</v>
      </c>
      <c r="Q144" s="71" t="s">
        <v>2910</v>
      </c>
      <c r="R144" s="71" t="s">
        <v>2604</v>
      </c>
      <c r="S144" s="71" t="s">
        <v>2604</v>
      </c>
      <c r="T144" s="71" t="s">
        <v>2604</v>
      </c>
      <c r="U144" s="71" t="s">
        <v>2604</v>
      </c>
      <c r="V144" s="71" t="s">
        <v>2635</v>
      </c>
    </row>
    <row r="145" spans="1:22">
      <c r="A145" s="71" t="s">
        <v>2659</v>
      </c>
      <c r="B145" s="71" t="s">
        <v>2646</v>
      </c>
      <c r="C145" s="72">
        <v>45832.549302268519</v>
      </c>
      <c r="D145" s="72">
        <v>45832.549302268519</v>
      </c>
      <c r="E145" s="71" t="s">
        <v>365</v>
      </c>
      <c r="F145" s="71" t="s">
        <v>530</v>
      </c>
      <c r="G145" s="71" t="s">
        <v>532</v>
      </c>
      <c r="H145" s="71" t="s">
        <v>529</v>
      </c>
      <c r="I145" s="71" t="s">
        <v>2604</v>
      </c>
      <c r="J145" s="71" t="s">
        <v>774</v>
      </c>
      <c r="K145" s="71" t="s">
        <v>2670</v>
      </c>
      <c r="L145" s="71" t="s">
        <v>2604</v>
      </c>
      <c r="M145" s="71" t="s">
        <v>2671</v>
      </c>
      <c r="N145" s="71" t="s">
        <v>2911</v>
      </c>
      <c r="O145" s="71" t="s">
        <v>2692</v>
      </c>
      <c r="P145" s="71" t="s">
        <v>2604</v>
      </c>
      <c r="Q145" s="71" t="s">
        <v>2912</v>
      </c>
      <c r="R145" s="71" t="s">
        <v>2604</v>
      </c>
      <c r="S145" s="71" t="s">
        <v>2604</v>
      </c>
      <c r="T145" s="71" t="s">
        <v>2604</v>
      </c>
      <c r="U145" s="71" t="s">
        <v>2604</v>
      </c>
      <c r="V145" s="71" t="s">
        <v>2635</v>
      </c>
    </row>
    <row r="146" spans="1:22">
      <c r="A146" s="71" t="s">
        <v>2659</v>
      </c>
      <c r="B146" s="71" t="s">
        <v>2646</v>
      </c>
      <c r="C146" s="72">
        <v>45813.288968009256</v>
      </c>
      <c r="D146" s="72">
        <v>45813.288968009256</v>
      </c>
      <c r="E146" s="71" t="s">
        <v>473</v>
      </c>
      <c r="F146" s="71" t="s">
        <v>2816</v>
      </c>
      <c r="G146" s="71" t="s">
        <v>495</v>
      </c>
      <c r="H146" s="71" t="s">
        <v>493</v>
      </c>
      <c r="I146" s="71" t="s">
        <v>2604</v>
      </c>
      <c r="J146" s="71" t="s">
        <v>752</v>
      </c>
      <c r="K146" s="71" t="s">
        <v>2723</v>
      </c>
      <c r="L146" s="71" t="s">
        <v>2665</v>
      </c>
      <c r="M146" s="71" t="s">
        <v>2817</v>
      </c>
      <c r="N146" s="71" t="s">
        <v>2671</v>
      </c>
      <c r="O146" s="71" t="s">
        <v>2612</v>
      </c>
      <c r="P146" s="71" t="s">
        <v>2604</v>
      </c>
      <c r="Q146" s="71" t="s">
        <v>2818</v>
      </c>
      <c r="R146" s="71" t="s">
        <v>2604</v>
      </c>
      <c r="S146" s="71" t="s">
        <v>2604</v>
      </c>
      <c r="T146" s="71" t="s">
        <v>2604</v>
      </c>
      <c r="U146" s="71" t="s">
        <v>2604</v>
      </c>
      <c r="V146" s="71" t="s">
        <v>2655</v>
      </c>
    </row>
    <row r="147" spans="1:22">
      <c r="A147" s="71" t="s">
        <v>2659</v>
      </c>
      <c r="B147" s="71" t="s">
        <v>56</v>
      </c>
      <c r="C147" s="72">
        <v>46057.682791874999</v>
      </c>
      <c r="D147" s="72">
        <v>46057.682791874999</v>
      </c>
      <c r="E147" s="71" t="s">
        <v>365</v>
      </c>
      <c r="F147" s="71" t="s">
        <v>1077</v>
      </c>
      <c r="G147" s="71" t="s">
        <v>1078</v>
      </c>
      <c r="H147" s="71" t="s">
        <v>1076</v>
      </c>
      <c r="I147" s="71" t="s">
        <v>2604</v>
      </c>
      <c r="J147" s="71" t="s">
        <v>747</v>
      </c>
      <c r="K147" s="71" t="s">
        <v>2768</v>
      </c>
      <c r="L147" s="71" t="s">
        <v>2769</v>
      </c>
      <c r="M147" s="71" t="s">
        <v>2782</v>
      </c>
      <c r="N147" s="71" t="s">
        <v>2783</v>
      </c>
      <c r="O147" s="71" t="s">
        <v>2640</v>
      </c>
      <c r="P147" s="71" t="s">
        <v>2604</v>
      </c>
      <c r="Q147" s="71" t="s">
        <v>2784</v>
      </c>
      <c r="R147" s="71" t="s">
        <v>2604</v>
      </c>
      <c r="S147" s="71" t="s">
        <v>2604</v>
      </c>
      <c r="T147" s="71" t="s">
        <v>2604</v>
      </c>
      <c r="U147" s="71" t="s">
        <v>2604</v>
      </c>
      <c r="V147" s="71" t="s">
        <v>2618</v>
      </c>
    </row>
    <row r="148" spans="1:22">
      <c r="A148" s="71" t="s">
        <v>2659</v>
      </c>
      <c r="B148" s="71" t="s">
        <v>84</v>
      </c>
      <c r="C148" s="72">
        <v>45980.604882372689</v>
      </c>
      <c r="D148" s="72">
        <v>45980.604882372689</v>
      </c>
      <c r="E148" s="71" t="s">
        <v>473</v>
      </c>
      <c r="F148" s="71" t="s">
        <v>961</v>
      </c>
      <c r="G148" s="71" t="s">
        <v>2913</v>
      </c>
      <c r="H148" s="71" t="s">
        <v>960</v>
      </c>
      <c r="I148" s="71" t="s">
        <v>2604</v>
      </c>
      <c r="J148" s="71" t="s">
        <v>774</v>
      </c>
      <c r="K148" s="71" t="s">
        <v>2670</v>
      </c>
      <c r="L148" s="71" t="s">
        <v>2604</v>
      </c>
      <c r="M148" s="71" t="s">
        <v>2671</v>
      </c>
      <c r="N148" s="71" t="s">
        <v>2914</v>
      </c>
      <c r="O148" s="71" t="s">
        <v>2640</v>
      </c>
      <c r="P148" s="71" t="s">
        <v>2604</v>
      </c>
      <c r="Q148" s="71" t="s">
        <v>2915</v>
      </c>
      <c r="R148" s="71" t="s">
        <v>2604</v>
      </c>
      <c r="S148" s="71" t="s">
        <v>2604</v>
      </c>
      <c r="T148" s="71" t="s">
        <v>2604</v>
      </c>
      <c r="U148" s="71" t="s">
        <v>2604</v>
      </c>
      <c r="V148" s="71" t="s">
        <v>2618</v>
      </c>
    </row>
    <row r="149" spans="1:22">
      <c r="A149" s="71" t="s">
        <v>2659</v>
      </c>
      <c r="B149" s="71" t="s">
        <v>56</v>
      </c>
      <c r="C149" s="72">
        <v>45856.440421296298</v>
      </c>
      <c r="D149" s="72">
        <v>45856.440421296298</v>
      </c>
      <c r="E149" s="71" t="s">
        <v>365</v>
      </c>
      <c r="F149" s="71" t="s">
        <v>587</v>
      </c>
      <c r="G149" s="71" t="s">
        <v>588</v>
      </c>
      <c r="H149" s="71" t="s">
        <v>586</v>
      </c>
      <c r="I149" s="71" t="s">
        <v>2604</v>
      </c>
      <c r="J149" s="71" t="s">
        <v>744</v>
      </c>
      <c r="K149" s="71" t="s">
        <v>2665</v>
      </c>
      <c r="L149" s="71" t="s">
        <v>2666</v>
      </c>
      <c r="M149" s="71" t="s">
        <v>2671</v>
      </c>
      <c r="N149" s="71" t="s">
        <v>2916</v>
      </c>
      <c r="O149" s="71" t="s">
        <v>2640</v>
      </c>
      <c r="P149" s="71" t="s">
        <v>2604</v>
      </c>
      <c r="Q149" s="71" t="s">
        <v>2917</v>
      </c>
      <c r="R149" s="71" t="s">
        <v>2604</v>
      </c>
      <c r="S149" s="71" t="s">
        <v>2604</v>
      </c>
      <c r="T149" s="71" t="s">
        <v>2604</v>
      </c>
      <c r="U149" s="71" t="s">
        <v>2604</v>
      </c>
      <c r="V149" s="71" t="s">
        <v>2635</v>
      </c>
    </row>
    <row r="150" spans="1:22">
      <c r="A150" s="71" t="s">
        <v>2659</v>
      </c>
      <c r="B150" s="71" t="s">
        <v>84</v>
      </c>
      <c r="C150" s="72">
        <v>45933.495278599534</v>
      </c>
      <c r="D150" s="72">
        <v>45933.495278599534</v>
      </c>
      <c r="E150" s="71" t="s">
        <v>365</v>
      </c>
      <c r="F150" s="71" t="s">
        <v>854</v>
      </c>
      <c r="G150" s="71" t="s">
        <v>855</v>
      </c>
      <c r="H150" s="71" t="s">
        <v>853</v>
      </c>
      <c r="I150" s="71" t="s">
        <v>2604</v>
      </c>
      <c r="J150" s="71" t="s">
        <v>752</v>
      </c>
      <c r="K150" s="71" t="s">
        <v>2675</v>
      </c>
      <c r="L150" s="71" t="s">
        <v>2790</v>
      </c>
      <c r="M150" s="71" t="s">
        <v>2906</v>
      </c>
      <c r="N150" s="71" t="s">
        <v>2907</v>
      </c>
      <c r="O150" s="71" t="s">
        <v>2640</v>
      </c>
      <c r="P150" s="71" t="s">
        <v>2604</v>
      </c>
      <c r="Q150" s="71" t="s">
        <v>2908</v>
      </c>
      <c r="R150" s="71" t="s">
        <v>2604</v>
      </c>
      <c r="S150" s="71" t="s">
        <v>2604</v>
      </c>
      <c r="T150" s="71" t="s">
        <v>2604</v>
      </c>
      <c r="U150" s="71" t="s">
        <v>2604</v>
      </c>
      <c r="V150" s="71" t="s">
        <v>2604</v>
      </c>
    </row>
    <row r="151" spans="1:22">
      <c r="A151" s="71" t="s">
        <v>2659</v>
      </c>
      <c r="B151" s="71" t="s">
        <v>56</v>
      </c>
      <c r="C151" s="72">
        <v>45898.659039814818</v>
      </c>
      <c r="D151" s="72">
        <v>45898.659039814818</v>
      </c>
      <c r="E151" s="71" t="s">
        <v>365</v>
      </c>
      <c r="F151" s="71" t="s">
        <v>750</v>
      </c>
      <c r="G151" s="71" t="s">
        <v>751</v>
      </c>
      <c r="H151" s="71" t="s">
        <v>749</v>
      </c>
      <c r="I151" s="71" t="s">
        <v>2604</v>
      </c>
      <c r="J151" s="71" t="s">
        <v>752</v>
      </c>
      <c r="K151" s="71" t="s">
        <v>2675</v>
      </c>
      <c r="L151" s="71" t="s">
        <v>2676</v>
      </c>
      <c r="M151" s="71" t="s">
        <v>2918</v>
      </c>
      <c r="N151" s="71" t="s">
        <v>2671</v>
      </c>
      <c r="O151" s="71" t="s">
        <v>2640</v>
      </c>
      <c r="P151" s="71" t="s">
        <v>2604</v>
      </c>
      <c r="Q151" s="71" t="s">
        <v>2919</v>
      </c>
      <c r="R151" s="71" t="s">
        <v>2604</v>
      </c>
      <c r="S151" s="71" t="s">
        <v>2604</v>
      </c>
      <c r="T151" s="71" t="s">
        <v>2604</v>
      </c>
      <c r="U151" s="71" t="s">
        <v>2604</v>
      </c>
      <c r="V151" s="71" t="s">
        <v>2664</v>
      </c>
    </row>
    <row r="152" spans="1:22">
      <c r="A152" s="71" t="s">
        <v>2659</v>
      </c>
      <c r="B152" s="71" t="s">
        <v>84</v>
      </c>
      <c r="C152" s="72">
        <v>45869.37659359954</v>
      </c>
      <c r="D152" s="72">
        <v>45869.37659359954</v>
      </c>
      <c r="E152" s="71" t="s">
        <v>135</v>
      </c>
      <c r="F152" s="71" t="s">
        <v>664</v>
      </c>
      <c r="G152" s="71" t="s">
        <v>2920</v>
      </c>
      <c r="H152" s="71" t="s">
        <v>663</v>
      </c>
      <c r="I152" s="71" t="s">
        <v>2604</v>
      </c>
      <c r="J152" s="71" t="s">
        <v>744</v>
      </c>
      <c r="K152" s="71" t="s">
        <v>2665</v>
      </c>
      <c r="L152" s="71" t="s">
        <v>2821</v>
      </c>
      <c r="M152" s="71" t="s">
        <v>2671</v>
      </c>
      <c r="N152" s="71" t="s">
        <v>2671</v>
      </c>
      <c r="O152" s="71" t="s">
        <v>2640</v>
      </c>
      <c r="P152" s="71" t="s">
        <v>2604</v>
      </c>
      <c r="Q152" s="71" t="s">
        <v>2921</v>
      </c>
      <c r="R152" s="71" t="s">
        <v>2604</v>
      </c>
      <c r="S152" s="71" t="s">
        <v>2604</v>
      </c>
      <c r="T152" s="71" t="s">
        <v>2604</v>
      </c>
      <c r="U152" s="71" t="s">
        <v>2604</v>
      </c>
      <c r="V152" s="71" t="s">
        <v>2635</v>
      </c>
    </row>
    <row r="153" spans="1:22">
      <c r="A153" s="71" t="s">
        <v>2659</v>
      </c>
      <c r="B153" s="71" t="s">
        <v>2646</v>
      </c>
      <c r="C153" s="72">
        <v>45787.501753159719</v>
      </c>
      <c r="D153" s="72">
        <v>45787.501753159719</v>
      </c>
      <c r="E153" s="71" t="s">
        <v>365</v>
      </c>
      <c r="F153" s="71" t="s">
        <v>458</v>
      </c>
      <c r="G153" s="71" t="s">
        <v>459</v>
      </c>
      <c r="H153" s="71" t="s">
        <v>457</v>
      </c>
      <c r="I153" s="71" t="s">
        <v>2604</v>
      </c>
      <c r="J153" s="71" t="s">
        <v>774</v>
      </c>
      <c r="K153" s="71" t="s">
        <v>2670</v>
      </c>
      <c r="L153" s="71" t="s">
        <v>2604</v>
      </c>
      <c r="M153" s="71" t="s">
        <v>2671</v>
      </c>
      <c r="N153" s="71" t="s">
        <v>2651</v>
      </c>
      <c r="O153" s="71" t="s">
        <v>2692</v>
      </c>
      <c r="P153" s="71" t="s">
        <v>2604</v>
      </c>
      <c r="Q153" s="71" t="s">
        <v>2860</v>
      </c>
      <c r="R153" s="71" t="s">
        <v>2604</v>
      </c>
      <c r="S153" s="71" t="s">
        <v>2604</v>
      </c>
      <c r="T153" s="71" t="s">
        <v>2604</v>
      </c>
      <c r="U153" s="71" t="s">
        <v>2604</v>
      </c>
      <c r="V153" s="71" t="s">
        <v>2635</v>
      </c>
    </row>
    <row r="154" spans="1:22">
      <c r="A154" s="71" t="s">
        <v>2659</v>
      </c>
      <c r="B154" s="71" t="s">
        <v>724</v>
      </c>
      <c r="C154" s="72">
        <v>46051.358842627313</v>
      </c>
      <c r="D154" s="72">
        <v>46051.358842627313</v>
      </c>
      <c r="E154" s="71" t="s">
        <v>365</v>
      </c>
      <c r="F154" s="71" t="s">
        <v>1063</v>
      </c>
      <c r="G154" s="71" t="s">
        <v>1064</v>
      </c>
      <c r="H154" s="71" t="s">
        <v>1062</v>
      </c>
      <c r="I154" s="71" t="s">
        <v>2604</v>
      </c>
      <c r="J154" s="71" t="s">
        <v>774</v>
      </c>
      <c r="K154" s="71" t="s">
        <v>2738</v>
      </c>
      <c r="L154" s="71" t="s">
        <v>2604</v>
      </c>
      <c r="M154" s="71" t="s">
        <v>2739</v>
      </c>
      <c r="N154" s="71" t="s">
        <v>2740</v>
      </c>
      <c r="O154" s="71" t="s">
        <v>2640</v>
      </c>
      <c r="P154" s="71" t="s">
        <v>2604</v>
      </c>
      <c r="Q154" s="71" t="s">
        <v>2741</v>
      </c>
      <c r="R154" s="71" t="s">
        <v>2604</v>
      </c>
      <c r="S154" s="71" t="s">
        <v>2604</v>
      </c>
      <c r="T154" s="71" t="s">
        <v>2604</v>
      </c>
      <c r="U154" s="71" t="s">
        <v>2604</v>
      </c>
      <c r="V154" s="71" t="s">
        <v>2635</v>
      </c>
    </row>
    <row r="155" spans="1:22">
      <c r="A155" s="71" t="s">
        <v>2659</v>
      </c>
      <c r="B155" s="71" t="s">
        <v>56</v>
      </c>
      <c r="C155" s="72">
        <v>45940.715550949077</v>
      </c>
      <c r="D155" s="72">
        <v>45940.715550949077</v>
      </c>
      <c r="E155" s="71" t="s">
        <v>365</v>
      </c>
      <c r="F155" s="71" t="s">
        <v>874</v>
      </c>
      <c r="G155" s="71" t="s">
        <v>875</v>
      </c>
      <c r="H155" s="71" t="s">
        <v>873</v>
      </c>
      <c r="I155" s="71" t="s">
        <v>2604</v>
      </c>
      <c r="J155" s="71" t="s">
        <v>744</v>
      </c>
      <c r="K155" s="71" t="s">
        <v>2665</v>
      </c>
      <c r="L155" s="71" t="s">
        <v>2666</v>
      </c>
      <c r="M155" s="71" t="s">
        <v>2694</v>
      </c>
      <c r="N155" s="71" t="s">
        <v>2694</v>
      </c>
      <c r="O155" s="71" t="s">
        <v>2640</v>
      </c>
      <c r="P155" s="71" t="s">
        <v>2604</v>
      </c>
      <c r="Q155" s="71" t="s">
        <v>2695</v>
      </c>
      <c r="R155" s="71" t="s">
        <v>2604</v>
      </c>
      <c r="S155" s="71" t="s">
        <v>2604</v>
      </c>
      <c r="T155" s="71" t="s">
        <v>2604</v>
      </c>
      <c r="U155" s="71" t="s">
        <v>2604</v>
      </c>
      <c r="V155" s="71" t="s">
        <v>2664</v>
      </c>
    </row>
    <row r="156" spans="1:22">
      <c r="A156" s="71" t="s">
        <v>2659</v>
      </c>
      <c r="B156" s="71" t="s">
        <v>84</v>
      </c>
      <c r="C156" s="72">
        <v>45840.726264467594</v>
      </c>
      <c r="D156" s="72">
        <v>45840.726264467594</v>
      </c>
      <c r="E156" s="71" t="s">
        <v>365</v>
      </c>
      <c r="F156" s="71" t="s">
        <v>2922</v>
      </c>
      <c r="G156" s="71" t="s">
        <v>535</v>
      </c>
      <c r="H156" s="71" t="s">
        <v>533</v>
      </c>
      <c r="I156" s="71" t="s">
        <v>2604</v>
      </c>
      <c r="J156" s="71" t="s">
        <v>752</v>
      </c>
      <c r="K156" s="71" t="s">
        <v>2723</v>
      </c>
      <c r="L156" s="71" t="s">
        <v>2665</v>
      </c>
      <c r="M156" s="71" t="s">
        <v>2923</v>
      </c>
      <c r="N156" s="71" t="s">
        <v>2924</v>
      </c>
      <c r="O156" s="71" t="s">
        <v>2640</v>
      </c>
      <c r="P156" s="71" t="s">
        <v>2604</v>
      </c>
      <c r="Q156" s="71" t="s">
        <v>2925</v>
      </c>
      <c r="R156" s="71" t="s">
        <v>2604</v>
      </c>
      <c r="S156" s="71" t="s">
        <v>2604</v>
      </c>
      <c r="T156" s="71" t="s">
        <v>2604</v>
      </c>
      <c r="U156" s="71" t="s">
        <v>2604</v>
      </c>
      <c r="V156" s="71" t="s">
        <v>2635</v>
      </c>
    </row>
    <row r="157" spans="1:22">
      <c r="A157" s="71" t="s">
        <v>2659</v>
      </c>
      <c r="B157" s="71" t="s">
        <v>56</v>
      </c>
      <c r="C157" s="72">
        <v>45988.640256122686</v>
      </c>
      <c r="D157" s="72">
        <v>45988.640256122686</v>
      </c>
      <c r="E157" s="71" t="s">
        <v>365</v>
      </c>
      <c r="F157" s="71" t="s">
        <v>978</v>
      </c>
      <c r="G157" s="71" t="s">
        <v>979</v>
      </c>
      <c r="H157" s="71" t="s">
        <v>977</v>
      </c>
      <c r="I157" s="71" t="s">
        <v>2604</v>
      </c>
      <c r="J157" s="71" t="s">
        <v>752</v>
      </c>
      <c r="K157" s="71" t="s">
        <v>2675</v>
      </c>
      <c r="L157" s="71" t="s">
        <v>2790</v>
      </c>
      <c r="M157" s="71" t="s">
        <v>2926</v>
      </c>
      <c r="N157" s="71" t="s">
        <v>2671</v>
      </c>
      <c r="O157" s="71" t="s">
        <v>2640</v>
      </c>
      <c r="P157" s="71" t="s">
        <v>2604</v>
      </c>
      <c r="Q157" s="71" t="s">
        <v>2927</v>
      </c>
      <c r="R157" s="71" t="s">
        <v>2604</v>
      </c>
      <c r="S157" s="71" t="s">
        <v>2604</v>
      </c>
      <c r="T157" s="71" t="s">
        <v>2604</v>
      </c>
      <c r="U157" s="71" t="s">
        <v>2604</v>
      </c>
      <c r="V157" s="71" t="s">
        <v>2635</v>
      </c>
    </row>
    <row r="158" spans="1:22">
      <c r="A158" s="71" t="s">
        <v>2659</v>
      </c>
      <c r="B158" s="71" t="s">
        <v>56</v>
      </c>
      <c r="C158" s="72">
        <v>46090.730494791664</v>
      </c>
      <c r="D158" s="72">
        <v>46090.730494791664</v>
      </c>
      <c r="E158" s="71" t="s">
        <v>365</v>
      </c>
      <c r="F158" s="71" t="s">
        <v>1122</v>
      </c>
      <c r="G158" s="71" t="s">
        <v>1123</v>
      </c>
      <c r="H158" s="71" t="s">
        <v>1121</v>
      </c>
      <c r="I158" s="71" t="s">
        <v>2604</v>
      </c>
      <c r="J158" s="71" t="s">
        <v>744</v>
      </c>
      <c r="K158" s="71" t="s">
        <v>2665</v>
      </c>
      <c r="L158" s="71" t="s">
        <v>2821</v>
      </c>
      <c r="M158" s="71" t="s">
        <v>2928</v>
      </c>
      <c r="N158" s="71" t="s">
        <v>2929</v>
      </c>
      <c r="O158" s="71" t="s">
        <v>2640</v>
      </c>
      <c r="P158" s="71" t="s">
        <v>2604</v>
      </c>
      <c r="Q158" s="71" t="s">
        <v>2930</v>
      </c>
      <c r="R158" s="71" t="s">
        <v>2604</v>
      </c>
      <c r="S158" s="71" t="s">
        <v>2604</v>
      </c>
      <c r="T158" s="71" t="s">
        <v>2604</v>
      </c>
      <c r="U158" s="71" t="s">
        <v>2604</v>
      </c>
      <c r="V158" s="71" t="s">
        <v>2604</v>
      </c>
    </row>
    <row r="159" spans="1:22">
      <c r="A159" s="71" t="s">
        <v>2659</v>
      </c>
      <c r="B159" s="71" t="s">
        <v>2646</v>
      </c>
      <c r="C159" s="72">
        <v>45810.444206087966</v>
      </c>
      <c r="D159" s="72">
        <v>45810.444206087966</v>
      </c>
      <c r="E159" s="71" t="s">
        <v>365</v>
      </c>
      <c r="F159" s="71" t="s">
        <v>485</v>
      </c>
      <c r="G159" s="71" t="s">
        <v>486</v>
      </c>
      <c r="H159" s="71" t="s">
        <v>484</v>
      </c>
      <c r="I159" s="71" t="s">
        <v>2604</v>
      </c>
      <c r="J159" s="71" t="s">
        <v>752</v>
      </c>
      <c r="K159" s="71" t="s">
        <v>2723</v>
      </c>
      <c r="L159" s="71" t="s">
        <v>2665</v>
      </c>
      <c r="M159" s="71" t="s">
        <v>2759</v>
      </c>
      <c r="N159" s="71" t="s">
        <v>2759</v>
      </c>
      <c r="O159" s="71" t="s">
        <v>2692</v>
      </c>
      <c r="P159" s="71" t="s">
        <v>2604</v>
      </c>
      <c r="Q159" s="71" t="s">
        <v>2760</v>
      </c>
      <c r="R159" s="71" t="s">
        <v>2604</v>
      </c>
      <c r="S159" s="71" t="s">
        <v>2604</v>
      </c>
      <c r="T159" s="71" t="s">
        <v>2604</v>
      </c>
      <c r="U159" s="71" t="s">
        <v>2604</v>
      </c>
      <c r="V159" s="71" t="s">
        <v>2658</v>
      </c>
    </row>
    <row r="160" spans="1:22">
      <c r="A160" s="71" t="s">
        <v>2659</v>
      </c>
      <c r="B160" s="71" t="s">
        <v>84</v>
      </c>
      <c r="C160" s="72">
        <v>45908.437577627315</v>
      </c>
      <c r="D160" s="72">
        <v>45908.437577627315</v>
      </c>
      <c r="E160" s="71" t="s">
        <v>365</v>
      </c>
      <c r="F160" s="71" t="s">
        <v>2931</v>
      </c>
      <c r="G160" s="71" t="s">
        <v>2932</v>
      </c>
      <c r="H160" s="71" t="s">
        <v>778</v>
      </c>
      <c r="I160" s="71" t="s">
        <v>2604</v>
      </c>
      <c r="J160" s="71" t="s">
        <v>769</v>
      </c>
      <c r="K160" s="71" t="s">
        <v>2933</v>
      </c>
      <c r="L160" s="71" t="s">
        <v>2934</v>
      </c>
      <c r="M160" s="71" t="s">
        <v>2928</v>
      </c>
      <c r="N160" s="71" t="s">
        <v>2935</v>
      </c>
      <c r="O160" s="71" t="s">
        <v>2640</v>
      </c>
      <c r="P160" s="71" t="s">
        <v>2604</v>
      </c>
      <c r="Q160" s="71" t="s">
        <v>2936</v>
      </c>
      <c r="R160" s="71" t="s">
        <v>2604</v>
      </c>
      <c r="S160" s="71" t="s">
        <v>2604</v>
      </c>
      <c r="T160" s="71" t="s">
        <v>2604</v>
      </c>
      <c r="U160" s="71" t="s">
        <v>2604</v>
      </c>
      <c r="V160" s="71" t="s">
        <v>2604</v>
      </c>
    </row>
    <row r="161" spans="1:22">
      <c r="A161" s="71" t="s">
        <v>2659</v>
      </c>
      <c r="B161" s="71" t="s">
        <v>724</v>
      </c>
      <c r="C161" s="72">
        <v>45894.755202037035</v>
      </c>
      <c r="D161" s="72">
        <v>45894.755202037035</v>
      </c>
      <c r="E161" s="71" t="s">
        <v>365</v>
      </c>
      <c r="F161" s="71" t="s">
        <v>731</v>
      </c>
      <c r="G161" s="71" t="s">
        <v>732</v>
      </c>
      <c r="H161" s="71" t="s">
        <v>730</v>
      </c>
      <c r="I161" s="71" t="s">
        <v>2604</v>
      </c>
      <c r="J161" s="71" t="s">
        <v>774</v>
      </c>
      <c r="K161" s="71" t="s">
        <v>2670</v>
      </c>
      <c r="L161" s="71" t="s">
        <v>2604</v>
      </c>
      <c r="M161" s="71" t="s">
        <v>2671</v>
      </c>
      <c r="N161" s="71" t="s">
        <v>2937</v>
      </c>
      <c r="O161" s="71" t="s">
        <v>2640</v>
      </c>
      <c r="P161" s="71" t="s">
        <v>2604</v>
      </c>
      <c r="Q161" s="71" t="s">
        <v>2938</v>
      </c>
      <c r="R161" s="71" t="s">
        <v>2604</v>
      </c>
      <c r="S161" s="71" t="s">
        <v>2604</v>
      </c>
      <c r="T161" s="71" t="s">
        <v>2604</v>
      </c>
      <c r="U161" s="71" t="s">
        <v>2604</v>
      </c>
      <c r="V161" s="71" t="s">
        <v>2604</v>
      </c>
    </row>
    <row r="162" spans="1:22">
      <c r="A162" s="71" t="s">
        <v>2659</v>
      </c>
      <c r="B162" s="71" t="s">
        <v>2646</v>
      </c>
      <c r="C162" s="72">
        <v>45813.288968009256</v>
      </c>
      <c r="D162" s="72">
        <v>45813.288968009256</v>
      </c>
      <c r="E162" s="71" t="s">
        <v>473</v>
      </c>
      <c r="F162" s="71" t="s">
        <v>2816</v>
      </c>
      <c r="G162" s="71" t="s">
        <v>495</v>
      </c>
      <c r="H162" s="71" t="s">
        <v>493</v>
      </c>
      <c r="I162" s="71" t="s">
        <v>2604</v>
      </c>
      <c r="J162" s="71" t="s">
        <v>752</v>
      </c>
      <c r="K162" s="71" t="s">
        <v>2723</v>
      </c>
      <c r="L162" s="71" t="s">
        <v>2665</v>
      </c>
      <c r="M162" s="71" t="s">
        <v>2817</v>
      </c>
      <c r="N162" s="71" t="s">
        <v>2671</v>
      </c>
      <c r="O162" s="71" t="s">
        <v>2612</v>
      </c>
      <c r="P162" s="71" t="s">
        <v>2604</v>
      </c>
      <c r="Q162" s="71" t="s">
        <v>2818</v>
      </c>
      <c r="R162" s="71" t="s">
        <v>2604</v>
      </c>
      <c r="S162" s="71" t="s">
        <v>2604</v>
      </c>
      <c r="T162" s="71" t="s">
        <v>2604</v>
      </c>
      <c r="U162" s="71" t="s">
        <v>2604</v>
      </c>
      <c r="V162" s="71" t="s">
        <v>2604</v>
      </c>
    </row>
    <row r="163" spans="1:22">
      <c r="A163" s="71" t="s">
        <v>2659</v>
      </c>
      <c r="B163" s="71" t="s">
        <v>84</v>
      </c>
      <c r="C163" s="72">
        <v>45917.39422332176</v>
      </c>
      <c r="D163" s="72">
        <v>45917.39422332176</v>
      </c>
      <c r="E163" s="71" t="s">
        <v>380</v>
      </c>
      <c r="F163" s="71" t="s">
        <v>2939</v>
      </c>
      <c r="G163" s="71" t="s">
        <v>808</v>
      </c>
      <c r="H163" s="71" t="s">
        <v>806</v>
      </c>
      <c r="I163" s="71" t="s">
        <v>2604</v>
      </c>
      <c r="J163" s="71" t="s">
        <v>774</v>
      </c>
      <c r="K163" s="71" t="s">
        <v>2670</v>
      </c>
      <c r="L163" s="71" t="s">
        <v>2604</v>
      </c>
      <c r="M163" s="71" t="s">
        <v>2671</v>
      </c>
      <c r="N163" s="71" t="s">
        <v>2671</v>
      </c>
      <c r="O163" s="71" t="s">
        <v>2640</v>
      </c>
      <c r="P163" s="71" t="s">
        <v>2604</v>
      </c>
      <c r="Q163" s="71" t="s">
        <v>2940</v>
      </c>
      <c r="R163" s="71" t="s">
        <v>2604</v>
      </c>
      <c r="S163" s="71" t="s">
        <v>2604</v>
      </c>
      <c r="T163" s="71" t="s">
        <v>2604</v>
      </c>
      <c r="U163" s="71" t="s">
        <v>2604</v>
      </c>
      <c r="V163" s="71" t="s">
        <v>2635</v>
      </c>
    </row>
    <row r="164" spans="1:22">
      <c r="A164" s="71" t="s">
        <v>2659</v>
      </c>
      <c r="B164" s="71" t="s">
        <v>2646</v>
      </c>
      <c r="C164" s="72">
        <v>45799.555150590277</v>
      </c>
      <c r="D164" s="72">
        <v>45799.555150590277</v>
      </c>
      <c r="E164" s="71" t="s">
        <v>365</v>
      </c>
      <c r="F164" s="71" t="s">
        <v>476</v>
      </c>
      <c r="G164" s="71" t="s">
        <v>477</v>
      </c>
      <c r="H164" s="71" t="s">
        <v>475</v>
      </c>
      <c r="I164" s="71" t="s">
        <v>2604</v>
      </c>
      <c r="J164" s="71" t="s">
        <v>752</v>
      </c>
      <c r="K164" s="71" t="s">
        <v>2723</v>
      </c>
      <c r="L164" s="71" t="s">
        <v>2665</v>
      </c>
      <c r="M164" s="71" t="s">
        <v>2941</v>
      </c>
      <c r="N164" s="71" t="s">
        <v>2942</v>
      </c>
      <c r="O164" s="71" t="s">
        <v>2692</v>
      </c>
      <c r="P164" s="71" t="s">
        <v>2604</v>
      </c>
      <c r="Q164" s="71" t="s">
        <v>2943</v>
      </c>
      <c r="R164" s="71" t="s">
        <v>2604</v>
      </c>
      <c r="S164" s="71" t="s">
        <v>2604</v>
      </c>
      <c r="T164" s="71" t="s">
        <v>2604</v>
      </c>
      <c r="U164" s="71" t="s">
        <v>2604</v>
      </c>
      <c r="V164" s="71" t="s">
        <v>2658</v>
      </c>
    </row>
    <row r="165" spans="1:22">
      <c r="A165" s="71" t="s">
        <v>2659</v>
      </c>
      <c r="B165" s="71" t="s">
        <v>56</v>
      </c>
      <c r="C165" s="72">
        <v>46041.431561157406</v>
      </c>
      <c r="D165" s="72">
        <v>46041.431561157406</v>
      </c>
      <c r="E165" s="71" t="s">
        <v>365</v>
      </c>
      <c r="F165" s="71" t="s">
        <v>1037</v>
      </c>
      <c r="G165" s="71" t="s">
        <v>2944</v>
      </c>
      <c r="H165" s="71" t="s">
        <v>2945</v>
      </c>
      <c r="I165" s="71" t="s">
        <v>2604</v>
      </c>
      <c r="J165" s="71" t="s">
        <v>744</v>
      </c>
      <c r="K165" s="71" t="s">
        <v>2665</v>
      </c>
      <c r="L165" s="71" t="s">
        <v>2666</v>
      </c>
      <c r="M165" s="71" t="s">
        <v>2671</v>
      </c>
      <c r="N165" s="71" t="s">
        <v>2726</v>
      </c>
      <c r="O165" s="71" t="s">
        <v>2640</v>
      </c>
      <c r="P165" s="71" t="s">
        <v>2604</v>
      </c>
      <c r="Q165" s="71" t="s">
        <v>2946</v>
      </c>
      <c r="R165" s="71" t="s">
        <v>2604</v>
      </c>
      <c r="S165" s="71" t="s">
        <v>2604</v>
      </c>
      <c r="T165" s="71" t="s">
        <v>2604</v>
      </c>
      <c r="U165" s="71" t="s">
        <v>2604</v>
      </c>
      <c r="V165" s="71" t="s">
        <v>2664</v>
      </c>
    </row>
    <row r="166" spans="1:22">
      <c r="A166" s="71" t="s">
        <v>2659</v>
      </c>
      <c r="B166" s="71" t="s">
        <v>84</v>
      </c>
      <c r="C166" s="72">
        <v>45909.432285208335</v>
      </c>
      <c r="D166" s="72">
        <v>45909.432285208335</v>
      </c>
      <c r="E166" s="71" t="s">
        <v>365</v>
      </c>
      <c r="F166" s="71" t="s">
        <v>791</v>
      </c>
      <c r="G166" s="71" t="s">
        <v>2947</v>
      </c>
      <c r="H166" s="71" t="s">
        <v>790</v>
      </c>
      <c r="I166" s="71" t="s">
        <v>2604</v>
      </c>
      <c r="J166" s="71" t="s">
        <v>744</v>
      </c>
      <c r="K166" s="71" t="s">
        <v>2665</v>
      </c>
      <c r="L166" s="71" t="s">
        <v>2821</v>
      </c>
      <c r="M166" s="71" t="s">
        <v>2671</v>
      </c>
      <c r="N166" s="71" t="s">
        <v>2948</v>
      </c>
      <c r="O166" s="71" t="s">
        <v>2640</v>
      </c>
      <c r="P166" s="71" t="s">
        <v>2604</v>
      </c>
      <c r="Q166" s="71" t="s">
        <v>2949</v>
      </c>
      <c r="R166" s="71" t="s">
        <v>2604</v>
      </c>
      <c r="S166" s="71" t="s">
        <v>2604</v>
      </c>
      <c r="T166" s="71" t="s">
        <v>2604</v>
      </c>
      <c r="U166" s="71" t="s">
        <v>2604</v>
      </c>
      <c r="V166" s="71" t="s">
        <v>2664</v>
      </c>
    </row>
    <row r="167" spans="1:22">
      <c r="A167" s="71" t="s">
        <v>2659</v>
      </c>
      <c r="B167" s="71" t="s">
        <v>659</v>
      </c>
      <c r="C167" s="72">
        <v>45869.36627111111</v>
      </c>
      <c r="D167" s="72">
        <v>45869.36627111111</v>
      </c>
      <c r="E167" s="71" t="s">
        <v>473</v>
      </c>
      <c r="F167" s="71" t="s">
        <v>2748</v>
      </c>
      <c r="G167" s="71" t="s">
        <v>2749</v>
      </c>
      <c r="H167" s="71" t="s">
        <v>660</v>
      </c>
      <c r="I167" s="71" t="s">
        <v>2604</v>
      </c>
      <c r="J167" s="71" t="s">
        <v>1140</v>
      </c>
      <c r="K167" s="71" t="s">
        <v>2750</v>
      </c>
      <c r="L167" s="71" t="s">
        <v>2604</v>
      </c>
      <c r="M167" s="71" t="s">
        <v>2751</v>
      </c>
      <c r="N167" s="71" t="s">
        <v>2752</v>
      </c>
      <c r="O167" s="71" t="s">
        <v>2640</v>
      </c>
      <c r="P167" s="71" t="s">
        <v>2753</v>
      </c>
      <c r="Q167" s="71" t="s">
        <v>2754</v>
      </c>
      <c r="R167" s="71" t="s">
        <v>2604</v>
      </c>
      <c r="S167" s="71" t="s">
        <v>2604</v>
      </c>
      <c r="T167" s="71" t="s">
        <v>2604</v>
      </c>
      <c r="U167" s="71" t="s">
        <v>2604</v>
      </c>
      <c r="V167" s="71" t="s">
        <v>2635</v>
      </c>
    </row>
    <row r="168" spans="1:22">
      <c r="A168" s="71" t="s">
        <v>2659</v>
      </c>
      <c r="B168" s="71" t="s">
        <v>51</v>
      </c>
      <c r="C168" s="72">
        <v>45860.571338090274</v>
      </c>
      <c r="D168" s="72">
        <v>45860.571338090274</v>
      </c>
      <c r="E168" s="71" t="s">
        <v>365</v>
      </c>
      <c r="F168" s="71" t="s">
        <v>616</v>
      </c>
      <c r="G168" s="71" t="s">
        <v>617</v>
      </c>
      <c r="H168" s="71" t="s">
        <v>615</v>
      </c>
      <c r="I168" s="71" t="s">
        <v>2604</v>
      </c>
      <c r="J168" s="71" t="s">
        <v>752</v>
      </c>
      <c r="K168" s="71" t="s">
        <v>2723</v>
      </c>
      <c r="L168" s="71" t="s">
        <v>2665</v>
      </c>
      <c r="M168" s="71" t="s">
        <v>2731</v>
      </c>
      <c r="N168" s="71" t="s">
        <v>2671</v>
      </c>
      <c r="O168" s="71" t="s">
        <v>2640</v>
      </c>
      <c r="P168" s="71" t="s">
        <v>2604</v>
      </c>
      <c r="Q168" s="71" t="s">
        <v>2732</v>
      </c>
      <c r="R168" s="71" t="s">
        <v>2604</v>
      </c>
      <c r="S168" s="71" t="s">
        <v>2604</v>
      </c>
      <c r="T168" s="71" t="s">
        <v>2604</v>
      </c>
      <c r="U168" s="71" t="s">
        <v>2604</v>
      </c>
      <c r="V168" s="71" t="s">
        <v>2635</v>
      </c>
    </row>
    <row r="169" spans="1:22">
      <c r="A169" s="71" t="s">
        <v>2659</v>
      </c>
      <c r="B169" s="71" t="s">
        <v>2646</v>
      </c>
      <c r="C169" s="72">
        <v>45778.935127974539</v>
      </c>
      <c r="D169" s="72">
        <v>45778.935127974539</v>
      </c>
      <c r="E169" s="71" t="s">
        <v>365</v>
      </c>
      <c r="F169" s="71" t="s">
        <v>441</v>
      </c>
      <c r="G169" s="71" t="s">
        <v>442</v>
      </c>
      <c r="H169" s="71" t="s">
        <v>440</v>
      </c>
      <c r="I169" s="71" t="s">
        <v>2604</v>
      </c>
      <c r="J169" s="71" t="s">
        <v>813</v>
      </c>
      <c r="K169" s="71" t="s">
        <v>2648</v>
      </c>
      <c r="L169" s="71" t="s">
        <v>2649</v>
      </c>
      <c r="M169" s="71" t="s">
        <v>2650</v>
      </c>
      <c r="N169" s="71" t="s">
        <v>2651</v>
      </c>
      <c r="O169" s="71" t="s">
        <v>2692</v>
      </c>
      <c r="P169" s="71" t="s">
        <v>2604</v>
      </c>
      <c r="Q169" s="71" t="s">
        <v>2811</v>
      </c>
      <c r="R169" s="71" t="s">
        <v>2604</v>
      </c>
      <c r="S169" s="71" t="s">
        <v>2604</v>
      </c>
      <c r="T169" s="71" t="s">
        <v>2604</v>
      </c>
      <c r="U169" s="71" t="s">
        <v>2604</v>
      </c>
      <c r="V169" s="71" t="s">
        <v>2655</v>
      </c>
    </row>
    <row r="170" spans="1:22">
      <c r="A170" s="71" t="s">
        <v>2659</v>
      </c>
      <c r="B170" s="71" t="s">
        <v>2646</v>
      </c>
      <c r="C170" s="72">
        <v>45819.537054733795</v>
      </c>
      <c r="D170" s="72">
        <v>45819.537054733795</v>
      </c>
      <c r="E170" s="71" t="s">
        <v>365</v>
      </c>
      <c r="F170" s="71" t="s">
        <v>511</v>
      </c>
      <c r="G170" s="71" t="s">
        <v>512</v>
      </c>
      <c r="H170" s="71" t="s">
        <v>510</v>
      </c>
      <c r="I170" s="71" t="s">
        <v>2604</v>
      </c>
      <c r="J170" s="71" t="s">
        <v>752</v>
      </c>
      <c r="K170" s="71" t="s">
        <v>2723</v>
      </c>
      <c r="L170" s="71" t="s">
        <v>2665</v>
      </c>
      <c r="M170" s="71" t="s">
        <v>2950</v>
      </c>
      <c r="N170" s="71" t="s">
        <v>2951</v>
      </c>
      <c r="O170" s="71" t="s">
        <v>2692</v>
      </c>
      <c r="P170" s="71" t="s">
        <v>2604</v>
      </c>
      <c r="Q170" s="71" t="s">
        <v>2952</v>
      </c>
      <c r="R170" s="71" t="s">
        <v>2604</v>
      </c>
      <c r="S170" s="71" t="s">
        <v>2604</v>
      </c>
      <c r="T170" s="71" t="s">
        <v>2604</v>
      </c>
      <c r="U170" s="71" t="s">
        <v>2604</v>
      </c>
      <c r="V170" s="71" t="s">
        <v>2604</v>
      </c>
    </row>
    <row r="171" spans="1:22">
      <c r="A171" s="71" t="s">
        <v>2659</v>
      </c>
      <c r="B171" s="71" t="s">
        <v>56</v>
      </c>
      <c r="C171" s="72">
        <v>45919.374421539353</v>
      </c>
      <c r="D171" s="72">
        <v>45919.374421539353</v>
      </c>
      <c r="E171" s="71" t="s">
        <v>365</v>
      </c>
      <c r="F171" s="71" t="s">
        <v>818</v>
      </c>
      <c r="G171" s="71" t="s">
        <v>819</v>
      </c>
      <c r="H171" s="71" t="s">
        <v>817</v>
      </c>
      <c r="I171" s="71" t="s">
        <v>2604</v>
      </c>
      <c r="J171" s="71" t="s">
        <v>774</v>
      </c>
      <c r="K171" s="71" t="s">
        <v>2670</v>
      </c>
      <c r="L171" s="71" t="s">
        <v>2604</v>
      </c>
      <c r="M171" s="71" t="s">
        <v>2671</v>
      </c>
      <c r="N171" s="71" t="s">
        <v>2684</v>
      </c>
      <c r="O171" s="71" t="s">
        <v>2640</v>
      </c>
      <c r="P171" s="71" t="s">
        <v>2604</v>
      </c>
      <c r="Q171" s="71" t="s">
        <v>2685</v>
      </c>
      <c r="R171" s="71" t="s">
        <v>2604</v>
      </c>
      <c r="S171" s="71" t="s">
        <v>2604</v>
      </c>
      <c r="T171" s="71" t="s">
        <v>2604</v>
      </c>
      <c r="U171" s="71" t="s">
        <v>2604</v>
      </c>
      <c r="V171" s="71" t="s">
        <v>2664</v>
      </c>
    </row>
    <row r="172" spans="1:22">
      <c r="A172" s="71" t="s">
        <v>2659</v>
      </c>
      <c r="B172" s="71" t="s">
        <v>56</v>
      </c>
      <c r="C172" s="72">
        <v>45855.999216782409</v>
      </c>
      <c r="D172" s="72">
        <v>45855.999216782409</v>
      </c>
      <c r="E172" s="71" t="s">
        <v>473</v>
      </c>
      <c r="F172" s="71" t="s">
        <v>575</v>
      </c>
      <c r="G172" s="71" t="s">
        <v>576</v>
      </c>
      <c r="H172" s="71" t="s">
        <v>574</v>
      </c>
      <c r="I172" s="71" t="s">
        <v>2604</v>
      </c>
      <c r="J172" s="71" t="s">
        <v>813</v>
      </c>
      <c r="K172" s="71" t="s">
        <v>2648</v>
      </c>
      <c r="L172" s="71" t="s">
        <v>2649</v>
      </c>
      <c r="M172" s="71" t="s">
        <v>2726</v>
      </c>
      <c r="N172" s="71" t="s">
        <v>2726</v>
      </c>
      <c r="O172" s="71" t="s">
        <v>2640</v>
      </c>
      <c r="P172" s="71" t="s">
        <v>2604</v>
      </c>
      <c r="Q172" s="71" t="s">
        <v>2953</v>
      </c>
      <c r="R172" s="71" t="s">
        <v>2604</v>
      </c>
      <c r="S172" s="71" t="s">
        <v>2604</v>
      </c>
      <c r="T172" s="71" t="s">
        <v>2604</v>
      </c>
      <c r="U172" s="71" t="s">
        <v>2604</v>
      </c>
      <c r="V172" s="71" t="s">
        <v>2635</v>
      </c>
    </row>
    <row r="173" spans="1:22">
      <c r="A173" s="71" t="s">
        <v>2659</v>
      </c>
      <c r="B173" s="71" t="s">
        <v>56</v>
      </c>
      <c r="C173" s="72">
        <v>46071.768705092596</v>
      </c>
      <c r="D173" s="72">
        <v>46071.768705092596</v>
      </c>
      <c r="E173" s="71" t="s">
        <v>473</v>
      </c>
      <c r="F173" s="71" t="s">
        <v>2843</v>
      </c>
      <c r="G173" s="71" t="s">
        <v>1105</v>
      </c>
      <c r="H173" s="71" t="s">
        <v>1103</v>
      </c>
      <c r="I173" s="71" t="s">
        <v>2604</v>
      </c>
      <c r="J173" s="71" t="s">
        <v>752</v>
      </c>
      <c r="K173" s="71" t="s">
        <v>2675</v>
      </c>
      <c r="L173" s="71" t="s">
        <v>2790</v>
      </c>
      <c r="M173" s="71" t="s">
        <v>2844</v>
      </c>
      <c r="N173" s="71" t="s">
        <v>2845</v>
      </c>
      <c r="O173" s="71" t="s">
        <v>2640</v>
      </c>
      <c r="P173" s="71" t="s">
        <v>2604</v>
      </c>
      <c r="Q173" s="71" t="s">
        <v>2846</v>
      </c>
      <c r="R173" s="71" t="s">
        <v>2604</v>
      </c>
      <c r="S173" s="71" t="s">
        <v>2604</v>
      </c>
      <c r="T173" s="71" t="s">
        <v>2604</v>
      </c>
      <c r="U173" s="71" t="s">
        <v>2604</v>
      </c>
      <c r="V173" s="71" t="s">
        <v>2635</v>
      </c>
    </row>
    <row r="174" spans="1:22">
      <c r="A174" s="71" t="s">
        <v>2659</v>
      </c>
      <c r="B174" s="71" t="s">
        <v>56</v>
      </c>
      <c r="C174" s="72">
        <v>46090.864898321757</v>
      </c>
      <c r="D174" s="72">
        <v>46090.864898321757</v>
      </c>
      <c r="E174" s="71" t="s">
        <v>365</v>
      </c>
      <c r="F174" s="71" t="s">
        <v>1125</v>
      </c>
      <c r="G174" s="71" t="s">
        <v>1126</v>
      </c>
      <c r="H174" s="71" t="s">
        <v>1124</v>
      </c>
      <c r="I174" s="71" t="s">
        <v>2604</v>
      </c>
      <c r="J174" s="71" t="s">
        <v>774</v>
      </c>
      <c r="K174" s="71" t="s">
        <v>2670</v>
      </c>
      <c r="L174" s="71" t="s">
        <v>2604</v>
      </c>
      <c r="M174" s="71" t="s">
        <v>2671</v>
      </c>
      <c r="N174" s="71" t="s">
        <v>2865</v>
      </c>
      <c r="O174" s="71" t="s">
        <v>2640</v>
      </c>
      <c r="P174" s="71" t="s">
        <v>2604</v>
      </c>
      <c r="Q174" s="71" t="s">
        <v>2866</v>
      </c>
      <c r="R174" s="71" t="s">
        <v>2604</v>
      </c>
      <c r="S174" s="71" t="s">
        <v>2604</v>
      </c>
      <c r="T174" s="71" t="s">
        <v>2604</v>
      </c>
      <c r="U174" s="71" t="s">
        <v>2604</v>
      </c>
      <c r="V174" s="71" t="s">
        <v>2635</v>
      </c>
    </row>
    <row r="175" spans="1:22">
      <c r="A175" s="71" t="s">
        <v>2659</v>
      </c>
      <c r="B175" s="71" t="s">
        <v>56</v>
      </c>
      <c r="C175" s="72">
        <v>45866.715620891206</v>
      </c>
      <c r="D175" s="72">
        <v>45866.715620891206</v>
      </c>
      <c r="E175" s="71" t="s">
        <v>365</v>
      </c>
      <c r="F175" s="71" t="s">
        <v>2808</v>
      </c>
      <c r="G175" s="71" t="s">
        <v>650</v>
      </c>
      <c r="H175" s="71" t="s">
        <v>648</v>
      </c>
      <c r="I175" s="71" t="s">
        <v>2604</v>
      </c>
      <c r="J175" s="71" t="s">
        <v>744</v>
      </c>
      <c r="K175" s="71" t="s">
        <v>2665</v>
      </c>
      <c r="L175" s="71" t="s">
        <v>2666</v>
      </c>
      <c r="M175" s="71" t="s">
        <v>2671</v>
      </c>
      <c r="N175" s="71" t="s">
        <v>2809</v>
      </c>
      <c r="O175" s="71" t="s">
        <v>2640</v>
      </c>
      <c r="P175" s="71" t="s">
        <v>2604</v>
      </c>
      <c r="Q175" s="71" t="s">
        <v>2810</v>
      </c>
      <c r="R175" s="71" t="s">
        <v>2604</v>
      </c>
      <c r="S175" s="71" t="s">
        <v>2604</v>
      </c>
      <c r="T175" s="71" t="s">
        <v>2604</v>
      </c>
      <c r="U175" s="71" t="s">
        <v>2604</v>
      </c>
      <c r="V175" s="71" t="s">
        <v>2635</v>
      </c>
    </row>
    <row r="176" spans="1:22">
      <c r="A176" s="71" t="s">
        <v>2659</v>
      </c>
      <c r="B176" s="71" t="s">
        <v>56</v>
      </c>
      <c r="C176" s="72">
        <v>46063.500558206018</v>
      </c>
      <c r="D176" s="72">
        <v>46063.500558206018</v>
      </c>
      <c r="E176" s="71" t="s">
        <v>365</v>
      </c>
      <c r="F176" s="71" t="s">
        <v>1090</v>
      </c>
      <c r="G176" s="71" t="s">
        <v>1091</v>
      </c>
      <c r="H176" s="71" t="s">
        <v>1089</v>
      </c>
      <c r="I176" s="71" t="s">
        <v>2604</v>
      </c>
      <c r="J176" s="71" t="s">
        <v>752</v>
      </c>
      <c r="K176" s="71" t="s">
        <v>2675</v>
      </c>
      <c r="L176" s="71" t="s">
        <v>2790</v>
      </c>
      <c r="M176" s="71" t="s">
        <v>2954</v>
      </c>
      <c r="N176" s="71" t="s">
        <v>2955</v>
      </c>
      <c r="O176" s="71" t="s">
        <v>2640</v>
      </c>
      <c r="P176" s="71" t="s">
        <v>2604</v>
      </c>
      <c r="Q176" s="71" t="s">
        <v>2956</v>
      </c>
      <c r="R176" s="71" t="s">
        <v>2604</v>
      </c>
      <c r="S176" s="71" t="s">
        <v>2604</v>
      </c>
      <c r="T176" s="71" t="s">
        <v>2604</v>
      </c>
      <c r="U176" s="71" t="s">
        <v>2604</v>
      </c>
      <c r="V176" s="71" t="s">
        <v>2664</v>
      </c>
    </row>
    <row r="177" spans="1:22">
      <c r="A177" s="71" t="s">
        <v>2659</v>
      </c>
      <c r="B177" s="71" t="s">
        <v>2646</v>
      </c>
      <c r="C177" s="72">
        <v>45821.441679918978</v>
      </c>
      <c r="D177" s="72">
        <v>45821.441679918978</v>
      </c>
      <c r="E177" s="71" t="s">
        <v>365</v>
      </c>
      <c r="F177" s="71" t="s">
        <v>514</v>
      </c>
      <c r="G177" s="71" t="s">
        <v>2957</v>
      </c>
      <c r="H177" s="71" t="s">
        <v>513</v>
      </c>
      <c r="I177" s="71" t="s">
        <v>2604</v>
      </c>
      <c r="J177" s="71" t="s">
        <v>774</v>
      </c>
      <c r="K177" s="71" t="s">
        <v>2670</v>
      </c>
      <c r="L177" s="71" t="s">
        <v>2604</v>
      </c>
      <c r="M177" s="71" t="s">
        <v>2671</v>
      </c>
      <c r="N177" s="71" t="s">
        <v>2671</v>
      </c>
      <c r="O177" s="71" t="s">
        <v>2604</v>
      </c>
      <c r="P177" s="71" t="s">
        <v>2604</v>
      </c>
      <c r="Q177" s="71" t="s">
        <v>2958</v>
      </c>
      <c r="R177" s="71" t="s">
        <v>2604</v>
      </c>
      <c r="S177" s="71" t="s">
        <v>2604</v>
      </c>
      <c r="T177" s="71" t="s">
        <v>2604</v>
      </c>
      <c r="U177" s="71" t="s">
        <v>2604</v>
      </c>
      <c r="V177" s="71" t="s">
        <v>2635</v>
      </c>
    </row>
    <row r="178" spans="1:22">
      <c r="A178" s="71" t="s">
        <v>2659</v>
      </c>
      <c r="B178" s="71" t="s">
        <v>56</v>
      </c>
      <c r="C178" s="72">
        <v>45862.773318032407</v>
      </c>
      <c r="D178" s="72">
        <v>45862.773318032407</v>
      </c>
      <c r="E178" s="71" t="s">
        <v>365</v>
      </c>
      <c r="F178" s="71" t="s">
        <v>626</v>
      </c>
      <c r="G178" s="71" t="s">
        <v>627</v>
      </c>
      <c r="H178" s="71" t="s">
        <v>625</v>
      </c>
      <c r="I178" s="71" t="s">
        <v>2604</v>
      </c>
      <c r="J178" s="71" t="s">
        <v>744</v>
      </c>
      <c r="K178" s="71" t="s">
        <v>2665</v>
      </c>
      <c r="L178" s="71" t="s">
        <v>2666</v>
      </c>
      <c r="M178" s="71" t="s">
        <v>2671</v>
      </c>
      <c r="N178" s="71" t="s">
        <v>2856</v>
      </c>
      <c r="O178" s="71" t="s">
        <v>2640</v>
      </c>
      <c r="P178" s="71" t="s">
        <v>2604</v>
      </c>
      <c r="Q178" s="71" t="s">
        <v>2857</v>
      </c>
      <c r="R178" s="71" t="s">
        <v>2604</v>
      </c>
      <c r="S178" s="71" t="s">
        <v>2604</v>
      </c>
      <c r="T178" s="71" t="s">
        <v>2604</v>
      </c>
      <c r="U178" s="71" t="s">
        <v>2604</v>
      </c>
      <c r="V178" s="71" t="s">
        <v>2635</v>
      </c>
    </row>
    <row r="179" spans="1:22">
      <c r="A179" s="71" t="s">
        <v>2659</v>
      </c>
      <c r="B179" s="71" t="s">
        <v>2646</v>
      </c>
      <c r="C179" s="72">
        <v>45769.453627256946</v>
      </c>
      <c r="D179" s="72">
        <v>45769.453627256946</v>
      </c>
      <c r="E179" s="71" t="s">
        <v>365</v>
      </c>
      <c r="F179" s="71" t="s">
        <v>432</v>
      </c>
      <c r="G179" s="71" t="s">
        <v>433</v>
      </c>
      <c r="H179" s="71" t="s">
        <v>431</v>
      </c>
      <c r="I179" s="71" t="s">
        <v>2604</v>
      </c>
      <c r="J179" s="71" t="s">
        <v>752</v>
      </c>
      <c r="K179" s="71" t="s">
        <v>2723</v>
      </c>
      <c r="L179" s="71" t="s">
        <v>2665</v>
      </c>
      <c r="M179" s="71" t="s">
        <v>2876</v>
      </c>
      <c r="N179" s="71" t="s">
        <v>2877</v>
      </c>
      <c r="O179" s="71" t="s">
        <v>2692</v>
      </c>
      <c r="P179" s="71" t="s">
        <v>2604</v>
      </c>
      <c r="Q179" s="71" t="s">
        <v>2878</v>
      </c>
      <c r="R179" s="71" t="s">
        <v>2604</v>
      </c>
      <c r="S179" s="71" t="s">
        <v>2604</v>
      </c>
      <c r="T179" s="71" t="s">
        <v>2604</v>
      </c>
      <c r="U179" s="71" t="s">
        <v>2604</v>
      </c>
      <c r="V179" s="71" t="s">
        <v>2655</v>
      </c>
    </row>
    <row r="180" spans="1:22">
      <c r="A180" s="71" t="s">
        <v>2659</v>
      </c>
      <c r="B180" s="71" t="s">
        <v>2646</v>
      </c>
      <c r="C180" s="72">
        <v>45799.663781481482</v>
      </c>
      <c r="D180" s="72">
        <v>45799.663781481482</v>
      </c>
      <c r="E180" s="71" t="s">
        <v>380</v>
      </c>
      <c r="F180" s="71" t="s">
        <v>479</v>
      </c>
      <c r="G180" s="71" t="s">
        <v>480</v>
      </c>
      <c r="H180" s="71" t="s">
        <v>478</v>
      </c>
      <c r="I180" s="71" t="s">
        <v>2604</v>
      </c>
      <c r="J180" s="71" t="s">
        <v>774</v>
      </c>
      <c r="K180" s="71" t="s">
        <v>2670</v>
      </c>
      <c r="L180" s="71" t="s">
        <v>2604</v>
      </c>
      <c r="M180" s="71" t="s">
        <v>2671</v>
      </c>
      <c r="N180" s="71" t="s">
        <v>2928</v>
      </c>
      <c r="O180" s="71" t="s">
        <v>2692</v>
      </c>
      <c r="P180" s="71" t="s">
        <v>2604</v>
      </c>
      <c r="Q180" s="71" t="s">
        <v>2959</v>
      </c>
      <c r="R180" s="71" t="s">
        <v>2604</v>
      </c>
      <c r="S180" s="71" t="s">
        <v>2604</v>
      </c>
      <c r="T180" s="71" t="s">
        <v>2604</v>
      </c>
      <c r="U180" s="71" t="s">
        <v>2604</v>
      </c>
      <c r="V180" s="71" t="s">
        <v>2658</v>
      </c>
    </row>
    <row r="181" spans="1:22">
      <c r="A181" s="71" t="s">
        <v>2659</v>
      </c>
      <c r="B181" s="71" t="s">
        <v>724</v>
      </c>
      <c r="C181" s="72">
        <v>45894.370106851849</v>
      </c>
      <c r="D181" s="72">
        <v>45894.370106851849</v>
      </c>
      <c r="E181" s="71" t="s">
        <v>365</v>
      </c>
      <c r="F181" s="71" t="s">
        <v>686</v>
      </c>
      <c r="G181" s="71" t="s">
        <v>726</v>
      </c>
      <c r="H181" s="71" t="s">
        <v>725</v>
      </c>
      <c r="I181" s="71" t="s">
        <v>2604</v>
      </c>
      <c r="J181" s="71" t="s">
        <v>744</v>
      </c>
      <c r="K181" s="71" t="s">
        <v>2665</v>
      </c>
      <c r="L181" s="71" t="s">
        <v>2666</v>
      </c>
      <c r="M181" s="71" t="s">
        <v>2671</v>
      </c>
      <c r="N181" s="71" t="s">
        <v>2960</v>
      </c>
      <c r="O181" s="71" t="s">
        <v>2640</v>
      </c>
      <c r="P181" s="71" t="s">
        <v>2604</v>
      </c>
      <c r="Q181" s="71" t="s">
        <v>2961</v>
      </c>
      <c r="R181" s="71" t="s">
        <v>2604</v>
      </c>
      <c r="S181" s="71" t="s">
        <v>2604</v>
      </c>
      <c r="T181" s="71" t="s">
        <v>2604</v>
      </c>
      <c r="U181" s="71" t="s">
        <v>2604</v>
      </c>
      <c r="V181" s="71" t="s">
        <v>2664</v>
      </c>
    </row>
    <row r="182" spans="1:22">
      <c r="A182" s="71" t="s">
        <v>2659</v>
      </c>
      <c r="B182" s="71" t="s">
        <v>56</v>
      </c>
      <c r="C182" s="72">
        <v>45856.576623518522</v>
      </c>
      <c r="D182" s="72">
        <v>45856.576623518522</v>
      </c>
      <c r="E182" s="71" t="s">
        <v>380</v>
      </c>
      <c r="F182" s="71" t="s">
        <v>2962</v>
      </c>
      <c r="G182" s="71" t="s">
        <v>594</v>
      </c>
      <c r="H182" s="71" t="s">
        <v>592</v>
      </c>
      <c r="I182" s="71" t="s">
        <v>2604</v>
      </c>
      <c r="J182" s="71" t="s">
        <v>744</v>
      </c>
      <c r="K182" s="71" t="s">
        <v>2665</v>
      </c>
      <c r="L182" s="71" t="s">
        <v>2821</v>
      </c>
      <c r="M182" s="71" t="s">
        <v>2671</v>
      </c>
      <c r="N182" s="71" t="s">
        <v>2963</v>
      </c>
      <c r="O182" s="71" t="s">
        <v>2640</v>
      </c>
      <c r="P182" s="71" t="s">
        <v>2604</v>
      </c>
      <c r="Q182" s="71" t="s">
        <v>2964</v>
      </c>
      <c r="R182" s="71" t="s">
        <v>2604</v>
      </c>
      <c r="S182" s="71" t="s">
        <v>2604</v>
      </c>
      <c r="T182" s="71" t="s">
        <v>2604</v>
      </c>
      <c r="U182" s="71" t="s">
        <v>2604</v>
      </c>
      <c r="V182" s="71" t="s">
        <v>2635</v>
      </c>
    </row>
    <row r="183" spans="1:22">
      <c r="A183" s="71" t="s">
        <v>2659</v>
      </c>
      <c r="B183" s="71" t="s">
        <v>56</v>
      </c>
      <c r="C183" s="72">
        <v>45917.498420682874</v>
      </c>
      <c r="D183" s="72">
        <v>45917.498420682874</v>
      </c>
      <c r="E183" s="71" t="s">
        <v>473</v>
      </c>
      <c r="F183" s="71" t="s">
        <v>811</v>
      </c>
      <c r="G183" s="71" t="s">
        <v>812</v>
      </c>
      <c r="H183" s="71" t="s">
        <v>810</v>
      </c>
      <c r="I183" s="71" t="s">
        <v>2604</v>
      </c>
      <c r="J183" s="71" t="s">
        <v>813</v>
      </c>
      <c r="K183" s="71" t="s">
        <v>2648</v>
      </c>
      <c r="L183" s="71" t="s">
        <v>2649</v>
      </c>
      <c r="M183" s="71" t="s">
        <v>2726</v>
      </c>
      <c r="N183" s="71" t="s">
        <v>2726</v>
      </c>
      <c r="O183" s="71" t="s">
        <v>2640</v>
      </c>
      <c r="P183" s="71" t="s">
        <v>2604</v>
      </c>
      <c r="Q183" s="71" t="s">
        <v>2965</v>
      </c>
      <c r="R183" s="71" t="s">
        <v>2604</v>
      </c>
      <c r="S183" s="71" t="s">
        <v>2604</v>
      </c>
      <c r="T183" s="71" t="s">
        <v>2604</v>
      </c>
      <c r="U183" s="71" t="s">
        <v>2604</v>
      </c>
      <c r="V183" s="71" t="s">
        <v>2635</v>
      </c>
    </row>
    <row r="184" spans="1:22">
      <c r="A184" s="71" t="s">
        <v>2659</v>
      </c>
      <c r="B184" s="71" t="s">
        <v>56</v>
      </c>
      <c r="C184" s="72">
        <v>45888.647950381943</v>
      </c>
      <c r="D184" s="72">
        <v>45888.647950381943</v>
      </c>
      <c r="E184" s="71" t="s">
        <v>135</v>
      </c>
      <c r="F184" s="71" t="s">
        <v>704</v>
      </c>
      <c r="G184" s="71" t="s">
        <v>2966</v>
      </c>
      <c r="H184" s="71" t="s">
        <v>703</v>
      </c>
      <c r="I184" s="71" t="s">
        <v>2604</v>
      </c>
      <c r="J184" s="71" t="s">
        <v>744</v>
      </c>
      <c r="K184" s="71" t="s">
        <v>2665</v>
      </c>
      <c r="L184" s="71" t="s">
        <v>2821</v>
      </c>
      <c r="M184" s="71" t="s">
        <v>2671</v>
      </c>
      <c r="N184" s="71" t="s">
        <v>2967</v>
      </c>
      <c r="O184" s="71" t="s">
        <v>2640</v>
      </c>
      <c r="P184" s="71" t="s">
        <v>2604</v>
      </c>
      <c r="Q184" s="71" t="s">
        <v>2968</v>
      </c>
      <c r="R184" s="71" t="s">
        <v>2604</v>
      </c>
      <c r="S184" s="71" t="s">
        <v>2604</v>
      </c>
      <c r="T184" s="71" t="s">
        <v>2604</v>
      </c>
      <c r="U184" s="71" t="s">
        <v>2604</v>
      </c>
      <c r="V184" s="71" t="s">
        <v>2635</v>
      </c>
    </row>
    <row r="185" spans="1:22">
      <c r="A185" s="71" t="s">
        <v>2659</v>
      </c>
      <c r="B185" s="71" t="s">
        <v>2646</v>
      </c>
      <c r="C185" s="72">
        <v>45771.468429016204</v>
      </c>
      <c r="D185" s="72">
        <v>45771.468429016204</v>
      </c>
      <c r="E185" s="71" t="s">
        <v>365</v>
      </c>
      <c r="F185" s="71" t="s">
        <v>438</v>
      </c>
      <c r="G185" s="71" t="s">
        <v>439</v>
      </c>
      <c r="H185" s="71" t="s">
        <v>437</v>
      </c>
      <c r="I185" s="71" t="s">
        <v>2604</v>
      </c>
      <c r="J185" s="71" t="s">
        <v>752</v>
      </c>
      <c r="K185" s="71" t="s">
        <v>2723</v>
      </c>
      <c r="L185" s="71" t="s">
        <v>2665</v>
      </c>
      <c r="M185" s="71" t="s">
        <v>2969</v>
      </c>
      <c r="N185" s="71" t="s">
        <v>2836</v>
      </c>
      <c r="O185" s="71" t="s">
        <v>2692</v>
      </c>
      <c r="P185" s="71" t="s">
        <v>2604</v>
      </c>
      <c r="Q185" s="71" t="s">
        <v>2970</v>
      </c>
      <c r="R185" s="71" t="s">
        <v>2604</v>
      </c>
      <c r="S185" s="71" t="s">
        <v>2604</v>
      </c>
      <c r="T185" s="71" t="s">
        <v>2604</v>
      </c>
      <c r="U185" s="71" t="s">
        <v>2604</v>
      </c>
      <c r="V185" s="71" t="s">
        <v>2658</v>
      </c>
    </row>
    <row r="186" spans="1:22">
      <c r="A186" s="71" t="s">
        <v>2659</v>
      </c>
      <c r="B186" s="71" t="s">
        <v>56</v>
      </c>
      <c r="C186" s="72">
        <v>45866.485631736112</v>
      </c>
      <c r="D186" s="72">
        <v>45866.485631736112</v>
      </c>
      <c r="E186" s="71" t="s">
        <v>473</v>
      </c>
      <c r="F186" s="71" t="s">
        <v>2971</v>
      </c>
      <c r="G186" s="71" t="s">
        <v>2972</v>
      </c>
      <c r="H186" s="71" t="s">
        <v>643</v>
      </c>
      <c r="I186" s="71" t="s">
        <v>2604</v>
      </c>
      <c r="J186" s="71" t="s">
        <v>813</v>
      </c>
      <c r="K186" s="71" t="s">
        <v>2648</v>
      </c>
      <c r="L186" s="71" t="s">
        <v>2649</v>
      </c>
      <c r="M186" s="71" t="s">
        <v>2726</v>
      </c>
      <c r="N186" s="71" t="s">
        <v>2726</v>
      </c>
      <c r="O186" s="71" t="s">
        <v>2640</v>
      </c>
      <c r="P186" s="71" t="s">
        <v>2604</v>
      </c>
      <c r="Q186" s="71" t="s">
        <v>2973</v>
      </c>
      <c r="R186" s="71" t="s">
        <v>2604</v>
      </c>
      <c r="S186" s="71" t="s">
        <v>2604</v>
      </c>
      <c r="T186" s="71" t="s">
        <v>2604</v>
      </c>
      <c r="U186" s="71" t="s">
        <v>2604</v>
      </c>
      <c r="V186" s="71" t="s">
        <v>2604</v>
      </c>
    </row>
    <row r="187" spans="1:22">
      <c r="A187" s="71" t="s">
        <v>2659</v>
      </c>
      <c r="B187" s="71" t="s">
        <v>84</v>
      </c>
      <c r="C187" s="72">
        <v>46008.359178657411</v>
      </c>
      <c r="D187" s="72">
        <v>46008.359178657411</v>
      </c>
      <c r="E187" s="71" t="s">
        <v>365</v>
      </c>
      <c r="F187" s="71" t="s">
        <v>1002</v>
      </c>
      <c r="G187" s="71" t="s">
        <v>1003</v>
      </c>
      <c r="H187" s="71" t="s">
        <v>1001</v>
      </c>
      <c r="I187" s="71" t="s">
        <v>2604</v>
      </c>
      <c r="J187" s="71" t="s">
        <v>752</v>
      </c>
      <c r="K187" s="71" t="s">
        <v>2680</v>
      </c>
      <c r="L187" s="71" t="s">
        <v>2974</v>
      </c>
      <c r="M187" s="71" t="s">
        <v>2975</v>
      </c>
      <c r="N187" s="71" t="s">
        <v>2976</v>
      </c>
      <c r="O187" s="71" t="s">
        <v>2640</v>
      </c>
      <c r="P187" s="71" t="s">
        <v>2604</v>
      </c>
      <c r="Q187" s="71" t="s">
        <v>2977</v>
      </c>
      <c r="R187" s="71" t="s">
        <v>2604</v>
      </c>
      <c r="S187" s="71" t="s">
        <v>2604</v>
      </c>
      <c r="T187" s="71" t="s">
        <v>2604</v>
      </c>
      <c r="U187" s="71" t="s">
        <v>2604</v>
      </c>
      <c r="V187" s="71" t="s">
        <v>2604</v>
      </c>
    </row>
    <row r="188" spans="1:22">
      <c r="A188" s="71" t="s">
        <v>2659</v>
      </c>
      <c r="B188" s="71" t="s">
        <v>84</v>
      </c>
      <c r="C188" s="72">
        <v>45855.98915927083</v>
      </c>
      <c r="D188" s="72">
        <v>45855.98915927083</v>
      </c>
      <c r="E188" s="71" t="s">
        <v>380</v>
      </c>
      <c r="F188" s="71" t="s">
        <v>2978</v>
      </c>
      <c r="G188" s="71" t="s">
        <v>2979</v>
      </c>
      <c r="H188" s="71" t="s">
        <v>577</v>
      </c>
      <c r="I188" s="71" t="s">
        <v>2604</v>
      </c>
      <c r="J188" s="71" t="s">
        <v>774</v>
      </c>
      <c r="K188" s="71" t="s">
        <v>2670</v>
      </c>
      <c r="L188" s="71" t="s">
        <v>2604</v>
      </c>
      <c r="M188" s="71" t="s">
        <v>2671</v>
      </c>
      <c r="N188" s="71" t="s">
        <v>2980</v>
      </c>
      <c r="O188" s="71" t="s">
        <v>2640</v>
      </c>
      <c r="P188" s="71" t="s">
        <v>2604</v>
      </c>
      <c r="Q188" s="71" t="s">
        <v>2981</v>
      </c>
      <c r="R188" s="71" t="s">
        <v>2604</v>
      </c>
      <c r="S188" s="71" t="s">
        <v>2604</v>
      </c>
      <c r="T188" s="71" t="s">
        <v>2604</v>
      </c>
      <c r="U188" s="71" t="s">
        <v>2604</v>
      </c>
      <c r="V188" s="71" t="s">
        <v>2604</v>
      </c>
    </row>
    <row r="189" spans="1:22">
      <c r="A189" s="71" t="s">
        <v>2659</v>
      </c>
      <c r="B189" s="71" t="s">
        <v>56</v>
      </c>
      <c r="C189" s="72">
        <v>46094.692030590275</v>
      </c>
      <c r="D189" s="72">
        <v>46094.692030590275</v>
      </c>
      <c r="E189" s="71" t="s">
        <v>365</v>
      </c>
      <c r="F189" s="71" t="s">
        <v>1132</v>
      </c>
      <c r="G189" s="71" t="s">
        <v>1133</v>
      </c>
      <c r="H189" s="71" t="s">
        <v>1131</v>
      </c>
      <c r="I189" s="71" t="s">
        <v>2604</v>
      </c>
      <c r="J189" s="71" t="s">
        <v>752</v>
      </c>
      <c r="K189" s="71" t="s">
        <v>2675</v>
      </c>
      <c r="L189" s="71" t="s">
        <v>2790</v>
      </c>
      <c r="M189" s="71" t="s">
        <v>2873</v>
      </c>
      <c r="N189" s="71" t="s">
        <v>2874</v>
      </c>
      <c r="O189" s="71" t="s">
        <v>2640</v>
      </c>
      <c r="P189" s="71" t="s">
        <v>2604</v>
      </c>
      <c r="Q189" s="71" t="s">
        <v>2875</v>
      </c>
      <c r="R189" s="71" t="s">
        <v>2604</v>
      </c>
      <c r="S189" s="71" t="s">
        <v>2604</v>
      </c>
      <c r="T189" s="71" t="s">
        <v>2604</v>
      </c>
      <c r="U189" s="71" t="s">
        <v>2604</v>
      </c>
      <c r="V189" s="71" t="s">
        <v>2604</v>
      </c>
    </row>
    <row r="190" spans="1:22">
      <c r="A190" s="71" t="s">
        <v>2659</v>
      </c>
      <c r="B190" s="71" t="s">
        <v>2646</v>
      </c>
      <c r="C190" s="72">
        <v>45764.807239444446</v>
      </c>
      <c r="D190" s="72">
        <v>45764.807239444446</v>
      </c>
      <c r="E190" s="71" t="s">
        <v>135</v>
      </c>
      <c r="F190" s="71" t="s">
        <v>422</v>
      </c>
      <c r="G190" s="71" t="s">
        <v>2982</v>
      </c>
      <c r="H190" s="71" t="s">
        <v>421</v>
      </c>
      <c r="I190" s="71" t="s">
        <v>2604</v>
      </c>
      <c r="J190" s="71" t="s">
        <v>1140</v>
      </c>
      <c r="K190" s="71" t="s">
        <v>2983</v>
      </c>
      <c r="L190" s="71" t="s">
        <v>2604</v>
      </c>
      <c r="M190" s="71" t="s">
        <v>2984</v>
      </c>
      <c r="N190" s="71" t="s">
        <v>2985</v>
      </c>
      <c r="O190" s="71" t="s">
        <v>2692</v>
      </c>
      <c r="P190" s="71" t="s">
        <v>2986</v>
      </c>
      <c r="Q190" s="71" t="s">
        <v>2987</v>
      </c>
      <c r="R190" s="71" t="s">
        <v>2604</v>
      </c>
      <c r="S190" s="71" t="s">
        <v>2604</v>
      </c>
      <c r="T190" s="71" t="s">
        <v>2604</v>
      </c>
      <c r="U190" s="71" t="s">
        <v>2604</v>
      </c>
      <c r="V190" s="71" t="s">
        <v>2655</v>
      </c>
    </row>
    <row r="191" spans="1:22">
      <c r="A191" s="71" t="s">
        <v>2659</v>
      </c>
      <c r="B191" s="71" t="s">
        <v>724</v>
      </c>
      <c r="C191" s="72">
        <v>46030.648131018519</v>
      </c>
      <c r="D191" s="72">
        <v>46030.648131018519</v>
      </c>
      <c r="E191" s="71" t="s">
        <v>135</v>
      </c>
      <c r="F191" s="71" t="s">
        <v>1030</v>
      </c>
      <c r="G191" s="71" t="s">
        <v>1031</v>
      </c>
      <c r="H191" s="71" t="s">
        <v>1029</v>
      </c>
      <c r="I191" s="71" t="s">
        <v>2604</v>
      </c>
      <c r="J191" s="71" t="s">
        <v>744</v>
      </c>
      <c r="K191" s="71" t="s">
        <v>2665</v>
      </c>
      <c r="L191" s="71" t="s">
        <v>2704</v>
      </c>
      <c r="M191" s="71" t="s">
        <v>2988</v>
      </c>
      <c r="N191" s="71" t="s">
        <v>2840</v>
      </c>
      <c r="O191" s="71" t="s">
        <v>2640</v>
      </c>
      <c r="P191" s="71" t="s">
        <v>2604</v>
      </c>
      <c r="Q191" s="71" t="s">
        <v>2989</v>
      </c>
      <c r="R191" s="71" t="s">
        <v>2604</v>
      </c>
      <c r="S191" s="71" t="s">
        <v>2604</v>
      </c>
      <c r="T191" s="71" t="s">
        <v>2604</v>
      </c>
      <c r="U191" s="71" t="s">
        <v>2604</v>
      </c>
      <c r="V191" s="71" t="s">
        <v>2604</v>
      </c>
    </row>
    <row r="192" spans="1:22">
      <c r="A192" s="71" t="s">
        <v>2659</v>
      </c>
      <c r="B192" s="71" t="s">
        <v>56</v>
      </c>
      <c r="C192" s="72">
        <v>45855.999216782409</v>
      </c>
      <c r="D192" s="72">
        <v>45855.999216782409</v>
      </c>
      <c r="E192" s="71" t="s">
        <v>473</v>
      </c>
      <c r="F192" s="71" t="s">
        <v>575</v>
      </c>
      <c r="G192" s="71" t="s">
        <v>576</v>
      </c>
      <c r="H192" s="71" t="s">
        <v>574</v>
      </c>
      <c r="I192" s="71" t="s">
        <v>2604</v>
      </c>
      <c r="J192" s="71" t="s">
        <v>813</v>
      </c>
      <c r="K192" s="71" t="s">
        <v>2648</v>
      </c>
      <c r="L192" s="71" t="s">
        <v>2649</v>
      </c>
      <c r="M192" s="71" t="s">
        <v>2726</v>
      </c>
      <c r="N192" s="71" t="s">
        <v>2726</v>
      </c>
      <c r="O192" s="71" t="s">
        <v>2640</v>
      </c>
      <c r="P192" s="71" t="s">
        <v>2604</v>
      </c>
      <c r="Q192" s="71" t="s">
        <v>2953</v>
      </c>
      <c r="R192" s="71" t="s">
        <v>2604</v>
      </c>
      <c r="S192" s="71" t="s">
        <v>2604</v>
      </c>
      <c r="T192" s="71" t="s">
        <v>2604</v>
      </c>
      <c r="U192" s="71" t="s">
        <v>2604</v>
      </c>
      <c r="V192" s="71" t="s">
        <v>2604</v>
      </c>
    </row>
    <row r="193" spans="1:22">
      <c r="A193" s="71" t="s">
        <v>2659</v>
      </c>
      <c r="B193" s="71" t="s">
        <v>56</v>
      </c>
      <c r="C193" s="72">
        <v>45856.576623518522</v>
      </c>
      <c r="D193" s="72">
        <v>45856.576623518522</v>
      </c>
      <c r="E193" s="71" t="s">
        <v>380</v>
      </c>
      <c r="F193" s="71" t="s">
        <v>2962</v>
      </c>
      <c r="G193" s="71" t="s">
        <v>594</v>
      </c>
      <c r="H193" s="71" t="s">
        <v>592</v>
      </c>
      <c r="I193" s="71" t="s">
        <v>2604</v>
      </c>
      <c r="J193" s="71" t="s">
        <v>744</v>
      </c>
      <c r="K193" s="71" t="s">
        <v>2665</v>
      </c>
      <c r="L193" s="71" t="s">
        <v>2821</v>
      </c>
      <c r="M193" s="71" t="s">
        <v>2671</v>
      </c>
      <c r="N193" s="71" t="s">
        <v>2963</v>
      </c>
      <c r="O193" s="71" t="s">
        <v>2640</v>
      </c>
      <c r="P193" s="71" t="s">
        <v>2604</v>
      </c>
      <c r="Q193" s="71" t="s">
        <v>2964</v>
      </c>
      <c r="R193" s="71" t="s">
        <v>2604</v>
      </c>
      <c r="S193" s="71" t="s">
        <v>2604</v>
      </c>
      <c r="T193" s="71" t="s">
        <v>2604</v>
      </c>
      <c r="U193" s="71" t="s">
        <v>2604</v>
      </c>
      <c r="V193" s="71" t="s">
        <v>2664</v>
      </c>
    </row>
    <row r="194" spans="1:22">
      <c r="A194" s="71" t="s">
        <v>2659</v>
      </c>
      <c r="B194" s="71" t="s">
        <v>56</v>
      </c>
      <c r="C194" s="72">
        <v>45922.448731932869</v>
      </c>
      <c r="D194" s="72">
        <v>45922.448731932869</v>
      </c>
      <c r="E194" s="71" t="s">
        <v>380</v>
      </c>
      <c r="F194" s="71" t="s">
        <v>821</v>
      </c>
      <c r="G194" s="71" t="s">
        <v>822</v>
      </c>
      <c r="H194" s="71" t="s">
        <v>820</v>
      </c>
      <c r="I194" s="71" t="s">
        <v>2604</v>
      </c>
      <c r="J194" s="71" t="s">
        <v>774</v>
      </c>
      <c r="K194" s="71" t="s">
        <v>2867</v>
      </c>
      <c r="L194" s="71" t="s">
        <v>2604</v>
      </c>
      <c r="M194" s="71" t="s">
        <v>2868</v>
      </c>
      <c r="N194" s="71" t="s">
        <v>2774</v>
      </c>
      <c r="O194" s="71" t="s">
        <v>2640</v>
      </c>
      <c r="P194" s="71" t="s">
        <v>2604</v>
      </c>
      <c r="Q194" s="71" t="s">
        <v>2869</v>
      </c>
      <c r="R194" s="71" t="s">
        <v>2604</v>
      </c>
      <c r="S194" s="71" t="s">
        <v>2604</v>
      </c>
      <c r="T194" s="71" t="s">
        <v>2604</v>
      </c>
      <c r="U194" s="71" t="s">
        <v>2604</v>
      </c>
      <c r="V194" s="71" t="s">
        <v>2604</v>
      </c>
    </row>
    <row r="195" spans="1:22">
      <c r="A195" s="71" t="s">
        <v>2659</v>
      </c>
      <c r="B195" s="71" t="s">
        <v>56</v>
      </c>
      <c r="C195" s="72">
        <v>46083.583052546295</v>
      </c>
      <c r="D195" s="72">
        <v>46083.583052546295</v>
      </c>
      <c r="E195" s="71" t="s">
        <v>365</v>
      </c>
      <c r="F195" s="71" t="s">
        <v>1118</v>
      </c>
      <c r="G195" s="71" t="s">
        <v>1119</v>
      </c>
      <c r="H195" s="71" t="s">
        <v>1117</v>
      </c>
      <c r="I195" s="71" t="s">
        <v>2604</v>
      </c>
      <c r="J195" s="71" t="s">
        <v>744</v>
      </c>
      <c r="K195" s="71" t="s">
        <v>2665</v>
      </c>
      <c r="L195" s="71" t="s">
        <v>2821</v>
      </c>
      <c r="M195" s="71" t="s">
        <v>2671</v>
      </c>
      <c r="N195" s="71" t="s">
        <v>2990</v>
      </c>
      <c r="O195" s="71" t="s">
        <v>2640</v>
      </c>
      <c r="P195" s="71" t="s">
        <v>2604</v>
      </c>
      <c r="Q195" s="71" t="s">
        <v>2991</v>
      </c>
      <c r="R195" s="71" t="s">
        <v>2604</v>
      </c>
      <c r="S195" s="71" t="s">
        <v>2604</v>
      </c>
      <c r="T195" s="71" t="s">
        <v>2604</v>
      </c>
      <c r="U195" s="71" t="s">
        <v>2604</v>
      </c>
      <c r="V195" s="71" t="s">
        <v>2664</v>
      </c>
    </row>
    <row r="196" spans="1:22">
      <c r="A196" s="71" t="s">
        <v>2659</v>
      </c>
      <c r="B196" s="71" t="s">
        <v>2646</v>
      </c>
      <c r="C196" s="72">
        <v>45832.549302268519</v>
      </c>
      <c r="D196" s="72">
        <v>45832.549302268519</v>
      </c>
      <c r="E196" s="71" t="s">
        <v>365</v>
      </c>
      <c r="F196" s="71" t="s">
        <v>530</v>
      </c>
      <c r="G196" s="71" t="s">
        <v>532</v>
      </c>
      <c r="H196" s="71" t="s">
        <v>529</v>
      </c>
      <c r="I196" s="71" t="s">
        <v>2604</v>
      </c>
      <c r="J196" s="71" t="s">
        <v>774</v>
      </c>
      <c r="K196" s="71" t="s">
        <v>2670</v>
      </c>
      <c r="L196" s="71" t="s">
        <v>2604</v>
      </c>
      <c r="M196" s="71" t="s">
        <v>2671</v>
      </c>
      <c r="N196" s="71" t="s">
        <v>2911</v>
      </c>
      <c r="O196" s="71" t="s">
        <v>2692</v>
      </c>
      <c r="P196" s="71" t="s">
        <v>2604</v>
      </c>
      <c r="Q196" s="71" t="s">
        <v>2912</v>
      </c>
      <c r="R196" s="71" t="s">
        <v>2604</v>
      </c>
      <c r="S196" s="71" t="s">
        <v>2604</v>
      </c>
      <c r="T196" s="71" t="s">
        <v>2604</v>
      </c>
      <c r="U196" s="71" t="s">
        <v>2604</v>
      </c>
      <c r="V196" s="71" t="s">
        <v>2655</v>
      </c>
    </row>
    <row r="197" spans="1:22">
      <c r="A197" s="71" t="s">
        <v>2659</v>
      </c>
      <c r="B197" s="71" t="s">
        <v>659</v>
      </c>
      <c r="C197" s="72">
        <v>45875.704671180552</v>
      </c>
      <c r="D197" s="72">
        <v>45875.704671180552</v>
      </c>
      <c r="E197" s="71" t="s">
        <v>365</v>
      </c>
      <c r="F197" s="71" t="s">
        <v>672</v>
      </c>
      <c r="G197" s="71" t="s">
        <v>673</v>
      </c>
      <c r="H197" s="71" t="s">
        <v>671</v>
      </c>
      <c r="I197" s="71" t="s">
        <v>2604</v>
      </c>
      <c r="J197" s="71" t="s">
        <v>774</v>
      </c>
      <c r="K197" s="71" t="s">
        <v>2670</v>
      </c>
      <c r="L197" s="71" t="s">
        <v>2604</v>
      </c>
      <c r="M197" s="71" t="s">
        <v>2671</v>
      </c>
      <c r="N197" s="71" t="s">
        <v>2992</v>
      </c>
      <c r="O197" s="71" t="s">
        <v>2640</v>
      </c>
      <c r="P197" s="71" t="s">
        <v>2604</v>
      </c>
      <c r="Q197" s="71" t="s">
        <v>2993</v>
      </c>
      <c r="R197" s="71" t="s">
        <v>2604</v>
      </c>
      <c r="S197" s="71" t="s">
        <v>2604</v>
      </c>
      <c r="T197" s="71" t="s">
        <v>2604</v>
      </c>
      <c r="U197" s="71" t="s">
        <v>2604</v>
      </c>
      <c r="V197" s="71" t="s">
        <v>2604</v>
      </c>
    </row>
    <row r="198" spans="1:22">
      <c r="A198" s="71" t="s">
        <v>2659</v>
      </c>
      <c r="B198" s="71" t="s">
        <v>724</v>
      </c>
      <c r="C198" s="72">
        <v>45897.540783101853</v>
      </c>
      <c r="D198" s="72">
        <v>45897.540783101853</v>
      </c>
      <c r="E198" s="71" t="s">
        <v>380</v>
      </c>
      <c r="F198" s="71" t="s">
        <v>746</v>
      </c>
      <c r="G198" s="71" t="s">
        <v>2994</v>
      </c>
      <c r="H198" s="71" t="s">
        <v>745</v>
      </c>
      <c r="I198" s="71" t="s">
        <v>2604</v>
      </c>
      <c r="J198" s="71" t="s">
        <v>747</v>
      </c>
      <c r="K198" s="71" t="s">
        <v>2768</v>
      </c>
      <c r="L198" s="71" t="s">
        <v>2995</v>
      </c>
      <c r="M198" s="71" t="s">
        <v>2996</v>
      </c>
      <c r="N198" s="71" t="s">
        <v>2996</v>
      </c>
      <c r="O198" s="71" t="s">
        <v>2640</v>
      </c>
      <c r="P198" s="71" t="s">
        <v>2997</v>
      </c>
      <c r="Q198" s="71" t="s">
        <v>2998</v>
      </c>
      <c r="R198" s="71" t="s">
        <v>2604</v>
      </c>
      <c r="S198" s="71" t="s">
        <v>2604</v>
      </c>
      <c r="T198" s="71" t="s">
        <v>2604</v>
      </c>
      <c r="U198" s="71" t="s">
        <v>2604</v>
      </c>
      <c r="V198" s="71" t="s">
        <v>2604</v>
      </c>
    </row>
    <row r="199" spans="1:22">
      <c r="A199" s="71" t="s">
        <v>2659</v>
      </c>
      <c r="B199" s="71" t="s">
        <v>2646</v>
      </c>
      <c r="C199" s="72">
        <v>45786.463136562503</v>
      </c>
      <c r="D199" s="72">
        <v>45786.463136562503</v>
      </c>
      <c r="E199" s="71" t="s">
        <v>365</v>
      </c>
      <c r="F199" s="71" t="s">
        <v>452</v>
      </c>
      <c r="G199" s="71" t="s">
        <v>453</v>
      </c>
      <c r="H199" s="71" t="s">
        <v>451</v>
      </c>
      <c r="I199" s="71" t="s">
        <v>2604</v>
      </c>
      <c r="J199" s="71" t="s">
        <v>752</v>
      </c>
      <c r="K199" s="71" t="s">
        <v>2723</v>
      </c>
      <c r="L199" s="71" t="s">
        <v>2665</v>
      </c>
      <c r="M199" s="71" t="s">
        <v>2999</v>
      </c>
      <c r="N199" s="71" t="s">
        <v>3000</v>
      </c>
      <c r="O199" s="71" t="s">
        <v>2692</v>
      </c>
      <c r="P199" s="71" t="s">
        <v>2604</v>
      </c>
      <c r="Q199" s="71" t="s">
        <v>3001</v>
      </c>
      <c r="R199" s="71" t="s">
        <v>2604</v>
      </c>
      <c r="S199" s="71" t="s">
        <v>2604</v>
      </c>
      <c r="T199" s="71" t="s">
        <v>2604</v>
      </c>
      <c r="U199" s="71" t="s">
        <v>2604</v>
      </c>
      <c r="V199" s="71" t="s">
        <v>2604</v>
      </c>
    </row>
    <row r="200" spans="1:22">
      <c r="A200" s="71" t="s">
        <v>2659</v>
      </c>
      <c r="B200" s="71" t="s">
        <v>724</v>
      </c>
      <c r="C200" s="72">
        <v>45904.899577129632</v>
      </c>
      <c r="D200" s="72">
        <v>45904.899577129632</v>
      </c>
      <c r="E200" s="71" t="s">
        <v>135</v>
      </c>
      <c r="F200" s="71" t="s">
        <v>776</v>
      </c>
      <c r="G200" s="71" t="s">
        <v>3002</v>
      </c>
      <c r="H200" s="71" t="s">
        <v>775</v>
      </c>
      <c r="I200" s="71" t="s">
        <v>2604</v>
      </c>
      <c r="J200" s="71" t="s">
        <v>744</v>
      </c>
      <c r="K200" s="71" t="s">
        <v>2665</v>
      </c>
      <c r="L200" s="71" t="s">
        <v>2666</v>
      </c>
      <c r="M200" s="71" t="s">
        <v>2671</v>
      </c>
      <c r="N200" s="71" t="s">
        <v>3003</v>
      </c>
      <c r="O200" s="71" t="s">
        <v>2640</v>
      </c>
      <c r="P200" s="71" t="s">
        <v>2604</v>
      </c>
      <c r="Q200" s="71" t="s">
        <v>3004</v>
      </c>
      <c r="R200" s="71" t="s">
        <v>2604</v>
      </c>
      <c r="S200" s="71" t="s">
        <v>2604</v>
      </c>
      <c r="T200" s="71" t="s">
        <v>2604</v>
      </c>
      <c r="U200" s="71" t="s">
        <v>2604</v>
      </c>
      <c r="V200" s="71" t="s">
        <v>2604</v>
      </c>
    </row>
    <row r="201" spans="1:22">
      <c r="A201" s="71" t="s">
        <v>2659</v>
      </c>
      <c r="B201" s="71" t="s">
        <v>84</v>
      </c>
      <c r="C201" s="72">
        <v>45910.577502743057</v>
      </c>
      <c r="D201" s="72">
        <v>45910.577502743057</v>
      </c>
      <c r="E201" s="71" t="s">
        <v>365</v>
      </c>
      <c r="F201" s="71" t="s">
        <v>796</v>
      </c>
      <c r="G201" s="71" t="s">
        <v>797</v>
      </c>
      <c r="H201" s="71" t="s">
        <v>795</v>
      </c>
      <c r="I201" s="71" t="s">
        <v>2604</v>
      </c>
      <c r="J201" s="71" t="s">
        <v>752</v>
      </c>
      <c r="K201" s="71" t="s">
        <v>2675</v>
      </c>
      <c r="L201" s="71" t="s">
        <v>2712</v>
      </c>
      <c r="M201" s="71" t="s">
        <v>3005</v>
      </c>
      <c r="N201" s="71" t="s">
        <v>3006</v>
      </c>
      <c r="O201" s="71" t="s">
        <v>2640</v>
      </c>
      <c r="P201" s="71" t="s">
        <v>2604</v>
      </c>
      <c r="Q201" s="71" t="s">
        <v>3007</v>
      </c>
      <c r="R201" s="71" t="s">
        <v>2604</v>
      </c>
      <c r="S201" s="71" t="s">
        <v>2604</v>
      </c>
      <c r="T201" s="71" t="s">
        <v>2604</v>
      </c>
      <c r="U201" s="71" t="s">
        <v>2604</v>
      </c>
      <c r="V201" s="71" t="s">
        <v>2604</v>
      </c>
    </row>
    <row r="202" spans="1:22">
      <c r="A202" s="71" t="s">
        <v>2659</v>
      </c>
      <c r="B202" s="71" t="s">
        <v>56</v>
      </c>
      <c r="C202" s="72">
        <v>45940.715550949077</v>
      </c>
      <c r="D202" s="72">
        <v>45940.715550949077</v>
      </c>
      <c r="E202" s="71" t="s">
        <v>365</v>
      </c>
      <c r="F202" s="71" t="s">
        <v>874</v>
      </c>
      <c r="G202" s="71" t="s">
        <v>875</v>
      </c>
      <c r="H202" s="71" t="s">
        <v>873</v>
      </c>
      <c r="I202" s="71" t="s">
        <v>2604</v>
      </c>
      <c r="J202" s="71" t="s">
        <v>744</v>
      </c>
      <c r="K202" s="71" t="s">
        <v>2665</v>
      </c>
      <c r="L202" s="71" t="s">
        <v>2666</v>
      </c>
      <c r="M202" s="71" t="s">
        <v>2694</v>
      </c>
      <c r="N202" s="71" t="s">
        <v>2694</v>
      </c>
      <c r="O202" s="71" t="s">
        <v>2640</v>
      </c>
      <c r="P202" s="71" t="s">
        <v>2604</v>
      </c>
      <c r="Q202" s="71" t="s">
        <v>2695</v>
      </c>
      <c r="R202" s="71" t="s">
        <v>2604</v>
      </c>
      <c r="S202" s="71" t="s">
        <v>2604</v>
      </c>
      <c r="T202" s="71" t="s">
        <v>2604</v>
      </c>
      <c r="U202" s="71" t="s">
        <v>2604</v>
      </c>
      <c r="V202" s="71" t="s">
        <v>2604</v>
      </c>
    </row>
    <row r="203" spans="1:22">
      <c r="A203" s="71" t="s">
        <v>2659</v>
      </c>
      <c r="B203" s="71" t="s">
        <v>51</v>
      </c>
      <c r="C203" s="72">
        <v>45849.57217890046</v>
      </c>
      <c r="D203" s="72">
        <v>45849.57217890046</v>
      </c>
      <c r="E203" s="71" t="s">
        <v>135</v>
      </c>
      <c r="F203" s="71" t="s">
        <v>2870</v>
      </c>
      <c r="G203" s="71" t="s">
        <v>2871</v>
      </c>
      <c r="H203" s="71" t="s">
        <v>548</v>
      </c>
      <c r="I203" s="71" t="s">
        <v>2604</v>
      </c>
      <c r="J203" s="71" t="s">
        <v>744</v>
      </c>
      <c r="K203" s="71" t="s">
        <v>2665</v>
      </c>
      <c r="L203" s="71" t="s">
        <v>2704</v>
      </c>
      <c r="M203" s="71" t="s">
        <v>2671</v>
      </c>
      <c r="N203" s="71" t="s">
        <v>2671</v>
      </c>
      <c r="O203" s="71" t="s">
        <v>2640</v>
      </c>
      <c r="P203" s="71" t="s">
        <v>2604</v>
      </c>
      <c r="Q203" s="71" t="s">
        <v>2872</v>
      </c>
      <c r="R203" s="71" t="s">
        <v>2604</v>
      </c>
      <c r="S203" s="71" t="s">
        <v>2604</v>
      </c>
      <c r="T203" s="71" t="s">
        <v>2604</v>
      </c>
      <c r="U203" s="71" t="s">
        <v>2604</v>
      </c>
      <c r="V203" s="71" t="s">
        <v>2604</v>
      </c>
    </row>
    <row r="204" spans="1:22">
      <c r="A204" s="71" t="s">
        <v>2659</v>
      </c>
      <c r="B204" s="71" t="s">
        <v>56</v>
      </c>
      <c r="C204" s="72">
        <v>45978.813276423614</v>
      </c>
      <c r="D204" s="72">
        <v>45978.813276423614</v>
      </c>
      <c r="E204" s="71" t="s">
        <v>365</v>
      </c>
      <c r="F204" s="71" t="s">
        <v>958</v>
      </c>
      <c r="G204" s="71" t="s">
        <v>959</v>
      </c>
      <c r="H204" s="71" t="s">
        <v>957</v>
      </c>
      <c r="I204" s="71" t="s">
        <v>2604</v>
      </c>
      <c r="J204" s="71" t="s">
        <v>774</v>
      </c>
      <c r="K204" s="71" t="s">
        <v>2779</v>
      </c>
      <c r="L204" s="71" t="s">
        <v>2604</v>
      </c>
      <c r="M204" s="71" t="s">
        <v>3008</v>
      </c>
      <c r="N204" s="71" t="s">
        <v>3008</v>
      </c>
      <c r="O204" s="71" t="s">
        <v>2640</v>
      </c>
      <c r="P204" s="71" t="s">
        <v>2604</v>
      </c>
      <c r="Q204" s="71" t="s">
        <v>3009</v>
      </c>
      <c r="R204" s="71" t="s">
        <v>2604</v>
      </c>
      <c r="S204" s="71" t="s">
        <v>2604</v>
      </c>
      <c r="T204" s="71" t="s">
        <v>2604</v>
      </c>
      <c r="U204" s="71" t="s">
        <v>2604</v>
      </c>
      <c r="V204" s="71" t="s">
        <v>2604</v>
      </c>
    </row>
    <row r="205" spans="1:22">
      <c r="A205" s="71" t="s">
        <v>2659</v>
      </c>
      <c r="B205" s="71" t="s">
        <v>84</v>
      </c>
      <c r="C205" s="72">
        <v>45858.762261157404</v>
      </c>
      <c r="D205" s="72">
        <v>45858.762261157404</v>
      </c>
      <c r="E205" s="71" t="s">
        <v>365</v>
      </c>
      <c r="F205" s="71" t="s">
        <v>605</v>
      </c>
      <c r="G205" s="71" t="s">
        <v>606</v>
      </c>
      <c r="H205" s="71" t="s">
        <v>604</v>
      </c>
      <c r="I205" s="71" t="s">
        <v>2604</v>
      </c>
      <c r="J205" s="71" t="s">
        <v>774</v>
      </c>
      <c r="K205" s="71" t="s">
        <v>2670</v>
      </c>
      <c r="L205" s="71" t="s">
        <v>2604</v>
      </c>
      <c r="M205" s="71" t="s">
        <v>2671</v>
      </c>
      <c r="N205" s="71" t="s">
        <v>3010</v>
      </c>
      <c r="O205" s="71" t="s">
        <v>2640</v>
      </c>
      <c r="P205" s="71" t="s">
        <v>2604</v>
      </c>
      <c r="Q205" s="71" t="s">
        <v>3011</v>
      </c>
      <c r="R205" s="71" t="s">
        <v>2604</v>
      </c>
      <c r="S205" s="71" t="s">
        <v>2604</v>
      </c>
      <c r="T205" s="71" t="s">
        <v>2604</v>
      </c>
      <c r="U205" s="71" t="s">
        <v>2604</v>
      </c>
      <c r="V205" s="71" t="s">
        <v>2604</v>
      </c>
    </row>
    <row r="206" spans="1:22">
      <c r="A206" s="71" t="s">
        <v>2659</v>
      </c>
      <c r="B206" s="71" t="s">
        <v>56</v>
      </c>
      <c r="C206" s="72">
        <v>45973.648948703703</v>
      </c>
      <c r="D206" s="72">
        <v>45973.648948703703</v>
      </c>
      <c r="E206" s="71" t="s">
        <v>365</v>
      </c>
      <c r="F206" s="71" t="s">
        <v>936</v>
      </c>
      <c r="G206" s="71" t="s">
        <v>937</v>
      </c>
      <c r="H206" s="71" t="s">
        <v>935</v>
      </c>
      <c r="I206" s="71" t="s">
        <v>2604</v>
      </c>
      <c r="J206" s="71" t="s">
        <v>744</v>
      </c>
      <c r="K206" s="71" t="s">
        <v>2665</v>
      </c>
      <c r="L206" s="71" t="s">
        <v>2666</v>
      </c>
      <c r="M206" s="71" t="s">
        <v>2671</v>
      </c>
      <c r="N206" s="71" t="s">
        <v>3012</v>
      </c>
      <c r="O206" s="71" t="s">
        <v>2640</v>
      </c>
      <c r="P206" s="71" t="s">
        <v>2604</v>
      </c>
      <c r="Q206" s="71" t="s">
        <v>3013</v>
      </c>
      <c r="R206" s="71" t="s">
        <v>2604</v>
      </c>
      <c r="S206" s="71" t="s">
        <v>2604</v>
      </c>
      <c r="T206" s="71" t="s">
        <v>2604</v>
      </c>
      <c r="U206" s="71" t="s">
        <v>2604</v>
      </c>
      <c r="V206" s="71" t="s">
        <v>2604</v>
      </c>
    </row>
    <row r="207" spans="1:22">
      <c r="A207" s="71" t="s">
        <v>2659</v>
      </c>
      <c r="B207" s="71" t="s">
        <v>724</v>
      </c>
      <c r="C207" s="72">
        <v>45897.540783101853</v>
      </c>
      <c r="D207" s="72">
        <v>45897.540783101853</v>
      </c>
      <c r="E207" s="71" t="s">
        <v>380</v>
      </c>
      <c r="F207" s="71" t="s">
        <v>746</v>
      </c>
      <c r="G207" s="71" t="s">
        <v>2994</v>
      </c>
      <c r="H207" s="71" t="s">
        <v>745</v>
      </c>
      <c r="I207" s="71" t="s">
        <v>2604</v>
      </c>
      <c r="J207" s="71" t="s">
        <v>747</v>
      </c>
      <c r="K207" s="71" t="s">
        <v>2768</v>
      </c>
      <c r="L207" s="71" t="s">
        <v>2995</v>
      </c>
      <c r="M207" s="71" t="s">
        <v>2996</v>
      </c>
      <c r="N207" s="71" t="s">
        <v>2996</v>
      </c>
      <c r="O207" s="71" t="s">
        <v>2640</v>
      </c>
      <c r="P207" s="71" t="s">
        <v>2997</v>
      </c>
      <c r="Q207" s="71" t="s">
        <v>2998</v>
      </c>
      <c r="R207" s="71" t="s">
        <v>2604</v>
      </c>
      <c r="S207" s="71" t="s">
        <v>2604</v>
      </c>
      <c r="T207" s="71" t="s">
        <v>2604</v>
      </c>
      <c r="U207" s="71" t="s">
        <v>2604</v>
      </c>
      <c r="V207" s="71" t="s">
        <v>2635</v>
      </c>
    </row>
    <row r="208" spans="1:22">
      <c r="A208" s="71" t="s">
        <v>2659</v>
      </c>
      <c r="B208" s="71" t="s">
        <v>56</v>
      </c>
      <c r="C208" s="72">
        <v>45975.286535393519</v>
      </c>
      <c r="D208" s="72">
        <v>45975.286535393519</v>
      </c>
      <c r="E208" s="71" t="s">
        <v>365</v>
      </c>
      <c r="F208" s="71" t="s">
        <v>949</v>
      </c>
      <c r="G208" s="71" t="s">
        <v>950</v>
      </c>
      <c r="H208" s="71" t="s">
        <v>948</v>
      </c>
      <c r="I208" s="71" t="s">
        <v>2604</v>
      </c>
      <c r="J208" s="71" t="s">
        <v>769</v>
      </c>
      <c r="K208" s="71" t="s">
        <v>2773</v>
      </c>
      <c r="L208" s="71" t="s">
        <v>2670</v>
      </c>
      <c r="M208" s="71" t="s">
        <v>2774</v>
      </c>
      <c r="N208" s="71" t="s">
        <v>2774</v>
      </c>
      <c r="O208" s="71" t="s">
        <v>2640</v>
      </c>
      <c r="P208" s="71" t="s">
        <v>2604</v>
      </c>
      <c r="Q208" s="71" t="s">
        <v>3014</v>
      </c>
      <c r="R208" s="71" t="s">
        <v>2604</v>
      </c>
      <c r="S208" s="71" t="s">
        <v>2604</v>
      </c>
      <c r="T208" s="71" t="s">
        <v>2604</v>
      </c>
      <c r="U208" s="71" t="s">
        <v>2604</v>
      </c>
      <c r="V208" s="71" t="s">
        <v>2635</v>
      </c>
    </row>
    <row r="209" spans="1:22">
      <c r="A209" s="71" t="s">
        <v>2659</v>
      </c>
      <c r="B209" s="71" t="s">
        <v>2646</v>
      </c>
      <c r="C209" s="72">
        <v>45768.528389826388</v>
      </c>
      <c r="D209" s="72">
        <v>45768.528389826388</v>
      </c>
      <c r="E209" s="71" t="s">
        <v>365</v>
      </c>
      <c r="F209" s="71" t="s">
        <v>429</v>
      </c>
      <c r="G209" s="71" t="s">
        <v>430</v>
      </c>
      <c r="H209" s="71" t="s">
        <v>428</v>
      </c>
      <c r="I209" s="71" t="s">
        <v>2604</v>
      </c>
      <c r="J209" s="71" t="s">
        <v>752</v>
      </c>
      <c r="K209" s="71" t="s">
        <v>2723</v>
      </c>
      <c r="L209" s="71" t="s">
        <v>2665</v>
      </c>
      <c r="M209" s="71" t="s">
        <v>2724</v>
      </c>
      <c r="N209" s="71" t="s">
        <v>2671</v>
      </c>
      <c r="O209" s="71" t="s">
        <v>2692</v>
      </c>
      <c r="P209" s="71" t="s">
        <v>2604</v>
      </c>
      <c r="Q209" s="71" t="s">
        <v>2725</v>
      </c>
      <c r="R209" s="71" t="s">
        <v>2604</v>
      </c>
      <c r="S209" s="71" t="s">
        <v>2604</v>
      </c>
      <c r="T209" s="71" t="s">
        <v>2604</v>
      </c>
      <c r="U209" s="71" t="s">
        <v>2604</v>
      </c>
      <c r="V209" s="71" t="s">
        <v>2655</v>
      </c>
    </row>
    <row r="210" spans="1:22">
      <c r="A210" s="71" t="s">
        <v>2659</v>
      </c>
      <c r="B210" s="71" t="s">
        <v>724</v>
      </c>
      <c r="C210" s="72">
        <v>45902.408470856484</v>
      </c>
      <c r="D210" s="72">
        <v>45902.408470856484</v>
      </c>
      <c r="E210" s="71" t="s">
        <v>365</v>
      </c>
      <c r="F210" s="71" t="s">
        <v>761</v>
      </c>
      <c r="G210" s="71" t="s">
        <v>762</v>
      </c>
      <c r="H210" s="71" t="s">
        <v>760</v>
      </c>
      <c r="I210" s="71" t="s">
        <v>2604</v>
      </c>
      <c r="J210" s="71" t="s">
        <v>744</v>
      </c>
      <c r="K210" s="71" t="s">
        <v>2665</v>
      </c>
      <c r="L210" s="71" t="s">
        <v>2821</v>
      </c>
      <c r="M210" s="71" t="s">
        <v>2671</v>
      </c>
      <c r="N210" s="71" t="s">
        <v>3015</v>
      </c>
      <c r="O210" s="71" t="s">
        <v>2640</v>
      </c>
      <c r="P210" s="71" t="s">
        <v>2604</v>
      </c>
      <c r="Q210" s="71" t="s">
        <v>3016</v>
      </c>
      <c r="R210" s="71" t="s">
        <v>2604</v>
      </c>
      <c r="S210" s="71" t="s">
        <v>2604</v>
      </c>
      <c r="T210" s="71" t="s">
        <v>2604</v>
      </c>
      <c r="U210" s="71" t="s">
        <v>2604</v>
      </c>
      <c r="V210" s="71" t="s">
        <v>2604</v>
      </c>
    </row>
    <row r="211" spans="1:22">
      <c r="A211" s="71" t="s">
        <v>2659</v>
      </c>
      <c r="B211" s="71" t="s">
        <v>84</v>
      </c>
      <c r="C211" s="72">
        <v>45840.726264467594</v>
      </c>
      <c r="D211" s="72">
        <v>45840.726264467594</v>
      </c>
      <c r="E211" s="71" t="s">
        <v>365</v>
      </c>
      <c r="F211" s="71" t="s">
        <v>2922</v>
      </c>
      <c r="G211" s="71" t="s">
        <v>535</v>
      </c>
      <c r="H211" s="71" t="s">
        <v>533</v>
      </c>
      <c r="I211" s="71" t="s">
        <v>2604</v>
      </c>
      <c r="J211" s="71" t="s">
        <v>752</v>
      </c>
      <c r="K211" s="71" t="s">
        <v>2723</v>
      </c>
      <c r="L211" s="71" t="s">
        <v>2665</v>
      </c>
      <c r="M211" s="71" t="s">
        <v>2923</v>
      </c>
      <c r="N211" s="71" t="s">
        <v>2924</v>
      </c>
      <c r="O211" s="71" t="s">
        <v>2640</v>
      </c>
      <c r="P211" s="71" t="s">
        <v>2604</v>
      </c>
      <c r="Q211" s="71" t="s">
        <v>2925</v>
      </c>
      <c r="R211" s="71" t="s">
        <v>2604</v>
      </c>
      <c r="S211" s="71" t="s">
        <v>2604</v>
      </c>
      <c r="T211" s="71" t="s">
        <v>2604</v>
      </c>
      <c r="U211" s="71" t="s">
        <v>2604</v>
      </c>
      <c r="V211" s="71" t="s">
        <v>2604</v>
      </c>
    </row>
    <row r="212" spans="1:22">
      <c r="A212" s="71" t="s">
        <v>2659</v>
      </c>
      <c r="B212" s="71" t="s">
        <v>56</v>
      </c>
      <c r="C212" s="72">
        <v>46063.500558206018</v>
      </c>
      <c r="D212" s="72">
        <v>46063.500558206018</v>
      </c>
      <c r="E212" s="71" t="s">
        <v>365</v>
      </c>
      <c r="F212" s="71" t="s">
        <v>1090</v>
      </c>
      <c r="G212" s="71" t="s">
        <v>1091</v>
      </c>
      <c r="H212" s="71" t="s">
        <v>1089</v>
      </c>
      <c r="I212" s="71" t="s">
        <v>2604</v>
      </c>
      <c r="J212" s="71" t="s">
        <v>752</v>
      </c>
      <c r="K212" s="71" t="s">
        <v>2675</v>
      </c>
      <c r="L212" s="71" t="s">
        <v>2790</v>
      </c>
      <c r="M212" s="71" t="s">
        <v>2954</v>
      </c>
      <c r="N212" s="71" t="s">
        <v>2955</v>
      </c>
      <c r="O212" s="71" t="s">
        <v>2640</v>
      </c>
      <c r="P212" s="71" t="s">
        <v>2604</v>
      </c>
      <c r="Q212" s="71" t="s">
        <v>2956</v>
      </c>
      <c r="R212" s="71" t="s">
        <v>2604</v>
      </c>
      <c r="S212" s="71" t="s">
        <v>2604</v>
      </c>
      <c r="T212" s="71" t="s">
        <v>2604</v>
      </c>
      <c r="U212" s="71" t="s">
        <v>2604</v>
      </c>
      <c r="V212" s="71" t="s">
        <v>2604</v>
      </c>
    </row>
    <row r="213" spans="1:22">
      <c r="A213" s="71" t="s">
        <v>2659</v>
      </c>
      <c r="B213" s="71" t="s">
        <v>84</v>
      </c>
      <c r="C213" s="72">
        <v>45895.519174884263</v>
      </c>
      <c r="D213" s="72">
        <v>45895.519174884263</v>
      </c>
      <c r="E213" s="71" t="s">
        <v>365</v>
      </c>
      <c r="F213" s="71" t="s">
        <v>737</v>
      </c>
      <c r="G213" s="71" t="s">
        <v>738</v>
      </c>
      <c r="H213" s="71" t="s">
        <v>736</v>
      </c>
      <c r="I213" s="71" t="s">
        <v>2604</v>
      </c>
      <c r="J213" s="71" t="s">
        <v>774</v>
      </c>
      <c r="K213" s="71" t="s">
        <v>2670</v>
      </c>
      <c r="L213" s="71" t="s">
        <v>2604</v>
      </c>
      <c r="M213" s="71" t="s">
        <v>2671</v>
      </c>
      <c r="N213" s="71" t="s">
        <v>3017</v>
      </c>
      <c r="O213" s="71" t="s">
        <v>2640</v>
      </c>
      <c r="P213" s="71" t="s">
        <v>2604</v>
      </c>
      <c r="Q213" s="71" t="s">
        <v>3018</v>
      </c>
      <c r="R213" s="71" t="s">
        <v>2604</v>
      </c>
      <c r="S213" s="71" t="s">
        <v>2604</v>
      </c>
      <c r="T213" s="71" t="s">
        <v>2604</v>
      </c>
      <c r="U213" s="71" t="s">
        <v>2604</v>
      </c>
      <c r="V213" s="71" t="s">
        <v>2604</v>
      </c>
    </row>
    <row r="214" spans="1:22">
      <c r="A214" s="71" t="s">
        <v>2659</v>
      </c>
      <c r="B214" s="71" t="s">
        <v>56</v>
      </c>
      <c r="C214" s="72">
        <v>46043.74347228009</v>
      </c>
      <c r="D214" s="72">
        <v>46043.74347228009</v>
      </c>
      <c r="E214" s="71" t="s">
        <v>365</v>
      </c>
      <c r="F214" s="71" t="s">
        <v>1053</v>
      </c>
      <c r="G214" s="71" t="s">
        <v>1054</v>
      </c>
      <c r="H214" s="71" t="s">
        <v>1052</v>
      </c>
      <c r="I214" s="71" t="s">
        <v>2604</v>
      </c>
      <c r="J214" s="71" t="s">
        <v>752</v>
      </c>
      <c r="K214" s="71" t="s">
        <v>2675</v>
      </c>
      <c r="L214" s="71" t="s">
        <v>2790</v>
      </c>
      <c r="M214" s="71" t="s">
        <v>3019</v>
      </c>
      <c r="N214" s="71" t="s">
        <v>2774</v>
      </c>
      <c r="O214" s="71" t="s">
        <v>2640</v>
      </c>
      <c r="P214" s="71" t="s">
        <v>2604</v>
      </c>
      <c r="Q214" s="71" t="s">
        <v>3020</v>
      </c>
      <c r="R214" s="71" t="s">
        <v>2604</v>
      </c>
      <c r="S214" s="71" t="s">
        <v>2604</v>
      </c>
      <c r="T214" s="71" t="s">
        <v>2604</v>
      </c>
      <c r="U214" s="71" t="s">
        <v>2604</v>
      </c>
      <c r="V214" s="71" t="s">
        <v>2604</v>
      </c>
    </row>
    <row r="215" spans="1:22">
      <c r="A215" s="71" t="s">
        <v>2659</v>
      </c>
      <c r="B215" s="71" t="s">
        <v>724</v>
      </c>
      <c r="C215" s="72">
        <v>46031.361862442129</v>
      </c>
      <c r="D215" s="72">
        <v>46031.361862442129</v>
      </c>
      <c r="E215" s="71" t="s">
        <v>365</v>
      </c>
      <c r="F215" s="71" t="s">
        <v>1033</v>
      </c>
      <c r="G215" s="71" t="s">
        <v>1034</v>
      </c>
      <c r="H215" s="71" t="s">
        <v>1032</v>
      </c>
      <c r="I215" s="71" t="s">
        <v>2604</v>
      </c>
      <c r="J215" s="71" t="s">
        <v>752</v>
      </c>
      <c r="K215" s="71" t="s">
        <v>2675</v>
      </c>
      <c r="L215" s="71" t="s">
        <v>2712</v>
      </c>
      <c r="M215" s="71" t="s">
        <v>3021</v>
      </c>
      <c r="N215" s="71" t="s">
        <v>3022</v>
      </c>
      <c r="O215" s="71" t="s">
        <v>2640</v>
      </c>
      <c r="P215" s="71" t="s">
        <v>2604</v>
      </c>
      <c r="Q215" s="71" t="s">
        <v>3023</v>
      </c>
      <c r="R215" s="71" t="s">
        <v>2604</v>
      </c>
      <c r="S215" s="71" t="s">
        <v>2604</v>
      </c>
      <c r="T215" s="71" t="s">
        <v>2604</v>
      </c>
      <c r="U215" s="71" t="s">
        <v>2604</v>
      </c>
      <c r="V215" s="71" t="s">
        <v>2664</v>
      </c>
    </row>
    <row r="216" spans="1:22">
      <c r="A216" s="71" t="s">
        <v>2659</v>
      </c>
      <c r="B216" s="71" t="s">
        <v>56</v>
      </c>
      <c r="C216" s="72">
        <v>45867.609918958333</v>
      </c>
      <c r="D216" s="72">
        <v>45867.609918958333</v>
      </c>
      <c r="E216" s="71" t="s">
        <v>380</v>
      </c>
      <c r="F216" s="71" t="s">
        <v>658</v>
      </c>
      <c r="G216" s="71" t="s">
        <v>2674</v>
      </c>
      <c r="H216" s="71" t="s">
        <v>657</v>
      </c>
      <c r="I216" s="71" t="s">
        <v>2604</v>
      </c>
      <c r="J216" s="71" t="s">
        <v>752</v>
      </c>
      <c r="K216" s="71" t="s">
        <v>2675</v>
      </c>
      <c r="L216" s="71" t="s">
        <v>2676</v>
      </c>
      <c r="M216" s="71" t="s">
        <v>2677</v>
      </c>
      <c r="N216" s="71" t="s">
        <v>2678</v>
      </c>
      <c r="O216" s="71" t="s">
        <v>2604</v>
      </c>
      <c r="P216" s="71" t="s">
        <v>2604</v>
      </c>
      <c r="Q216" s="71" t="s">
        <v>2679</v>
      </c>
      <c r="R216" s="71" t="s">
        <v>2604</v>
      </c>
      <c r="S216" s="71" t="s">
        <v>2604</v>
      </c>
      <c r="T216" s="71" t="s">
        <v>2604</v>
      </c>
      <c r="U216" s="71" t="s">
        <v>2604</v>
      </c>
      <c r="V216" s="71" t="s">
        <v>2664</v>
      </c>
    </row>
    <row r="217" spans="1:22">
      <c r="A217" s="71" t="s">
        <v>2659</v>
      </c>
      <c r="B217" s="71" t="s">
        <v>84</v>
      </c>
      <c r="C217" s="72">
        <v>45978.677846724539</v>
      </c>
      <c r="D217" s="72">
        <v>45978.677846724539</v>
      </c>
      <c r="E217" s="71" t="s">
        <v>365</v>
      </c>
      <c r="F217" s="71" t="s">
        <v>952</v>
      </c>
      <c r="G217" s="71" t="s">
        <v>953</v>
      </c>
      <c r="H217" s="71" t="s">
        <v>951</v>
      </c>
      <c r="I217" s="71" t="s">
        <v>2604</v>
      </c>
      <c r="J217" s="71" t="s">
        <v>752</v>
      </c>
      <c r="K217" s="71" t="s">
        <v>2680</v>
      </c>
      <c r="L217" s="71" t="s">
        <v>2812</v>
      </c>
      <c r="M217" s="71" t="s">
        <v>2813</v>
      </c>
      <c r="N217" s="71" t="s">
        <v>2814</v>
      </c>
      <c r="O217" s="71" t="s">
        <v>2640</v>
      </c>
      <c r="P217" s="71" t="s">
        <v>2604</v>
      </c>
      <c r="Q217" s="71" t="s">
        <v>2815</v>
      </c>
      <c r="R217" s="71" t="s">
        <v>2604</v>
      </c>
      <c r="S217" s="71" t="s">
        <v>2604</v>
      </c>
      <c r="T217" s="71" t="s">
        <v>2604</v>
      </c>
      <c r="U217" s="71" t="s">
        <v>2604</v>
      </c>
      <c r="V217" s="71" t="s">
        <v>2604</v>
      </c>
    </row>
    <row r="218" spans="1:22">
      <c r="A218" s="71" t="s">
        <v>2659</v>
      </c>
      <c r="B218" s="71" t="s">
        <v>84</v>
      </c>
      <c r="C218" s="72">
        <v>45965.689278425925</v>
      </c>
      <c r="D218" s="72">
        <v>45965.689278425925</v>
      </c>
      <c r="E218" s="71" t="s">
        <v>365</v>
      </c>
      <c r="F218" s="71" t="s">
        <v>921</v>
      </c>
      <c r="G218" s="71" t="s">
        <v>922</v>
      </c>
      <c r="H218" s="71" t="s">
        <v>920</v>
      </c>
      <c r="I218" s="71" t="s">
        <v>2604</v>
      </c>
      <c r="J218" s="71" t="s">
        <v>769</v>
      </c>
      <c r="K218" s="71" t="s">
        <v>2773</v>
      </c>
      <c r="L218" s="71" t="s">
        <v>2670</v>
      </c>
      <c r="M218" s="71" t="s">
        <v>3024</v>
      </c>
      <c r="N218" s="71" t="s">
        <v>3024</v>
      </c>
      <c r="O218" s="71" t="s">
        <v>2640</v>
      </c>
      <c r="P218" s="71" t="s">
        <v>2604</v>
      </c>
      <c r="Q218" s="71" t="s">
        <v>3025</v>
      </c>
      <c r="R218" s="71" t="s">
        <v>2604</v>
      </c>
      <c r="S218" s="71" t="s">
        <v>2604</v>
      </c>
      <c r="T218" s="71" t="s">
        <v>2604</v>
      </c>
      <c r="U218" s="71" t="s">
        <v>2604</v>
      </c>
      <c r="V218" s="71" t="s">
        <v>2635</v>
      </c>
    </row>
    <row r="219" spans="1:22">
      <c r="A219" s="71" t="s">
        <v>2659</v>
      </c>
      <c r="B219" s="71" t="s">
        <v>2646</v>
      </c>
      <c r="C219" s="72">
        <v>45770.572392187503</v>
      </c>
      <c r="D219" s="72">
        <v>45770.572392187503</v>
      </c>
      <c r="E219" s="71" t="s">
        <v>365</v>
      </c>
      <c r="F219" s="71" t="s">
        <v>435</v>
      </c>
      <c r="G219" s="71" t="s">
        <v>436</v>
      </c>
      <c r="H219" s="71" t="s">
        <v>434</v>
      </c>
      <c r="I219" s="71" t="s">
        <v>2604</v>
      </c>
      <c r="J219" s="71" t="s">
        <v>774</v>
      </c>
      <c r="K219" s="71" t="s">
        <v>3026</v>
      </c>
      <c r="L219" s="71" t="s">
        <v>2604</v>
      </c>
      <c r="M219" s="71" t="s">
        <v>3027</v>
      </c>
      <c r="N219" s="71" t="s">
        <v>2671</v>
      </c>
      <c r="O219" s="71" t="s">
        <v>2692</v>
      </c>
      <c r="P219" s="71" t="s">
        <v>2604</v>
      </c>
      <c r="Q219" s="71" t="s">
        <v>3028</v>
      </c>
      <c r="R219" s="71" t="s">
        <v>2604</v>
      </c>
      <c r="S219" s="71" t="s">
        <v>2604</v>
      </c>
      <c r="T219" s="71" t="s">
        <v>2604</v>
      </c>
      <c r="U219" s="71" t="s">
        <v>2604</v>
      </c>
      <c r="V219" s="71" t="s">
        <v>2655</v>
      </c>
    </row>
    <row r="220" spans="1:22">
      <c r="A220" s="71" t="s">
        <v>2659</v>
      </c>
      <c r="B220" s="71" t="s">
        <v>56</v>
      </c>
      <c r="C220" s="72">
        <v>45856.576623518522</v>
      </c>
      <c r="D220" s="72">
        <v>45856.576623518522</v>
      </c>
      <c r="E220" s="71" t="s">
        <v>380</v>
      </c>
      <c r="F220" s="71" t="s">
        <v>2962</v>
      </c>
      <c r="G220" s="71" t="s">
        <v>594</v>
      </c>
      <c r="H220" s="71" t="s">
        <v>592</v>
      </c>
      <c r="I220" s="71" t="s">
        <v>2604</v>
      </c>
      <c r="J220" s="71" t="s">
        <v>744</v>
      </c>
      <c r="K220" s="71" t="s">
        <v>2665</v>
      </c>
      <c r="L220" s="71" t="s">
        <v>2821</v>
      </c>
      <c r="M220" s="71" t="s">
        <v>2671</v>
      </c>
      <c r="N220" s="71" t="s">
        <v>2963</v>
      </c>
      <c r="O220" s="71" t="s">
        <v>2640</v>
      </c>
      <c r="P220" s="71" t="s">
        <v>2604</v>
      </c>
      <c r="Q220" s="71" t="s">
        <v>2964</v>
      </c>
      <c r="R220" s="71" t="s">
        <v>2604</v>
      </c>
      <c r="S220" s="71" t="s">
        <v>2604</v>
      </c>
      <c r="T220" s="71" t="s">
        <v>2604</v>
      </c>
      <c r="U220" s="71" t="s">
        <v>2604</v>
      </c>
      <c r="V220" s="71" t="s">
        <v>2604</v>
      </c>
    </row>
    <row r="221" spans="1:22">
      <c r="A221" s="71" t="s">
        <v>2659</v>
      </c>
      <c r="B221" s="71" t="s">
        <v>84</v>
      </c>
      <c r="C221" s="72">
        <v>45857.948217002318</v>
      </c>
      <c r="D221" s="72">
        <v>45857.948217002318</v>
      </c>
      <c r="E221" s="71" t="s">
        <v>365</v>
      </c>
      <c r="F221" s="71" t="s">
        <v>602</v>
      </c>
      <c r="G221" s="71" t="s">
        <v>603</v>
      </c>
      <c r="H221" s="71" t="s">
        <v>601</v>
      </c>
      <c r="I221" s="71" t="s">
        <v>2604</v>
      </c>
      <c r="J221" s="71" t="s">
        <v>744</v>
      </c>
      <c r="K221" s="71" t="s">
        <v>2665</v>
      </c>
      <c r="L221" s="71" t="s">
        <v>2666</v>
      </c>
      <c r="M221" s="71" t="s">
        <v>2671</v>
      </c>
      <c r="N221" s="71" t="s">
        <v>3029</v>
      </c>
      <c r="O221" s="71" t="s">
        <v>2640</v>
      </c>
      <c r="P221" s="71" t="s">
        <v>2604</v>
      </c>
      <c r="Q221" s="71" t="s">
        <v>3030</v>
      </c>
      <c r="R221" s="71" t="s">
        <v>2604</v>
      </c>
      <c r="S221" s="71" t="s">
        <v>2604</v>
      </c>
      <c r="T221" s="71" t="s">
        <v>2604</v>
      </c>
      <c r="U221" s="71" t="s">
        <v>2604</v>
      </c>
      <c r="V221" s="71" t="s">
        <v>2604</v>
      </c>
    </row>
    <row r="222" spans="1:22">
      <c r="A222" s="71" t="s">
        <v>2659</v>
      </c>
      <c r="B222" s="71" t="s">
        <v>659</v>
      </c>
      <c r="C222" s="72">
        <v>46057.460707175924</v>
      </c>
      <c r="D222" s="72">
        <v>46057.460707175924</v>
      </c>
      <c r="E222" s="71" t="s">
        <v>135</v>
      </c>
      <c r="F222" s="71" t="s">
        <v>1073</v>
      </c>
      <c r="G222" s="71" t="s">
        <v>1074</v>
      </c>
      <c r="H222" s="71" t="s">
        <v>1072</v>
      </c>
      <c r="I222" s="71" t="s">
        <v>2604</v>
      </c>
      <c r="J222" s="71" t="s">
        <v>747</v>
      </c>
      <c r="K222" s="71" t="s">
        <v>2768</v>
      </c>
      <c r="L222" s="71" t="s">
        <v>2769</v>
      </c>
      <c r="M222" s="71" t="s">
        <v>2770</v>
      </c>
      <c r="N222" s="71" t="s">
        <v>2771</v>
      </c>
      <c r="O222" s="71" t="s">
        <v>2640</v>
      </c>
      <c r="P222" s="71" t="s">
        <v>2604</v>
      </c>
      <c r="Q222" s="71" t="s">
        <v>2772</v>
      </c>
      <c r="R222" s="71" t="s">
        <v>2604</v>
      </c>
      <c r="S222" s="71" t="s">
        <v>2604</v>
      </c>
      <c r="T222" s="71" t="s">
        <v>2604</v>
      </c>
      <c r="U222" s="71" t="s">
        <v>2604</v>
      </c>
      <c r="V222" s="71" t="s">
        <v>2635</v>
      </c>
    </row>
    <row r="223" spans="1:22">
      <c r="A223" s="71" t="s">
        <v>2659</v>
      </c>
      <c r="B223" s="71" t="s">
        <v>84</v>
      </c>
      <c r="C223" s="72">
        <v>45895.519174884263</v>
      </c>
      <c r="D223" s="72">
        <v>45895.519174884263</v>
      </c>
      <c r="E223" s="71" t="s">
        <v>365</v>
      </c>
      <c r="F223" s="71" t="s">
        <v>737</v>
      </c>
      <c r="G223" s="71" t="s">
        <v>738</v>
      </c>
      <c r="H223" s="71" t="s">
        <v>736</v>
      </c>
      <c r="I223" s="71" t="s">
        <v>2604</v>
      </c>
      <c r="J223" s="71" t="s">
        <v>774</v>
      </c>
      <c r="K223" s="71" t="s">
        <v>2670</v>
      </c>
      <c r="L223" s="71" t="s">
        <v>2604</v>
      </c>
      <c r="M223" s="71" t="s">
        <v>2671</v>
      </c>
      <c r="N223" s="71" t="s">
        <v>3017</v>
      </c>
      <c r="O223" s="71" t="s">
        <v>2640</v>
      </c>
      <c r="P223" s="71" t="s">
        <v>2604</v>
      </c>
      <c r="Q223" s="71" t="s">
        <v>3018</v>
      </c>
      <c r="R223" s="71" t="s">
        <v>2604</v>
      </c>
      <c r="S223" s="71" t="s">
        <v>2604</v>
      </c>
      <c r="T223" s="71" t="s">
        <v>2604</v>
      </c>
      <c r="U223" s="71" t="s">
        <v>2604</v>
      </c>
      <c r="V223" s="71" t="s">
        <v>2635</v>
      </c>
    </row>
    <row r="224" spans="1:22">
      <c r="A224" s="71" t="s">
        <v>2659</v>
      </c>
      <c r="B224" s="71" t="s">
        <v>84</v>
      </c>
      <c r="C224" s="72">
        <v>45909.372352199076</v>
      </c>
      <c r="D224" s="72">
        <v>45909.372352199076</v>
      </c>
      <c r="E224" s="71" t="s">
        <v>365</v>
      </c>
      <c r="F224" s="71" t="s">
        <v>788</v>
      </c>
      <c r="G224" s="71" t="s">
        <v>789</v>
      </c>
      <c r="H224" s="71" t="s">
        <v>787</v>
      </c>
      <c r="I224" s="71" t="s">
        <v>2604</v>
      </c>
      <c r="J224" s="71" t="s">
        <v>744</v>
      </c>
      <c r="K224" s="71" t="s">
        <v>2665</v>
      </c>
      <c r="L224" s="71" t="s">
        <v>2666</v>
      </c>
      <c r="M224" s="71" t="s">
        <v>2667</v>
      </c>
      <c r="N224" s="71" t="s">
        <v>2668</v>
      </c>
      <c r="O224" s="71" t="s">
        <v>2640</v>
      </c>
      <c r="P224" s="71" t="s">
        <v>2604</v>
      </c>
      <c r="Q224" s="71" t="s">
        <v>2669</v>
      </c>
      <c r="R224" s="71" t="s">
        <v>2604</v>
      </c>
      <c r="S224" s="71" t="s">
        <v>2604</v>
      </c>
      <c r="T224" s="71" t="s">
        <v>2604</v>
      </c>
      <c r="U224" s="71" t="s">
        <v>2604</v>
      </c>
      <c r="V224" s="71" t="s">
        <v>2604</v>
      </c>
    </row>
    <row r="225" spans="1:22">
      <c r="A225" s="71" t="s">
        <v>2659</v>
      </c>
      <c r="B225" s="71" t="s">
        <v>2646</v>
      </c>
      <c r="C225" s="72">
        <v>45799.663781481482</v>
      </c>
      <c r="D225" s="72">
        <v>45799.663781481482</v>
      </c>
      <c r="E225" s="71" t="s">
        <v>380</v>
      </c>
      <c r="F225" s="71" t="s">
        <v>479</v>
      </c>
      <c r="G225" s="71" t="s">
        <v>480</v>
      </c>
      <c r="H225" s="71" t="s">
        <v>478</v>
      </c>
      <c r="I225" s="71" t="s">
        <v>2604</v>
      </c>
      <c r="J225" s="71" t="s">
        <v>774</v>
      </c>
      <c r="K225" s="71" t="s">
        <v>2670</v>
      </c>
      <c r="L225" s="71" t="s">
        <v>2604</v>
      </c>
      <c r="M225" s="71" t="s">
        <v>2671</v>
      </c>
      <c r="N225" s="71" t="s">
        <v>2928</v>
      </c>
      <c r="O225" s="71" t="s">
        <v>2692</v>
      </c>
      <c r="P225" s="71" t="s">
        <v>2604</v>
      </c>
      <c r="Q225" s="71" t="s">
        <v>2959</v>
      </c>
      <c r="R225" s="71" t="s">
        <v>2604</v>
      </c>
      <c r="S225" s="71" t="s">
        <v>2604</v>
      </c>
      <c r="T225" s="71" t="s">
        <v>2604</v>
      </c>
      <c r="U225" s="71" t="s">
        <v>2604</v>
      </c>
      <c r="V225" s="71" t="s">
        <v>2604</v>
      </c>
    </row>
    <row r="226" spans="1:22">
      <c r="A226" s="71" t="s">
        <v>2659</v>
      </c>
      <c r="B226" s="71" t="s">
        <v>84</v>
      </c>
      <c r="C226" s="72">
        <v>45849.500967256943</v>
      </c>
      <c r="D226" s="72">
        <v>45849.500967256943</v>
      </c>
      <c r="E226" s="71" t="s">
        <v>365</v>
      </c>
      <c r="F226" s="71" t="s">
        <v>546</v>
      </c>
      <c r="G226" s="71" t="s">
        <v>547</v>
      </c>
      <c r="H226" s="71" t="s">
        <v>545</v>
      </c>
      <c r="I226" s="71" t="s">
        <v>2604</v>
      </c>
      <c r="J226" s="71" t="s">
        <v>752</v>
      </c>
      <c r="K226" s="71" t="s">
        <v>2723</v>
      </c>
      <c r="L226" s="71" t="s">
        <v>2665</v>
      </c>
      <c r="M226" s="71" t="s">
        <v>2787</v>
      </c>
      <c r="N226" s="71" t="s">
        <v>2788</v>
      </c>
      <c r="O226" s="71" t="s">
        <v>2640</v>
      </c>
      <c r="P226" s="71" t="s">
        <v>2604</v>
      </c>
      <c r="Q226" s="71" t="s">
        <v>2789</v>
      </c>
      <c r="R226" s="71" t="s">
        <v>2604</v>
      </c>
      <c r="S226" s="71" t="s">
        <v>2604</v>
      </c>
      <c r="T226" s="71" t="s">
        <v>2604</v>
      </c>
      <c r="U226" s="71" t="s">
        <v>2604</v>
      </c>
      <c r="V226" s="71" t="s">
        <v>2604</v>
      </c>
    </row>
    <row r="227" spans="1:22">
      <c r="A227" s="71" t="s">
        <v>2659</v>
      </c>
      <c r="B227" s="71" t="s">
        <v>84</v>
      </c>
      <c r="C227" s="72">
        <v>45917.794435520831</v>
      </c>
      <c r="D227" s="72">
        <v>45917.794435520831</v>
      </c>
      <c r="E227" s="71" t="s">
        <v>365</v>
      </c>
      <c r="F227" s="71" t="s">
        <v>815</v>
      </c>
      <c r="G227" s="71" t="s">
        <v>816</v>
      </c>
      <c r="H227" s="71" t="s">
        <v>814</v>
      </c>
      <c r="I227" s="71" t="s">
        <v>2604</v>
      </c>
      <c r="J227" s="71" t="s">
        <v>769</v>
      </c>
      <c r="K227" s="71" t="s">
        <v>2773</v>
      </c>
      <c r="L227" s="71" t="s">
        <v>2670</v>
      </c>
      <c r="M227" s="71" t="s">
        <v>3031</v>
      </c>
      <c r="N227" s="71" t="s">
        <v>3031</v>
      </c>
      <c r="O227" s="71" t="s">
        <v>2640</v>
      </c>
      <c r="P227" s="71" t="s">
        <v>2604</v>
      </c>
      <c r="Q227" s="71" t="s">
        <v>3032</v>
      </c>
      <c r="R227" s="71" t="s">
        <v>2604</v>
      </c>
      <c r="S227" s="71" t="s">
        <v>2604</v>
      </c>
      <c r="T227" s="71" t="s">
        <v>2604</v>
      </c>
      <c r="U227" s="71" t="s">
        <v>2604</v>
      </c>
      <c r="V227" s="71" t="s">
        <v>2635</v>
      </c>
    </row>
    <row r="228" spans="1:22">
      <c r="A228" s="71" t="s">
        <v>2659</v>
      </c>
      <c r="B228" s="71" t="s">
        <v>84</v>
      </c>
      <c r="C228" s="72">
        <v>45974.700403368057</v>
      </c>
      <c r="D228" s="72">
        <v>45974.700403368057</v>
      </c>
      <c r="E228" s="71" t="s">
        <v>365</v>
      </c>
      <c r="F228" s="71" t="s">
        <v>946</v>
      </c>
      <c r="G228" s="71" t="s">
        <v>947</v>
      </c>
      <c r="H228" s="71" t="s">
        <v>945</v>
      </c>
      <c r="I228" s="71" t="s">
        <v>2604</v>
      </c>
      <c r="J228" s="71" t="s">
        <v>774</v>
      </c>
      <c r="K228" s="71" t="s">
        <v>2670</v>
      </c>
      <c r="L228" s="71" t="s">
        <v>2604</v>
      </c>
      <c r="M228" s="71" t="s">
        <v>2671</v>
      </c>
      <c r="N228" s="71" t="s">
        <v>3033</v>
      </c>
      <c r="O228" s="71" t="s">
        <v>2640</v>
      </c>
      <c r="P228" s="71" t="s">
        <v>2604</v>
      </c>
      <c r="Q228" s="71" t="s">
        <v>3034</v>
      </c>
      <c r="R228" s="71" t="s">
        <v>2604</v>
      </c>
      <c r="S228" s="71" t="s">
        <v>2604</v>
      </c>
      <c r="T228" s="71" t="s">
        <v>2604</v>
      </c>
      <c r="U228" s="71" t="s">
        <v>2604</v>
      </c>
      <c r="V228" s="71" t="s">
        <v>2604</v>
      </c>
    </row>
    <row r="229" spans="1:22">
      <c r="A229" s="71" t="s">
        <v>2659</v>
      </c>
      <c r="B229" s="71" t="s">
        <v>724</v>
      </c>
      <c r="C229" s="72">
        <v>46052.649132812498</v>
      </c>
      <c r="D229" s="72">
        <v>46052.649132812498</v>
      </c>
      <c r="E229" s="71" t="s">
        <v>365</v>
      </c>
      <c r="F229" s="71" t="s">
        <v>1066</v>
      </c>
      <c r="G229" s="71" t="s">
        <v>1067</v>
      </c>
      <c r="H229" s="71" t="s">
        <v>1065</v>
      </c>
      <c r="I229" s="71" t="s">
        <v>2604</v>
      </c>
      <c r="J229" s="71" t="s">
        <v>752</v>
      </c>
      <c r="K229" s="71" t="s">
        <v>2675</v>
      </c>
      <c r="L229" s="71" t="s">
        <v>2790</v>
      </c>
      <c r="M229" s="71" t="s">
        <v>2791</v>
      </c>
      <c r="N229" s="71" t="s">
        <v>2792</v>
      </c>
      <c r="O229" s="71" t="s">
        <v>2640</v>
      </c>
      <c r="P229" s="71" t="s">
        <v>2604</v>
      </c>
      <c r="Q229" s="71" t="s">
        <v>2793</v>
      </c>
      <c r="R229" s="71" t="s">
        <v>2604</v>
      </c>
      <c r="S229" s="71" t="s">
        <v>2604</v>
      </c>
      <c r="T229" s="71" t="s">
        <v>2604</v>
      </c>
      <c r="U229" s="71" t="s">
        <v>2604</v>
      </c>
      <c r="V229" s="71" t="s">
        <v>2604</v>
      </c>
    </row>
    <row r="230" spans="1:22">
      <c r="A230" s="71" t="s">
        <v>2659</v>
      </c>
      <c r="B230" s="71" t="s">
        <v>56</v>
      </c>
      <c r="C230" s="72">
        <v>45866.379538831017</v>
      </c>
      <c r="D230" s="72">
        <v>45866.379538831017</v>
      </c>
      <c r="E230" s="71" t="s">
        <v>365</v>
      </c>
      <c r="F230" s="71" t="s">
        <v>2709</v>
      </c>
      <c r="G230" s="71" t="s">
        <v>642</v>
      </c>
      <c r="H230" s="71" t="s">
        <v>640</v>
      </c>
      <c r="I230" s="71" t="s">
        <v>2604</v>
      </c>
      <c r="J230" s="71" t="s">
        <v>774</v>
      </c>
      <c r="K230" s="71" t="s">
        <v>2670</v>
      </c>
      <c r="L230" s="71" t="s">
        <v>2604</v>
      </c>
      <c r="M230" s="71" t="s">
        <v>2671</v>
      </c>
      <c r="N230" s="71" t="s">
        <v>2710</v>
      </c>
      <c r="O230" s="71" t="s">
        <v>2640</v>
      </c>
      <c r="P230" s="71" t="s">
        <v>2604</v>
      </c>
      <c r="Q230" s="71" t="s">
        <v>2711</v>
      </c>
      <c r="R230" s="71" t="s">
        <v>2604</v>
      </c>
      <c r="S230" s="71" t="s">
        <v>2604</v>
      </c>
      <c r="T230" s="71" t="s">
        <v>2604</v>
      </c>
      <c r="U230" s="71" t="s">
        <v>2604</v>
      </c>
      <c r="V230" s="71" t="s">
        <v>2664</v>
      </c>
    </row>
    <row r="231" spans="1:22">
      <c r="A231" s="71" t="s">
        <v>2659</v>
      </c>
      <c r="B231" s="71" t="s">
        <v>724</v>
      </c>
      <c r="C231" s="72">
        <v>46059.793704421296</v>
      </c>
      <c r="D231" s="72">
        <v>46059.793704421296</v>
      </c>
      <c r="E231" s="71" t="s">
        <v>365</v>
      </c>
      <c r="F231" s="71" t="s">
        <v>1084</v>
      </c>
      <c r="G231" s="71" t="s">
        <v>1085</v>
      </c>
      <c r="H231" s="71" t="s">
        <v>1083</v>
      </c>
      <c r="I231" s="71" t="s">
        <v>2604</v>
      </c>
      <c r="J231" s="71" t="s">
        <v>744</v>
      </c>
      <c r="K231" s="71" t="s">
        <v>2665</v>
      </c>
      <c r="L231" s="71" t="s">
        <v>2821</v>
      </c>
      <c r="M231" s="71" t="s">
        <v>2671</v>
      </c>
      <c r="N231" s="71" t="s">
        <v>2671</v>
      </c>
      <c r="O231" s="71" t="s">
        <v>2640</v>
      </c>
      <c r="P231" s="71" t="s">
        <v>2604</v>
      </c>
      <c r="Q231" s="71" t="s">
        <v>2822</v>
      </c>
      <c r="R231" s="71" t="s">
        <v>2604</v>
      </c>
      <c r="S231" s="71" t="s">
        <v>2604</v>
      </c>
      <c r="T231" s="71" t="s">
        <v>2604</v>
      </c>
      <c r="U231" s="71" t="s">
        <v>2604</v>
      </c>
      <c r="V231" s="71" t="s">
        <v>2604</v>
      </c>
    </row>
    <row r="232" spans="1:22">
      <c r="A232" s="71" t="s">
        <v>2659</v>
      </c>
      <c r="B232" s="71" t="s">
        <v>84</v>
      </c>
      <c r="C232" s="72">
        <v>45853.451382766201</v>
      </c>
      <c r="D232" s="72">
        <v>45853.451382766201</v>
      </c>
      <c r="E232" s="71" t="s">
        <v>380</v>
      </c>
      <c r="F232" s="71" t="s">
        <v>3035</v>
      </c>
      <c r="G232" s="71" t="s">
        <v>557</v>
      </c>
      <c r="H232" s="71" t="s">
        <v>555</v>
      </c>
      <c r="I232" s="71" t="s">
        <v>2604</v>
      </c>
      <c r="J232" s="71" t="s">
        <v>744</v>
      </c>
      <c r="K232" s="71" t="s">
        <v>2665</v>
      </c>
      <c r="L232" s="71" t="s">
        <v>2821</v>
      </c>
      <c r="M232" s="71" t="s">
        <v>2671</v>
      </c>
      <c r="N232" s="71" t="s">
        <v>3036</v>
      </c>
      <c r="O232" s="71" t="s">
        <v>2640</v>
      </c>
      <c r="P232" s="71" t="s">
        <v>2604</v>
      </c>
      <c r="Q232" s="71" t="s">
        <v>3037</v>
      </c>
      <c r="R232" s="71" t="s">
        <v>2604</v>
      </c>
      <c r="S232" s="71" t="s">
        <v>2604</v>
      </c>
      <c r="T232" s="71" t="s">
        <v>2604</v>
      </c>
      <c r="U232" s="71" t="s">
        <v>2604</v>
      </c>
      <c r="V232" s="71" t="s">
        <v>2604</v>
      </c>
    </row>
    <row r="233" spans="1:22">
      <c r="A233" s="71" t="s">
        <v>2659</v>
      </c>
      <c r="B233" s="71" t="s">
        <v>56</v>
      </c>
      <c r="C233" s="72">
        <v>46050.493472106478</v>
      </c>
      <c r="D233" s="72">
        <v>46050.493472106478</v>
      </c>
      <c r="E233" s="71" t="s">
        <v>365</v>
      </c>
      <c r="F233" s="71" t="s">
        <v>1060</v>
      </c>
      <c r="G233" s="71" t="s">
        <v>1061</v>
      </c>
      <c r="H233" s="71" t="s">
        <v>1059</v>
      </c>
      <c r="I233" s="71" t="s">
        <v>2604</v>
      </c>
      <c r="J233" s="71" t="s">
        <v>752</v>
      </c>
      <c r="K233" s="71" t="s">
        <v>2675</v>
      </c>
      <c r="L233" s="71" t="s">
        <v>2712</v>
      </c>
      <c r="M233" s="71" t="s">
        <v>3038</v>
      </c>
      <c r="N233" s="71" t="s">
        <v>3039</v>
      </c>
      <c r="O233" s="71" t="s">
        <v>2640</v>
      </c>
      <c r="P233" s="71" t="s">
        <v>2604</v>
      </c>
      <c r="Q233" s="71" t="s">
        <v>3040</v>
      </c>
      <c r="R233" s="71" t="s">
        <v>2604</v>
      </c>
      <c r="S233" s="71" t="s">
        <v>2604</v>
      </c>
      <c r="T233" s="71" t="s">
        <v>2604</v>
      </c>
      <c r="U233" s="71" t="s">
        <v>2604</v>
      </c>
      <c r="V233" s="71" t="s">
        <v>2604</v>
      </c>
    </row>
    <row r="234" spans="1:22">
      <c r="A234" s="71" t="s">
        <v>2659</v>
      </c>
      <c r="B234" s="71" t="s">
        <v>56</v>
      </c>
      <c r="C234" s="72">
        <v>45855.412680289352</v>
      </c>
      <c r="D234" s="72">
        <v>45855.412680289352</v>
      </c>
      <c r="E234" s="71" t="s">
        <v>365</v>
      </c>
      <c r="F234" s="71" t="s">
        <v>2567</v>
      </c>
      <c r="G234" s="71" t="s">
        <v>573</v>
      </c>
      <c r="H234" s="71" t="s">
        <v>571</v>
      </c>
      <c r="I234" s="71" t="s">
        <v>2604</v>
      </c>
      <c r="J234" s="71" t="s">
        <v>813</v>
      </c>
      <c r="K234" s="71" t="s">
        <v>2648</v>
      </c>
      <c r="L234" s="71" t="s">
        <v>2649</v>
      </c>
      <c r="M234" s="71" t="s">
        <v>2726</v>
      </c>
      <c r="N234" s="71" t="s">
        <v>2726</v>
      </c>
      <c r="O234" s="71" t="s">
        <v>2640</v>
      </c>
      <c r="P234" s="71" t="s">
        <v>2604</v>
      </c>
      <c r="Q234" s="71" t="s">
        <v>3041</v>
      </c>
      <c r="R234" s="71" t="s">
        <v>2604</v>
      </c>
      <c r="S234" s="71" t="s">
        <v>2604</v>
      </c>
      <c r="T234" s="71" t="s">
        <v>2604</v>
      </c>
      <c r="U234" s="71" t="s">
        <v>2604</v>
      </c>
      <c r="V234" s="71" t="s">
        <v>2635</v>
      </c>
    </row>
    <row r="235" spans="1:22">
      <c r="A235" s="71" t="s">
        <v>2659</v>
      </c>
      <c r="B235" s="71" t="s">
        <v>56</v>
      </c>
      <c r="C235" s="72">
        <v>46014.722542083335</v>
      </c>
      <c r="D235" s="72">
        <v>46014.722542083335</v>
      </c>
      <c r="E235" s="71" t="s">
        <v>365</v>
      </c>
      <c r="F235" s="71" t="s">
        <v>1020</v>
      </c>
      <c r="G235" s="71" t="s">
        <v>1021</v>
      </c>
      <c r="H235" s="71" t="s">
        <v>1019</v>
      </c>
      <c r="I235" s="71" t="s">
        <v>2604</v>
      </c>
      <c r="J235" s="71" t="s">
        <v>752</v>
      </c>
      <c r="K235" s="71" t="s">
        <v>2675</v>
      </c>
      <c r="L235" s="71" t="s">
        <v>2790</v>
      </c>
      <c r="M235" s="71" t="s">
        <v>2898</v>
      </c>
      <c r="N235" s="71" t="s">
        <v>2899</v>
      </c>
      <c r="O235" s="71" t="s">
        <v>2640</v>
      </c>
      <c r="P235" s="71" t="s">
        <v>2604</v>
      </c>
      <c r="Q235" s="71" t="s">
        <v>2900</v>
      </c>
      <c r="R235" s="71" t="s">
        <v>2604</v>
      </c>
      <c r="S235" s="71" t="s">
        <v>2604</v>
      </c>
      <c r="T235" s="71" t="s">
        <v>2604</v>
      </c>
      <c r="U235" s="71" t="s">
        <v>2604</v>
      </c>
      <c r="V235" s="71" t="s">
        <v>2604</v>
      </c>
    </row>
    <row r="236" spans="1:22">
      <c r="A236" s="71" t="s">
        <v>2659</v>
      </c>
      <c r="B236" s="71" t="s">
        <v>56</v>
      </c>
      <c r="C236" s="72">
        <v>45866.485631736112</v>
      </c>
      <c r="D236" s="72">
        <v>45866.485631736112</v>
      </c>
      <c r="E236" s="71" t="s">
        <v>473</v>
      </c>
      <c r="F236" s="71" t="s">
        <v>2971</v>
      </c>
      <c r="G236" s="71" t="s">
        <v>2972</v>
      </c>
      <c r="H236" s="71" t="s">
        <v>643</v>
      </c>
      <c r="I236" s="71" t="s">
        <v>2604</v>
      </c>
      <c r="J236" s="71" t="s">
        <v>813</v>
      </c>
      <c r="K236" s="71" t="s">
        <v>2648</v>
      </c>
      <c r="L236" s="71" t="s">
        <v>2649</v>
      </c>
      <c r="M236" s="71" t="s">
        <v>2726</v>
      </c>
      <c r="N236" s="71" t="s">
        <v>2726</v>
      </c>
      <c r="O236" s="71" t="s">
        <v>2640</v>
      </c>
      <c r="P236" s="71" t="s">
        <v>2604</v>
      </c>
      <c r="Q236" s="71" t="s">
        <v>2973</v>
      </c>
      <c r="R236" s="71" t="s">
        <v>2604</v>
      </c>
      <c r="S236" s="71" t="s">
        <v>2604</v>
      </c>
      <c r="T236" s="71" t="s">
        <v>2604</v>
      </c>
      <c r="U236" s="71" t="s">
        <v>2604</v>
      </c>
      <c r="V236" s="71" t="s">
        <v>2618</v>
      </c>
    </row>
    <row r="237" spans="1:22">
      <c r="A237" s="71" t="s">
        <v>2659</v>
      </c>
      <c r="B237" s="71" t="s">
        <v>2646</v>
      </c>
      <c r="C237" s="72">
        <v>45789.537628229169</v>
      </c>
      <c r="D237" s="72">
        <v>45789.537628229169</v>
      </c>
      <c r="E237" s="71" t="s">
        <v>365</v>
      </c>
      <c r="F237" s="71" t="s">
        <v>461</v>
      </c>
      <c r="G237" s="71" t="s">
        <v>462</v>
      </c>
      <c r="H237" s="71" t="s">
        <v>460</v>
      </c>
      <c r="I237" s="71" t="s">
        <v>2604</v>
      </c>
      <c r="J237" s="71" t="s">
        <v>744</v>
      </c>
      <c r="K237" s="71" t="s">
        <v>2665</v>
      </c>
      <c r="L237" s="71" t="s">
        <v>2666</v>
      </c>
      <c r="M237" s="71" t="s">
        <v>2662</v>
      </c>
      <c r="N237" s="71" t="s">
        <v>2861</v>
      </c>
      <c r="O237" s="71" t="s">
        <v>2692</v>
      </c>
      <c r="P237" s="71" t="s">
        <v>2604</v>
      </c>
      <c r="Q237" s="71" t="s">
        <v>3042</v>
      </c>
      <c r="R237" s="71" t="s">
        <v>2604</v>
      </c>
      <c r="S237" s="71" t="s">
        <v>2604</v>
      </c>
      <c r="T237" s="71" t="s">
        <v>2604</v>
      </c>
      <c r="U237" s="71" t="s">
        <v>2604</v>
      </c>
      <c r="V237" s="71" t="s">
        <v>2658</v>
      </c>
    </row>
    <row r="238" spans="1:22">
      <c r="A238" s="71" t="s">
        <v>2659</v>
      </c>
      <c r="B238" s="71" t="s">
        <v>84</v>
      </c>
      <c r="C238" s="72">
        <v>45937.626388055556</v>
      </c>
      <c r="D238" s="72">
        <v>45937.626388055556</v>
      </c>
      <c r="E238" s="71" t="s">
        <v>365</v>
      </c>
      <c r="F238" s="71" t="s">
        <v>861</v>
      </c>
      <c r="G238" s="71" t="s">
        <v>862</v>
      </c>
      <c r="H238" s="71" t="s">
        <v>860</v>
      </c>
      <c r="I238" s="71" t="s">
        <v>2604</v>
      </c>
      <c r="J238" s="71" t="s">
        <v>863</v>
      </c>
      <c r="K238" s="71" t="s">
        <v>3043</v>
      </c>
      <c r="L238" s="71" t="s">
        <v>2604</v>
      </c>
      <c r="M238" s="71" t="s">
        <v>3044</v>
      </c>
      <c r="N238" s="71" t="s">
        <v>3045</v>
      </c>
      <c r="O238" s="71" t="s">
        <v>2640</v>
      </c>
      <c r="P238" s="71" t="s">
        <v>2604</v>
      </c>
      <c r="Q238" s="71" t="s">
        <v>3046</v>
      </c>
      <c r="R238" s="71" t="s">
        <v>2604</v>
      </c>
      <c r="S238" s="71" t="s">
        <v>2604</v>
      </c>
      <c r="T238" s="71" t="s">
        <v>2604</v>
      </c>
      <c r="U238" s="71" t="s">
        <v>2604</v>
      </c>
      <c r="V238" s="71" t="s">
        <v>2635</v>
      </c>
    </row>
    <row r="239" spans="1:22">
      <c r="A239" s="71" t="s">
        <v>2659</v>
      </c>
      <c r="B239" s="71" t="s">
        <v>2646</v>
      </c>
      <c r="C239" s="72">
        <v>45799.663781481482</v>
      </c>
      <c r="D239" s="72">
        <v>45799.663781481482</v>
      </c>
      <c r="E239" s="71" t="s">
        <v>380</v>
      </c>
      <c r="F239" s="71" t="s">
        <v>479</v>
      </c>
      <c r="G239" s="71" t="s">
        <v>480</v>
      </c>
      <c r="H239" s="71" t="s">
        <v>478</v>
      </c>
      <c r="I239" s="71" t="s">
        <v>2604</v>
      </c>
      <c r="J239" s="71" t="s">
        <v>774</v>
      </c>
      <c r="K239" s="71" t="s">
        <v>2670</v>
      </c>
      <c r="L239" s="71" t="s">
        <v>2604</v>
      </c>
      <c r="M239" s="71" t="s">
        <v>2671</v>
      </c>
      <c r="N239" s="71" t="s">
        <v>2928</v>
      </c>
      <c r="O239" s="71" t="s">
        <v>2692</v>
      </c>
      <c r="P239" s="71" t="s">
        <v>2604</v>
      </c>
      <c r="Q239" s="71" t="s">
        <v>2959</v>
      </c>
      <c r="R239" s="71" t="s">
        <v>2604</v>
      </c>
      <c r="S239" s="71" t="s">
        <v>2604</v>
      </c>
      <c r="T239" s="71" t="s">
        <v>2604</v>
      </c>
      <c r="U239" s="71" t="s">
        <v>2604</v>
      </c>
      <c r="V239" s="71" t="s">
        <v>2655</v>
      </c>
    </row>
    <row r="240" spans="1:22">
      <c r="A240" s="71" t="s">
        <v>2659</v>
      </c>
      <c r="B240" s="71" t="s">
        <v>2646</v>
      </c>
      <c r="C240" s="72">
        <v>45764.807239444446</v>
      </c>
      <c r="D240" s="72">
        <v>45764.807239444446</v>
      </c>
      <c r="E240" s="71" t="s">
        <v>135</v>
      </c>
      <c r="F240" s="71" t="s">
        <v>422</v>
      </c>
      <c r="G240" s="71" t="s">
        <v>2982</v>
      </c>
      <c r="H240" s="71" t="s">
        <v>421</v>
      </c>
      <c r="I240" s="71" t="s">
        <v>2604</v>
      </c>
      <c r="J240" s="71" t="s">
        <v>1140</v>
      </c>
      <c r="K240" s="71" t="s">
        <v>2983</v>
      </c>
      <c r="L240" s="71" t="s">
        <v>2604</v>
      </c>
      <c r="M240" s="71" t="s">
        <v>2984</v>
      </c>
      <c r="N240" s="71" t="s">
        <v>2985</v>
      </c>
      <c r="O240" s="71" t="s">
        <v>2692</v>
      </c>
      <c r="P240" s="71" t="s">
        <v>2986</v>
      </c>
      <c r="Q240" s="71" t="s">
        <v>2987</v>
      </c>
      <c r="R240" s="71" t="s">
        <v>2604</v>
      </c>
      <c r="S240" s="71" t="s">
        <v>2604</v>
      </c>
      <c r="T240" s="71" t="s">
        <v>2604</v>
      </c>
      <c r="U240" s="71" t="s">
        <v>2604</v>
      </c>
      <c r="V240" s="71" t="s">
        <v>2618</v>
      </c>
    </row>
    <row r="241" spans="1:22">
      <c r="A241" s="71" t="s">
        <v>2659</v>
      </c>
      <c r="B241" s="71" t="s">
        <v>84</v>
      </c>
      <c r="C241" s="72">
        <v>45854.889374849539</v>
      </c>
      <c r="D241" s="72">
        <v>45854.889374849539</v>
      </c>
      <c r="E241" s="71" t="s">
        <v>365</v>
      </c>
      <c r="F241" s="71" t="s">
        <v>3047</v>
      </c>
      <c r="G241" s="71" t="s">
        <v>3048</v>
      </c>
      <c r="H241" s="71" t="s">
        <v>568</v>
      </c>
      <c r="I241" s="71" t="s">
        <v>2604</v>
      </c>
      <c r="J241" s="71" t="s">
        <v>774</v>
      </c>
      <c r="K241" s="71" t="s">
        <v>3049</v>
      </c>
      <c r="L241" s="71" t="s">
        <v>2604</v>
      </c>
      <c r="M241" s="71" t="s">
        <v>2914</v>
      </c>
      <c r="N241" s="71" t="s">
        <v>3050</v>
      </c>
      <c r="O241" s="71" t="s">
        <v>2640</v>
      </c>
      <c r="P241" s="71" t="s">
        <v>2604</v>
      </c>
      <c r="Q241" s="71" t="s">
        <v>3051</v>
      </c>
      <c r="R241" s="71" t="s">
        <v>2604</v>
      </c>
      <c r="S241" s="71" t="s">
        <v>2604</v>
      </c>
      <c r="T241" s="71" t="s">
        <v>2604</v>
      </c>
      <c r="U241" s="71" t="s">
        <v>2604</v>
      </c>
      <c r="V241" s="71" t="s">
        <v>2635</v>
      </c>
    </row>
    <row r="242" spans="1:22">
      <c r="A242" s="71" t="s">
        <v>2659</v>
      </c>
      <c r="B242" s="71" t="s">
        <v>2646</v>
      </c>
      <c r="C242" s="72">
        <v>45826.598249976851</v>
      </c>
      <c r="D242" s="72">
        <v>45826.598249976851</v>
      </c>
      <c r="E242" s="71" t="s">
        <v>365</v>
      </c>
      <c r="F242" s="71" t="s">
        <v>524</v>
      </c>
      <c r="G242" s="71" t="s">
        <v>525</v>
      </c>
      <c r="H242" s="71" t="s">
        <v>523</v>
      </c>
      <c r="I242" s="71" t="s">
        <v>2604</v>
      </c>
      <c r="J242" s="71" t="s">
        <v>774</v>
      </c>
      <c r="K242" s="71" t="s">
        <v>2660</v>
      </c>
      <c r="L242" s="71" t="s">
        <v>2604</v>
      </c>
      <c r="M242" s="71" t="s">
        <v>2928</v>
      </c>
      <c r="N242" s="71" t="s">
        <v>3052</v>
      </c>
      <c r="O242" s="71" t="s">
        <v>2692</v>
      </c>
      <c r="P242" s="71" t="s">
        <v>2604</v>
      </c>
      <c r="Q242" s="71" t="s">
        <v>3053</v>
      </c>
      <c r="R242" s="71" t="s">
        <v>2604</v>
      </c>
      <c r="S242" s="71" t="s">
        <v>2604</v>
      </c>
      <c r="T242" s="71" t="s">
        <v>2604</v>
      </c>
      <c r="U242" s="71" t="s">
        <v>2604</v>
      </c>
      <c r="V242" s="71" t="s">
        <v>2635</v>
      </c>
    </row>
    <row r="243" spans="1:22">
      <c r="A243" s="71" t="s">
        <v>2659</v>
      </c>
      <c r="B243" s="71" t="s">
        <v>84</v>
      </c>
      <c r="C243" s="72">
        <v>45881.505229907409</v>
      </c>
      <c r="D243" s="72">
        <v>45881.505229907409</v>
      </c>
      <c r="E243" s="71" t="s">
        <v>365</v>
      </c>
      <c r="F243" s="71" t="s">
        <v>695</v>
      </c>
      <c r="G243" s="71" t="s">
        <v>696</v>
      </c>
      <c r="H243" s="71" t="s">
        <v>694</v>
      </c>
      <c r="I243" s="71" t="s">
        <v>2604</v>
      </c>
      <c r="J243" s="71" t="s">
        <v>744</v>
      </c>
      <c r="K243" s="71" t="s">
        <v>2665</v>
      </c>
      <c r="L243" s="71" t="s">
        <v>2666</v>
      </c>
      <c r="M243" s="71" t="s">
        <v>2671</v>
      </c>
      <c r="N243" s="71" t="s">
        <v>2744</v>
      </c>
      <c r="O243" s="71" t="s">
        <v>2640</v>
      </c>
      <c r="P243" s="71" t="s">
        <v>2604</v>
      </c>
      <c r="Q243" s="71" t="s">
        <v>2745</v>
      </c>
      <c r="R243" s="71" t="s">
        <v>2604</v>
      </c>
      <c r="S243" s="71" t="s">
        <v>2604</v>
      </c>
      <c r="T243" s="71" t="s">
        <v>2604</v>
      </c>
      <c r="U243" s="71" t="s">
        <v>2604</v>
      </c>
      <c r="V243" s="71" t="s">
        <v>2604</v>
      </c>
    </row>
    <row r="244" spans="1:22">
      <c r="A244" s="71" t="s">
        <v>2659</v>
      </c>
      <c r="B244" s="71" t="s">
        <v>2646</v>
      </c>
      <c r="C244" s="72">
        <v>45799.555150590277</v>
      </c>
      <c r="D244" s="72">
        <v>45799.555150590277</v>
      </c>
      <c r="E244" s="71" t="s">
        <v>365</v>
      </c>
      <c r="F244" s="71" t="s">
        <v>476</v>
      </c>
      <c r="G244" s="71" t="s">
        <v>477</v>
      </c>
      <c r="H244" s="71" t="s">
        <v>475</v>
      </c>
      <c r="I244" s="71" t="s">
        <v>2604</v>
      </c>
      <c r="J244" s="71" t="s">
        <v>752</v>
      </c>
      <c r="K244" s="71" t="s">
        <v>2723</v>
      </c>
      <c r="L244" s="71" t="s">
        <v>2665</v>
      </c>
      <c r="M244" s="71" t="s">
        <v>2941</v>
      </c>
      <c r="N244" s="71" t="s">
        <v>2942</v>
      </c>
      <c r="O244" s="71" t="s">
        <v>2692</v>
      </c>
      <c r="P244" s="71" t="s">
        <v>2604</v>
      </c>
      <c r="Q244" s="71" t="s">
        <v>2943</v>
      </c>
      <c r="R244" s="71" t="s">
        <v>2604</v>
      </c>
      <c r="S244" s="71" t="s">
        <v>2604</v>
      </c>
      <c r="T244" s="71" t="s">
        <v>2604</v>
      </c>
      <c r="U244" s="71" t="s">
        <v>2604</v>
      </c>
      <c r="V244" s="71" t="s">
        <v>2604</v>
      </c>
    </row>
    <row r="245" spans="1:22">
      <c r="A245" s="71" t="s">
        <v>2659</v>
      </c>
      <c r="B245" s="71" t="s">
        <v>56</v>
      </c>
      <c r="C245" s="72">
        <v>45888.647950381943</v>
      </c>
      <c r="D245" s="72">
        <v>45888.647950381943</v>
      </c>
      <c r="E245" s="71" t="s">
        <v>135</v>
      </c>
      <c r="F245" s="71" t="s">
        <v>704</v>
      </c>
      <c r="G245" s="71" t="s">
        <v>2966</v>
      </c>
      <c r="H245" s="71" t="s">
        <v>703</v>
      </c>
      <c r="I245" s="71" t="s">
        <v>2604</v>
      </c>
      <c r="J245" s="71" t="s">
        <v>744</v>
      </c>
      <c r="K245" s="71" t="s">
        <v>2665</v>
      </c>
      <c r="L245" s="71" t="s">
        <v>2821</v>
      </c>
      <c r="M245" s="71" t="s">
        <v>2671</v>
      </c>
      <c r="N245" s="71" t="s">
        <v>2967</v>
      </c>
      <c r="O245" s="71" t="s">
        <v>2640</v>
      </c>
      <c r="P245" s="71" t="s">
        <v>2604</v>
      </c>
      <c r="Q245" s="71" t="s">
        <v>2968</v>
      </c>
      <c r="R245" s="71" t="s">
        <v>2604</v>
      </c>
      <c r="S245" s="71" t="s">
        <v>2604</v>
      </c>
      <c r="T245" s="71" t="s">
        <v>2604</v>
      </c>
      <c r="U245" s="71" t="s">
        <v>2604</v>
      </c>
      <c r="V245" s="71" t="s">
        <v>2604</v>
      </c>
    </row>
    <row r="246" spans="1:22">
      <c r="A246" s="71" t="s">
        <v>2659</v>
      </c>
      <c r="B246" s="71" t="s">
        <v>56</v>
      </c>
      <c r="C246" s="72">
        <v>45940.434554409723</v>
      </c>
      <c r="D246" s="72">
        <v>45940.434554409723</v>
      </c>
      <c r="E246" s="71" t="s">
        <v>365</v>
      </c>
      <c r="F246" s="71" t="s">
        <v>870</v>
      </c>
      <c r="G246" s="71" t="s">
        <v>871</v>
      </c>
      <c r="H246" s="71" t="s">
        <v>869</v>
      </c>
      <c r="I246" s="71" t="s">
        <v>2604</v>
      </c>
      <c r="J246" s="71" t="s">
        <v>752</v>
      </c>
      <c r="K246" s="71" t="s">
        <v>2675</v>
      </c>
      <c r="L246" s="71" t="s">
        <v>2790</v>
      </c>
      <c r="M246" s="71" t="s">
        <v>2847</v>
      </c>
      <c r="N246" s="71" t="s">
        <v>2848</v>
      </c>
      <c r="O246" s="71" t="s">
        <v>2640</v>
      </c>
      <c r="P246" s="71" t="s">
        <v>2604</v>
      </c>
      <c r="Q246" s="71" t="s">
        <v>2849</v>
      </c>
      <c r="R246" s="71" t="s">
        <v>2604</v>
      </c>
      <c r="S246" s="71" t="s">
        <v>2604</v>
      </c>
      <c r="T246" s="71" t="s">
        <v>2604</v>
      </c>
      <c r="U246" s="71" t="s">
        <v>2604</v>
      </c>
      <c r="V246" s="71" t="s">
        <v>2604</v>
      </c>
    </row>
    <row r="247" spans="1:22">
      <c r="A247" s="71" t="s">
        <v>2659</v>
      </c>
      <c r="B247" s="71" t="s">
        <v>56</v>
      </c>
      <c r="C247" s="72">
        <v>45866.485631736112</v>
      </c>
      <c r="D247" s="72">
        <v>45866.485631736112</v>
      </c>
      <c r="E247" s="71" t="s">
        <v>473</v>
      </c>
      <c r="F247" s="71" t="s">
        <v>2971</v>
      </c>
      <c r="G247" s="71" t="s">
        <v>2972</v>
      </c>
      <c r="H247" s="71" t="s">
        <v>643</v>
      </c>
      <c r="I247" s="71" t="s">
        <v>2604</v>
      </c>
      <c r="J247" s="71" t="s">
        <v>813</v>
      </c>
      <c r="K247" s="71" t="s">
        <v>2648</v>
      </c>
      <c r="L247" s="71" t="s">
        <v>2649</v>
      </c>
      <c r="M247" s="71" t="s">
        <v>2726</v>
      </c>
      <c r="N247" s="71" t="s">
        <v>2726</v>
      </c>
      <c r="O247" s="71" t="s">
        <v>2640</v>
      </c>
      <c r="P247" s="71" t="s">
        <v>2604</v>
      </c>
      <c r="Q247" s="71" t="s">
        <v>2973</v>
      </c>
      <c r="R247" s="71" t="s">
        <v>2604</v>
      </c>
      <c r="S247" s="71" t="s">
        <v>2604</v>
      </c>
      <c r="T247" s="71" t="s">
        <v>2604</v>
      </c>
      <c r="U247" s="71" t="s">
        <v>2604</v>
      </c>
      <c r="V247" s="71" t="s">
        <v>2664</v>
      </c>
    </row>
    <row r="248" spans="1:22">
      <c r="A248" s="71" t="s">
        <v>2659</v>
      </c>
      <c r="B248" s="71" t="s">
        <v>56</v>
      </c>
      <c r="C248" s="72">
        <v>45866.669798726849</v>
      </c>
      <c r="D248" s="72">
        <v>45866.669798726849</v>
      </c>
      <c r="E248" s="71" t="s">
        <v>365</v>
      </c>
      <c r="F248" s="71" t="s">
        <v>3054</v>
      </c>
      <c r="G248" s="71" t="s">
        <v>647</v>
      </c>
      <c r="H248" s="71" t="s">
        <v>645</v>
      </c>
      <c r="I248" s="71" t="s">
        <v>2604</v>
      </c>
      <c r="J248" s="71" t="s">
        <v>744</v>
      </c>
      <c r="K248" s="71" t="s">
        <v>2665</v>
      </c>
      <c r="L248" s="71" t="s">
        <v>2821</v>
      </c>
      <c r="M248" s="71" t="s">
        <v>2671</v>
      </c>
      <c r="N248" s="71" t="s">
        <v>3055</v>
      </c>
      <c r="O248" s="71" t="s">
        <v>2640</v>
      </c>
      <c r="P248" s="71" t="s">
        <v>2604</v>
      </c>
      <c r="Q248" s="71" t="s">
        <v>3056</v>
      </c>
      <c r="R248" s="71" t="s">
        <v>2604</v>
      </c>
      <c r="S248" s="71" t="s">
        <v>2604</v>
      </c>
      <c r="T248" s="71" t="s">
        <v>2604</v>
      </c>
      <c r="U248" s="71" t="s">
        <v>2604</v>
      </c>
      <c r="V248" s="71" t="s">
        <v>2635</v>
      </c>
    </row>
    <row r="249" spans="1:22">
      <c r="A249" s="71" t="s">
        <v>2659</v>
      </c>
      <c r="B249" s="71" t="s">
        <v>2646</v>
      </c>
      <c r="C249" s="72">
        <v>45828.610380902777</v>
      </c>
      <c r="D249" s="72">
        <v>45828.610380902777</v>
      </c>
      <c r="E249" s="71" t="s">
        <v>365</v>
      </c>
      <c r="F249" s="71" t="s">
        <v>527</v>
      </c>
      <c r="G249" s="71" t="s">
        <v>528</v>
      </c>
      <c r="H249" s="71" t="s">
        <v>526</v>
      </c>
      <c r="I249" s="71" t="s">
        <v>2604</v>
      </c>
      <c r="J249" s="71" t="s">
        <v>744</v>
      </c>
      <c r="K249" s="71" t="s">
        <v>2665</v>
      </c>
      <c r="L249" s="71" t="s">
        <v>2821</v>
      </c>
      <c r="M249" s="71" t="s">
        <v>2671</v>
      </c>
      <c r="N249" s="71" t="s">
        <v>3057</v>
      </c>
      <c r="O249" s="71" t="s">
        <v>2692</v>
      </c>
      <c r="P249" s="71" t="s">
        <v>2604</v>
      </c>
      <c r="Q249" s="71" t="s">
        <v>3058</v>
      </c>
      <c r="R249" s="71" t="s">
        <v>2604</v>
      </c>
      <c r="S249" s="71" t="s">
        <v>2604</v>
      </c>
      <c r="T249" s="71" t="s">
        <v>2604</v>
      </c>
      <c r="U249" s="71" t="s">
        <v>2604</v>
      </c>
      <c r="V249" s="71" t="s">
        <v>2604</v>
      </c>
    </row>
    <row r="250" spans="1:22">
      <c r="A250" s="71" t="s">
        <v>2659</v>
      </c>
      <c r="B250" s="71" t="s">
        <v>56</v>
      </c>
      <c r="C250" s="72">
        <v>45919.374421539353</v>
      </c>
      <c r="D250" s="72">
        <v>45919.374421539353</v>
      </c>
      <c r="E250" s="71" t="s">
        <v>365</v>
      </c>
      <c r="F250" s="71" t="s">
        <v>818</v>
      </c>
      <c r="G250" s="71" t="s">
        <v>819</v>
      </c>
      <c r="H250" s="71" t="s">
        <v>817</v>
      </c>
      <c r="I250" s="71" t="s">
        <v>2604</v>
      </c>
      <c r="J250" s="71" t="s">
        <v>774</v>
      </c>
      <c r="K250" s="71" t="s">
        <v>2670</v>
      </c>
      <c r="L250" s="71" t="s">
        <v>2604</v>
      </c>
      <c r="M250" s="71" t="s">
        <v>2671</v>
      </c>
      <c r="N250" s="71" t="s">
        <v>2684</v>
      </c>
      <c r="O250" s="71" t="s">
        <v>2640</v>
      </c>
      <c r="P250" s="71" t="s">
        <v>2604</v>
      </c>
      <c r="Q250" s="71" t="s">
        <v>2685</v>
      </c>
      <c r="R250" s="71" t="s">
        <v>2604</v>
      </c>
      <c r="S250" s="71" t="s">
        <v>2604</v>
      </c>
      <c r="T250" s="71" t="s">
        <v>2604</v>
      </c>
      <c r="U250" s="71" t="s">
        <v>2604</v>
      </c>
      <c r="V250" s="71" t="s">
        <v>2604</v>
      </c>
    </row>
    <row r="251" spans="1:22">
      <c r="A251" s="71" t="s">
        <v>2659</v>
      </c>
      <c r="B251" s="71" t="s">
        <v>84</v>
      </c>
      <c r="C251" s="72">
        <v>45988.516852824076</v>
      </c>
      <c r="D251" s="72">
        <v>45988.516852824076</v>
      </c>
      <c r="E251" s="71" t="s">
        <v>365</v>
      </c>
      <c r="F251" s="71" t="s">
        <v>924</v>
      </c>
      <c r="G251" s="71" t="s">
        <v>973</v>
      </c>
      <c r="H251" s="71" t="s">
        <v>972</v>
      </c>
      <c r="I251" s="71" t="s">
        <v>2604</v>
      </c>
      <c r="J251" s="71" t="s">
        <v>744</v>
      </c>
      <c r="K251" s="71" t="s">
        <v>2665</v>
      </c>
      <c r="L251" s="71" t="s">
        <v>2666</v>
      </c>
      <c r="M251" s="71" t="s">
        <v>2671</v>
      </c>
      <c r="N251" s="71" t="s">
        <v>3059</v>
      </c>
      <c r="O251" s="71" t="s">
        <v>2640</v>
      </c>
      <c r="P251" s="71" t="s">
        <v>2604</v>
      </c>
      <c r="Q251" s="71" t="s">
        <v>3060</v>
      </c>
      <c r="R251" s="71" t="s">
        <v>2604</v>
      </c>
      <c r="S251" s="71" t="s">
        <v>2604</v>
      </c>
      <c r="T251" s="71" t="s">
        <v>2604</v>
      </c>
      <c r="U251" s="71" t="s">
        <v>2604</v>
      </c>
      <c r="V251" s="71" t="s">
        <v>2604</v>
      </c>
    </row>
    <row r="252" spans="1:22">
      <c r="A252" s="71" t="s">
        <v>2659</v>
      </c>
      <c r="B252" s="71" t="s">
        <v>84</v>
      </c>
      <c r="C252" s="72">
        <v>45895.283172662035</v>
      </c>
      <c r="D252" s="72">
        <v>45895.283172662035</v>
      </c>
      <c r="E252" s="71" t="s">
        <v>365</v>
      </c>
      <c r="F252" s="71" t="s">
        <v>734</v>
      </c>
      <c r="G252" s="71" t="s">
        <v>735</v>
      </c>
      <c r="H252" s="71" t="s">
        <v>733</v>
      </c>
      <c r="I252" s="71" t="s">
        <v>2604</v>
      </c>
      <c r="J252" s="71" t="s">
        <v>744</v>
      </c>
      <c r="K252" s="71" t="s">
        <v>2665</v>
      </c>
      <c r="L252" s="71" t="s">
        <v>2666</v>
      </c>
      <c r="M252" s="71" t="s">
        <v>2671</v>
      </c>
      <c r="N252" s="71" t="s">
        <v>2928</v>
      </c>
      <c r="O252" s="71" t="s">
        <v>2640</v>
      </c>
      <c r="P252" s="71" t="s">
        <v>2604</v>
      </c>
      <c r="Q252" s="71" t="s">
        <v>3061</v>
      </c>
      <c r="R252" s="71" t="s">
        <v>2604</v>
      </c>
      <c r="S252" s="71" t="s">
        <v>2604</v>
      </c>
      <c r="T252" s="71" t="s">
        <v>2604</v>
      </c>
      <c r="U252" s="71" t="s">
        <v>2604</v>
      </c>
      <c r="V252" s="71" t="s">
        <v>2604</v>
      </c>
    </row>
    <row r="253" spans="1:22">
      <c r="A253" s="71" t="s">
        <v>2659</v>
      </c>
      <c r="B253" s="71" t="s">
        <v>56</v>
      </c>
      <c r="C253" s="72">
        <v>45854.417784583333</v>
      </c>
      <c r="D253" s="72">
        <v>45854.417784583333</v>
      </c>
      <c r="E253" s="71" t="s">
        <v>380</v>
      </c>
      <c r="F253" s="71" t="s">
        <v>3062</v>
      </c>
      <c r="G253" s="71" t="s">
        <v>3063</v>
      </c>
      <c r="H253" s="71" t="s">
        <v>565</v>
      </c>
      <c r="I253" s="71" t="s">
        <v>2604</v>
      </c>
      <c r="J253" s="71" t="s">
        <v>774</v>
      </c>
      <c r="K253" s="71" t="s">
        <v>2670</v>
      </c>
      <c r="L253" s="71" t="s">
        <v>2604</v>
      </c>
      <c r="M253" s="71" t="s">
        <v>2671</v>
      </c>
      <c r="N253" s="71" t="s">
        <v>3064</v>
      </c>
      <c r="O253" s="71" t="s">
        <v>2640</v>
      </c>
      <c r="P253" s="71" t="s">
        <v>2604</v>
      </c>
      <c r="Q253" s="71" t="s">
        <v>3065</v>
      </c>
      <c r="R253" s="71" t="s">
        <v>2604</v>
      </c>
      <c r="S253" s="71" t="s">
        <v>2604</v>
      </c>
      <c r="T253" s="71" t="s">
        <v>2604</v>
      </c>
      <c r="U253" s="71" t="s">
        <v>2604</v>
      </c>
      <c r="V253" s="71" t="s">
        <v>2604</v>
      </c>
    </row>
    <row r="254" spans="1:22">
      <c r="A254" s="71" t="s">
        <v>2659</v>
      </c>
      <c r="B254" s="71" t="s">
        <v>56</v>
      </c>
      <c r="C254" s="72">
        <v>45929.670792592595</v>
      </c>
      <c r="D254" s="72">
        <v>45929.670792592595</v>
      </c>
      <c r="E254" s="71" t="s">
        <v>365</v>
      </c>
      <c r="F254" s="71" t="s">
        <v>1011</v>
      </c>
      <c r="G254" s="71" t="s">
        <v>1012</v>
      </c>
      <c r="H254" s="71" t="s">
        <v>1010</v>
      </c>
      <c r="I254" s="71" t="s">
        <v>2604</v>
      </c>
      <c r="J254" s="71" t="s">
        <v>774</v>
      </c>
      <c r="K254" s="71" t="s">
        <v>2779</v>
      </c>
      <c r="L254" s="71" t="s">
        <v>2604</v>
      </c>
      <c r="M254" s="71" t="s">
        <v>2774</v>
      </c>
      <c r="N254" s="71" t="s">
        <v>2780</v>
      </c>
      <c r="O254" s="71" t="s">
        <v>2640</v>
      </c>
      <c r="P254" s="71" t="s">
        <v>2604</v>
      </c>
      <c r="Q254" s="71" t="s">
        <v>2781</v>
      </c>
      <c r="R254" s="71" t="s">
        <v>2604</v>
      </c>
      <c r="S254" s="71" t="s">
        <v>2604</v>
      </c>
      <c r="T254" s="71" t="s">
        <v>2604</v>
      </c>
      <c r="U254" s="71" t="s">
        <v>2604</v>
      </c>
      <c r="V254" s="71" t="s">
        <v>2664</v>
      </c>
    </row>
    <row r="255" spans="1:22">
      <c r="A255" s="71" t="s">
        <v>2659</v>
      </c>
      <c r="B255" s="71" t="s">
        <v>2646</v>
      </c>
      <c r="C255" s="72">
        <v>45771.491537928239</v>
      </c>
      <c r="D255" s="72">
        <v>45771.491537928239</v>
      </c>
      <c r="E255" s="71" t="s">
        <v>2604</v>
      </c>
      <c r="F255" s="71" t="s">
        <v>61</v>
      </c>
      <c r="G255" s="71" t="s">
        <v>62</v>
      </c>
      <c r="H255" s="71" t="s">
        <v>60</v>
      </c>
      <c r="I255" s="71" t="s">
        <v>2604</v>
      </c>
      <c r="J255" s="71" t="s">
        <v>774</v>
      </c>
      <c r="K255" s="71" t="s">
        <v>3026</v>
      </c>
      <c r="L255" s="71" t="s">
        <v>2604</v>
      </c>
      <c r="M255" s="71" t="s">
        <v>3066</v>
      </c>
      <c r="N255" s="71" t="s">
        <v>3066</v>
      </c>
      <c r="O255" s="71" t="s">
        <v>2692</v>
      </c>
      <c r="P255" s="71" t="s">
        <v>2604</v>
      </c>
      <c r="Q255" s="71" t="s">
        <v>3067</v>
      </c>
      <c r="R255" s="71" t="s">
        <v>2604</v>
      </c>
      <c r="S255" s="71" t="s">
        <v>2604</v>
      </c>
      <c r="T255" s="71" t="s">
        <v>2604</v>
      </c>
      <c r="U255" s="71" t="s">
        <v>2604</v>
      </c>
      <c r="V255" s="71" t="s">
        <v>2655</v>
      </c>
    </row>
    <row r="256" spans="1:22">
      <c r="A256" s="71" t="s">
        <v>2659</v>
      </c>
      <c r="B256" s="71" t="s">
        <v>84</v>
      </c>
      <c r="C256" s="72">
        <v>45927.823777673613</v>
      </c>
      <c r="D256" s="72">
        <v>45927.823777673613</v>
      </c>
      <c r="E256" s="71" t="s">
        <v>365</v>
      </c>
      <c r="F256" s="71" t="s">
        <v>846</v>
      </c>
      <c r="G256" s="71" t="s">
        <v>3068</v>
      </c>
      <c r="H256" s="71" t="s">
        <v>845</v>
      </c>
      <c r="I256" s="71" t="s">
        <v>2604</v>
      </c>
      <c r="J256" s="71" t="s">
        <v>769</v>
      </c>
      <c r="K256" s="71" t="s">
        <v>2773</v>
      </c>
      <c r="L256" s="71" t="s">
        <v>2670</v>
      </c>
      <c r="M256" s="71" t="s">
        <v>2638</v>
      </c>
      <c r="N256" s="71" t="s">
        <v>3069</v>
      </c>
      <c r="O256" s="71" t="s">
        <v>2640</v>
      </c>
      <c r="P256" s="71" t="s">
        <v>2604</v>
      </c>
      <c r="Q256" s="71" t="s">
        <v>3070</v>
      </c>
      <c r="R256" s="71" t="s">
        <v>2604</v>
      </c>
      <c r="S256" s="71" t="s">
        <v>2604</v>
      </c>
      <c r="T256" s="71" t="s">
        <v>2604</v>
      </c>
      <c r="U256" s="71" t="s">
        <v>2604</v>
      </c>
      <c r="V256" s="71" t="s">
        <v>2635</v>
      </c>
    </row>
    <row r="257" spans="1:22">
      <c r="A257" s="71" t="s">
        <v>2659</v>
      </c>
      <c r="B257" s="71" t="s">
        <v>84</v>
      </c>
      <c r="C257" s="72">
        <v>45877.691919583332</v>
      </c>
      <c r="D257" s="72">
        <v>45877.691919583332</v>
      </c>
      <c r="E257" s="71" t="s">
        <v>365</v>
      </c>
      <c r="F257" s="71" t="s">
        <v>686</v>
      </c>
      <c r="G257" s="71" t="s">
        <v>687</v>
      </c>
      <c r="H257" s="71" t="s">
        <v>685</v>
      </c>
      <c r="I257" s="71" t="s">
        <v>2604</v>
      </c>
      <c r="J257" s="71" t="s">
        <v>752</v>
      </c>
      <c r="K257" s="71" t="s">
        <v>2675</v>
      </c>
      <c r="L257" s="71" t="s">
        <v>2676</v>
      </c>
      <c r="M257" s="71" t="s">
        <v>3071</v>
      </c>
      <c r="N257" s="71" t="s">
        <v>3072</v>
      </c>
      <c r="O257" s="71" t="s">
        <v>2640</v>
      </c>
      <c r="P257" s="71" t="s">
        <v>2604</v>
      </c>
      <c r="Q257" s="71" t="s">
        <v>3073</v>
      </c>
      <c r="R257" s="71" t="s">
        <v>2604</v>
      </c>
      <c r="S257" s="71" t="s">
        <v>2604</v>
      </c>
      <c r="T257" s="71" t="s">
        <v>2604</v>
      </c>
      <c r="U257" s="71" t="s">
        <v>2604</v>
      </c>
      <c r="V257" s="71" t="s">
        <v>2604</v>
      </c>
    </row>
    <row r="258" spans="1:22">
      <c r="A258" s="71" t="s">
        <v>2659</v>
      </c>
      <c r="B258" s="71" t="s">
        <v>56</v>
      </c>
      <c r="C258" s="72">
        <v>45867.58558421296</v>
      </c>
      <c r="D258" s="72">
        <v>45867.58558421296</v>
      </c>
      <c r="E258" s="71" t="s">
        <v>365</v>
      </c>
      <c r="F258" s="71" t="s">
        <v>655</v>
      </c>
      <c r="G258" s="71" t="s">
        <v>656</v>
      </c>
      <c r="H258" s="71" t="s">
        <v>654</v>
      </c>
      <c r="I258" s="71" t="s">
        <v>2604</v>
      </c>
      <c r="J258" s="71" t="s">
        <v>752</v>
      </c>
      <c r="K258" s="71" t="s">
        <v>2680</v>
      </c>
      <c r="L258" s="71" t="s">
        <v>2681</v>
      </c>
      <c r="M258" s="71" t="s">
        <v>2682</v>
      </c>
      <c r="N258" s="71" t="s">
        <v>2682</v>
      </c>
      <c r="O258" s="71" t="s">
        <v>2640</v>
      </c>
      <c r="P258" s="71" t="s">
        <v>2604</v>
      </c>
      <c r="Q258" s="71" t="s">
        <v>2683</v>
      </c>
      <c r="R258" s="71" t="s">
        <v>2604</v>
      </c>
      <c r="S258" s="71" t="s">
        <v>2604</v>
      </c>
      <c r="T258" s="71" t="s">
        <v>2604</v>
      </c>
      <c r="U258" s="71" t="s">
        <v>2604</v>
      </c>
      <c r="V258" s="71" t="s">
        <v>2604</v>
      </c>
    </row>
    <row r="259" spans="1:22">
      <c r="A259" s="71" t="s">
        <v>2659</v>
      </c>
      <c r="B259" s="71" t="s">
        <v>84</v>
      </c>
      <c r="C259" s="72">
        <v>45857.948217002318</v>
      </c>
      <c r="D259" s="72">
        <v>45857.948217002318</v>
      </c>
      <c r="E259" s="71" t="s">
        <v>365</v>
      </c>
      <c r="F259" s="71" t="s">
        <v>602</v>
      </c>
      <c r="G259" s="71" t="s">
        <v>603</v>
      </c>
      <c r="H259" s="71" t="s">
        <v>601</v>
      </c>
      <c r="I259" s="71" t="s">
        <v>2604</v>
      </c>
      <c r="J259" s="71" t="s">
        <v>744</v>
      </c>
      <c r="K259" s="71" t="s">
        <v>2665</v>
      </c>
      <c r="L259" s="71" t="s">
        <v>2666</v>
      </c>
      <c r="M259" s="71" t="s">
        <v>2671</v>
      </c>
      <c r="N259" s="71" t="s">
        <v>3029</v>
      </c>
      <c r="O259" s="71" t="s">
        <v>2640</v>
      </c>
      <c r="P259" s="71" t="s">
        <v>2604</v>
      </c>
      <c r="Q259" s="71" t="s">
        <v>3030</v>
      </c>
      <c r="R259" s="71" t="s">
        <v>2604</v>
      </c>
      <c r="S259" s="71" t="s">
        <v>2604</v>
      </c>
      <c r="T259" s="71" t="s">
        <v>2604</v>
      </c>
      <c r="U259" s="71" t="s">
        <v>2604</v>
      </c>
      <c r="V259" s="71" t="s">
        <v>2635</v>
      </c>
    </row>
    <row r="260" spans="1:22">
      <c r="A260" s="71" t="s">
        <v>2659</v>
      </c>
      <c r="B260" s="71" t="s">
        <v>84</v>
      </c>
      <c r="C260" s="72">
        <v>46008.631939421299</v>
      </c>
      <c r="D260" s="72">
        <v>46008.631939421299</v>
      </c>
      <c r="E260" s="71" t="s">
        <v>365</v>
      </c>
      <c r="F260" s="71" t="s">
        <v>1008</v>
      </c>
      <c r="G260" s="71" t="s">
        <v>1009</v>
      </c>
      <c r="H260" s="71" t="s">
        <v>1007</v>
      </c>
      <c r="I260" s="71" t="s">
        <v>2604</v>
      </c>
      <c r="J260" s="71" t="s">
        <v>774</v>
      </c>
      <c r="K260" s="71" t="s">
        <v>2670</v>
      </c>
      <c r="L260" s="71" t="s">
        <v>2604</v>
      </c>
      <c r="M260" s="71" t="s">
        <v>2671</v>
      </c>
      <c r="N260" s="71" t="s">
        <v>2671</v>
      </c>
      <c r="O260" s="71" t="s">
        <v>2640</v>
      </c>
      <c r="P260" s="71" t="s">
        <v>2604</v>
      </c>
      <c r="Q260" s="71" t="s">
        <v>2820</v>
      </c>
      <c r="R260" s="71" t="s">
        <v>2604</v>
      </c>
      <c r="S260" s="71" t="s">
        <v>2604</v>
      </c>
      <c r="T260" s="71" t="s">
        <v>2604</v>
      </c>
      <c r="U260" s="71" t="s">
        <v>2604</v>
      </c>
      <c r="V260" s="71" t="s">
        <v>2635</v>
      </c>
    </row>
    <row r="261" spans="1:22">
      <c r="A261" s="71" t="s">
        <v>2659</v>
      </c>
      <c r="B261" s="71" t="s">
        <v>56</v>
      </c>
      <c r="C261" s="72">
        <v>45924.816488009259</v>
      </c>
      <c r="D261" s="72">
        <v>45924.816488009259</v>
      </c>
      <c r="E261" s="71" t="s">
        <v>473</v>
      </c>
      <c r="F261" s="71" t="s">
        <v>836</v>
      </c>
      <c r="G261" s="71" t="s">
        <v>3074</v>
      </c>
      <c r="H261" s="71" t="s">
        <v>835</v>
      </c>
      <c r="I261" s="71" t="s">
        <v>2604</v>
      </c>
      <c r="J261" s="71" t="s">
        <v>813</v>
      </c>
      <c r="K261" s="71" t="s">
        <v>2648</v>
      </c>
      <c r="L261" s="71" t="s">
        <v>2649</v>
      </c>
      <c r="M261" s="71" t="s">
        <v>2726</v>
      </c>
      <c r="N261" s="71" t="s">
        <v>2726</v>
      </c>
      <c r="O261" s="71" t="s">
        <v>2640</v>
      </c>
      <c r="P261" s="71" t="s">
        <v>2604</v>
      </c>
      <c r="Q261" s="71" t="s">
        <v>3075</v>
      </c>
      <c r="R261" s="71" t="s">
        <v>2604</v>
      </c>
      <c r="S261" s="71" t="s">
        <v>2604</v>
      </c>
      <c r="T261" s="71" t="s">
        <v>2604</v>
      </c>
      <c r="U261" s="71" t="s">
        <v>2604</v>
      </c>
      <c r="V261" s="71" t="s">
        <v>2604</v>
      </c>
    </row>
    <row r="262" spans="1:22">
      <c r="A262" s="71" t="s">
        <v>2659</v>
      </c>
      <c r="B262" s="71" t="s">
        <v>2646</v>
      </c>
      <c r="C262" s="72">
        <v>45770.572392187503</v>
      </c>
      <c r="D262" s="72">
        <v>45770.572392187503</v>
      </c>
      <c r="E262" s="71" t="s">
        <v>365</v>
      </c>
      <c r="F262" s="71" t="s">
        <v>435</v>
      </c>
      <c r="G262" s="71" t="s">
        <v>436</v>
      </c>
      <c r="H262" s="71" t="s">
        <v>434</v>
      </c>
      <c r="I262" s="71" t="s">
        <v>2604</v>
      </c>
      <c r="J262" s="71" t="s">
        <v>774</v>
      </c>
      <c r="K262" s="71" t="s">
        <v>3026</v>
      </c>
      <c r="L262" s="71" t="s">
        <v>2604</v>
      </c>
      <c r="M262" s="71" t="s">
        <v>3027</v>
      </c>
      <c r="N262" s="71" t="s">
        <v>2671</v>
      </c>
      <c r="O262" s="71" t="s">
        <v>2692</v>
      </c>
      <c r="P262" s="71" t="s">
        <v>2604</v>
      </c>
      <c r="Q262" s="71" t="s">
        <v>3028</v>
      </c>
      <c r="R262" s="71" t="s">
        <v>2604</v>
      </c>
      <c r="S262" s="71" t="s">
        <v>2604</v>
      </c>
      <c r="T262" s="71" t="s">
        <v>2604</v>
      </c>
      <c r="U262" s="71" t="s">
        <v>2604</v>
      </c>
      <c r="V262" s="71" t="s">
        <v>2604</v>
      </c>
    </row>
    <row r="263" spans="1:22">
      <c r="A263" s="71" t="s">
        <v>2659</v>
      </c>
      <c r="B263" s="71" t="s">
        <v>56</v>
      </c>
      <c r="C263" s="72">
        <v>45853.654062280089</v>
      </c>
      <c r="D263" s="72">
        <v>45853.654062280089</v>
      </c>
      <c r="E263" s="71" t="s">
        <v>365</v>
      </c>
      <c r="F263" s="71" t="s">
        <v>2895</v>
      </c>
      <c r="G263" s="71" t="s">
        <v>564</v>
      </c>
      <c r="H263" s="71" t="s">
        <v>562</v>
      </c>
      <c r="I263" s="71" t="s">
        <v>2604</v>
      </c>
      <c r="J263" s="71" t="s">
        <v>813</v>
      </c>
      <c r="K263" s="71" t="s">
        <v>2648</v>
      </c>
      <c r="L263" s="71" t="s">
        <v>2649</v>
      </c>
      <c r="M263" s="71" t="s">
        <v>2650</v>
      </c>
      <c r="N263" s="71" t="s">
        <v>2896</v>
      </c>
      <c r="O263" s="71" t="s">
        <v>2640</v>
      </c>
      <c r="P263" s="71" t="s">
        <v>2604</v>
      </c>
      <c r="Q263" s="71" t="s">
        <v>2897</v>
      </c>
      <c r="R263" s="71" t="s">
        <v>2604</v>
      </c>
      <c r="S263" s="71" t="s">
        <v>2604</v>
      </c>
      <c r="T263" s="71" t="s">
        <v>2604</v>
      </c>
      <c r="U263" s="71" t="s">
        <v>2604</v>
      </c>
      <c r="V263" s="71" t="s">
        <v>2604</v>
      </c>
    </row>
    <row r="264" spans="1:22">
      <c r="A264" s="71" t="s">
        <v>2659</v>
      </c>
      <c r="B264" s="71" t="s">
        <v>56</v>
      </c>
      <c r="C264" s="72">
        <v>46035.830883530092</v>
      </c>
      <c r="D264" s="72">
        <v>46035.830883530092</v>
      </c>
      <c r="E264" s="71" t="s">
        <v>365</v>
      </c>
      <c r="F264" s="71" t="s">
        <v>3076</v>
      </c>
      <c r="G264" s="71" t="s">
        <v>3077</v>
      </c>
      <c r="H264" s="71" t="s">
        <v>3078</v>
      </c>
      <c r="I264" s="71" t="s">
        <v>2604</v>
      </c>
      <c r="J264" s="71" t="s">
        <v>744</v>
      </c>
      <c r="K264" s="71" t="s">
        <v>2665</v>
      </c>
      <c r="L264" s="71" t="s">
        <v>2666</v>
      </c>
      <c r="M264" s="71" t="s">
        <v>2671</v>
      </c>
      <c r="N264" s="71" t="s">
        <v>3079</v>
      </c>
      <c r="O264" s="71" t="s">
        <v>2640</v>
      </c>
      <c r="P264" s="71" t="s">
        <v>2604</v>
      </c>
      <c r="Q264" s="71" t="s">
        <v>3080</v>
      </c>
      <c r="R264" s="71" t="s">
        <v>2604</v>
      </c>
      <c r="S264" s="71" t="s">
        <v>2604</v>
      </c>
      <c r="T264" s="71" t="s">
        <v>2604</v>
      </c>
      <c r="U264" s="71" t="s">
        <v>2604</v>
      </c>
      <c r="V264" s="71" t="s">
        <v>2604</v>
      </c>
    </row>
    <row r="265" spans="1:22">
      <c r="A265" s="71" t="s">
        <v>2659</v>
      </c>
      <c r="B265" s="71" t="s">
        <v>2646</v>
      </c>
      <c r="C265" s="72">
        <v>45786.463136562503</v>
      </c>
      <c r="D265" s="72">
        <v>45786.463136562503</v>
      </c>
      <c r="E265" s="71" t="s">
        <v>365</v>
      </c>
      <c r="F265" s="71" t="s">
        <v>452</v>
      </c>
      <c r="G265" s="71" t="s">
        <v>453</v>
      </c>
      <c r="H265" s="71" t="s">
        <v>451</v>
      </c>
      <c r="I265" s="71" t="s">
        <v>2604</v>
      </c>
      <c r="J265" s="71" t="s">
        <v>752</v>
      </c>
      <c r="K265" s="71" t="s">
        <v>2723</v>
      </c>
      <c r="L265" s="71" t="s">
        <v>2665</v>
      </c>
      <c r="M265" s="71" t="s">
        <v>2999</v>
      </c>
      <c r="N265" s="71" t="s">
        <v>3000</v>
      </c>
      <c r="O265" s="71" t="s">
        <v>2692</v>
      </c>
      <c r="P265" s="71" t="s">
        <v>2604</v>
      </c>
      <c r="Q265" s="71" t="s">
        <v>3001</v>
      </c>
      <c r="R265" s="71" t="s">
        <v>2604</v>
      </c>
      <c r="S265" s="71" t="s">
        <v>2604</v>
      </c>
      <c r="T265" s="71" t="s">
        <v>2604</v>
      </c>
      <c r="U265" s="71" t="s">
        <v>2604</v>
      </c>
      <c r="V265" s="71" t="s">
        <v>2635</v>
      </c>
    </row>
    <row r="266" spans="1:22">
      <c r="A266" s="71" t="s">
        <v>2659</v>
      </c>
      <c r="B266" s="71" t="s">
        <v>659</v>
      </c>
      <c r="C266" s="72">
        <v>45869.36627111111</v>
      </c>
      <c r="D266" s="72">
        <v>45869.36627111111</v>
      </c>
      <c r="E266" s="71" t="s">
        <v>473</v>
      </c>
      <c r="F266" s="71" t="s">
        <v>2748</v>
      </c>
      <c r="G266" s="71" t="s">
        <v>2749</v>
      </c>
      <c r="H266" s="71" t="s">
        <v>660</v>
      </c>
      <c r="I266" s="71" t="s">
        <v>2604</v>
      </c>
      <c r="J266" s="71" t="s">
        <v>1140</v>
      </c>
      <c r="K266" s="71" t="s">
        <v>2750</v>
      </c>
      <c r="L266" s="71" t="s">
        <v>2604</v>
      </c>
      <c r="M266" s="71" t="s">
        <v>2751</v>
      </c>
      <c r="N266" s="71" t="s">
        <v>2752</v>
      </c>
      <c r="O266" s="71" t="s">
        <v>2640</v>
      </c>
      <c r="P266" s="71" t="s">
        <v>2753</v>
      </c>
      <c r="Q266" s="71" t="s">
        <v>2754</v>
      </c>
      <c r="R266" s="71" t="s">
        <v>2604</v>
      </c>
      <c r="S266" s="71" t="s">
        <v>2604</v>
      </c>
      <c r="T266" s="71" t="s">
        <v>2604</v>
      </c>
      <c r="U266" s="71" t="s">
        <v>2604</v>
      </c>
      <c r="V266" s="71" t="s">
        <v>2655</v>
      </c>
    </row>
    <row r="267" spans="1:22">
      <c r="A267" s="71" t="s">
        <v>2659</v>
      </c>
      <c r="B267" s="71" t="s">
        <v>56</v>
      </c>
      <c r="C267" s="72">
        <v>45867.448190960647</v>
      </c>
      <c r="D267" s="72">
        <v>45867.448190960647</v>
      </c>
      <c r="E267" s="71" t="s">
        <v>365</v>
      </c>
      <c r="F267" s="71" t="s">
        <v>3081</v>
      </c>
      <c r="G267" s="71" t="s">
        <v>653</v>
      </c>
      <c r="H267" s="71" t="s">
        <v>651</v>
      </c>
      <c r="I267" s="71" t="s">
        <v>2604</v>
      </c>
      <c r="J267" s="71" t="s">
        <v>769</v>
      </c>
      <c r="K267" s="71" t="s">
        <v>2773</v>
      </c>
      <c r="L267" s="71" t="s">
        <v>2670</v>
      </c>
      <c r="M267" s="71" t="s">
        <v>2774</v>
      </c>
      <c r="N267" s="71" t="s">
        <v>2638</v>
      </c>
      <c r="O267" s="71" t="s">
        <v>2640</v>
      </c>
      <c r="P267" s="71" t="s">
        <v>2604</v>
      </c>
      <c r="Q267" s="71" t="s">
        <v>3082</v>
      </c>
      <c r="R267" s="71" t="s">
        <v>2604</v>
      </c>
      <c r="S267" s="71" t="s">
        <v>2604</v>
      </c>
      <c r="T267" s="71" t="s">
        <v>2604</v>
      </c>
      <c r="U267" s="71" t="s">
        <v>2604</v>
      </c>
      <c r="V267" s="71" t="s">
        <v>2664</v>
      </c>
    </row>
    <row r="268" spans="1:22">
      <c r="A268" s="71" t="s">
        <v>2659</v>
      </c>
      <c r="B268" s="71" t="s">
        <v>2646</v>
      </c>
      <c r="C268" s="72">
        <v>45799.555150590277</v>
      </c>
      <c r="D268" s="72">
        <v>45799.555150590277</v>
      </c>
      <c r="E268" s="71" t="s">
        <v>365</v>
      </c>
      <c r="F268" s="71" t="s">
        <v>476</v>
      </c>
      <c r="G268" s="71" t="s">
        <v>477</v>
      </c>
      <c r="H268" s="71" t="s">
        <v>475</v>
      </c>
      <c r="I268" s="71" t="s">
        <v>2604</v>
      </c>
      <c r="J268" s="71" t="s">
        <v>752</v>
      </c>
      <c r="K268" s="71" t="s">
        <v>2723</v>
      </c>
      <c r="L268" s="71" t="s">
        <v>2665</v>
      </c>
      <c r="M268" s="71" t="s">
        <v>2941</v>
      </c>
      <c r="N268" s="71" t="s">
        <v>2942</v>
      </c>
      <c r="O268" s="71" t="s">
        <v>2692</v>
      </c>
      <c r="P268" s="71" t="s">
        <v>2604</v>
      </c>
      <c r="Q268" s="71" t="s">
        <v>2943</v>
      </c>
      <c r="R268" s="71" t="s">
        <v>2604</v>
      </c>
      <c r="S268" s="71" t="s">
        <v>2604</v>
      </c>
      <c r="T268" s="71" t="s">
        <v>2604</v>
      </c>
      <c r="U268" s="71" t="s">
        <v>2604</v>
      </c>
      <c r="V268" s="71" t="s">
        <v>2635</v>
      </c>
    </row>
    <row r="269" spans="1:22">
      <c r="A269" s="71" t="s">
        <v>2659</v>
      </c>
      <c r="B269" s="71" t="s">
        <v>2646</v>
      </c>
      <c r="C269" s="72">
        <v>45789.537628229169</v>
      </c>
      <c r="D269" s="72">
        <v>45789.537628229169</v>
      </c>
      <c r="E269" s="71" t="s">
        <v>365</v>
      </c>
      <c r="F269" s="71" t="s">
        <v>461</v>
      </c>
      <c r="G269" s="71" t="s">
        <v>462</v>
      </c>
      <c r="H269" s="71" t="s">
        <v>460</v>
      </c>
      <c r="I269" s="71" t="s">
        <v>2604</v>
      </c>
      <c r="J269" s="71" t="s">
        <v>744</v>
      </c>
      <c r="K269" s="71" t="s">
        <v>2665</v>
      </c>
      <c r="L269" s="71" t="s">
        <v>2666</v>
      </c>
      <c r="M269" s="71" t="s">
        <v>2662</v>
      </c>
      <c r="N269" s="71" t="s">
        <v>2861</v>
      </c>
      <c r="O269" s="71" t="s">
        <v>2692</v>
      </c>
      <c r="P269" s="71" t="s">
        <v>2604</v>
      </c>
      <c r="Q269" s="71" t="s">
        <v>3042</v>
      </c>
      <c r="R269" s="71" t="s">
        <v>2604</v>
      </c>
      <c r="S269" s="71" t="s">
        <v>2604</v>
      </c>
      <c r="T269" s="71" t="s">
        <v>2604</v>
      </c>
      <c r="U269" s="71" t="s">
        <v>2604</v>
      </c>
      <c r="V269" s="71" t="s">
        <v>2635</v>
      </c>
    </row>
    <row r="270" spans="1:22">
      <c r="A270" s="71" t="s">
        <v>2659</v>
      </c>
      <c r="B270" s="71" t="s">
        <v>56</v>
      </c>
      <c r="C270" s="72">
        <v>45980.766797002318</v>
      </c>
      <c r="D270" s="72">
        <v>45980.766797002318</v>
      </c>
      <c r="E270" s="71" t="s">
        <v>365</v>
      </c>
      <c r="F270" s="71" t="s">
        <v>964</v>
      </c>
      <c r="G270" s="71" t="s">
        <v>965</v>
      </c>
      <c r="H270" s="71" t="s">
        <v>963</v>
      </c>
      <c r="I270" s="71" t="s">
        <v>2604</v>
      </c>
      <c r="J270" s="71" t="s">
        <v>752</v>
      </c>
      <c r="K270" s="71" t="s">
        <v>2675</v>
      </c>
      <c r="L270" s="71" t="s">
        <v>2790</v>
      </c>
      <c r="M270" s="71" t="s">
        <v>3083</v>
      </c>
      <c r="N270" s="71" t="s">
        <v>3084</v>
      </c>
      <c r="O270" s="71" t="s">
        <v>2640</v>
      </c>
      <c r="P270" s="71" t="s">
        <v>2604</v>
      </c>
      <c r="Q270" s="71" t="s">
        <v>3085</v>
      </c>
      <c r="R270" s="71" t="s">
        <v>2604</v>
      </c>
      <c r="S270" s="71" t="s">
        <v>2604</v>
      </c>
      <c r="T270" s="71" t="s">
        <v>2604</v>
      </c>
      <c r="U270" s="71" t="s">
        <v>2604</v>
      </c>
      <c r="V270" s="71" t="s">
        <v>2635</v>
      </c>
    </row>
    <row r="271" spans="1:22">
      <c r="A271" s="71" t="s">
        <v>2659</v>
      </c>
      <c r="B271" s="71" t="s">
        <v>56</v>
      </c>
      <c r="C271" s="72">
        <v>45866.354510763886</v>
      </c>
      <c r="D271" s="72">
        <v>45866.354510763886</v>
      </c>
      <c r="E271" s="71" t="s">
        <v>365</v>
      </c>
      <c r="F271" s="71" t="s">
        <v>3086</v>
      </c>
      <c r="G271" s="71" t="s">
        <v>3087</v>
      </c>
      <c r="H271" s="71" t="s">
        <v>638</v>
      </c>
      <c r="I271" s="71" t="s">
        <v>2604</v>
      </c>
      <c r="J271" s="71" t="s">
        <v>774</v>
      </c>
      <c r="K271" s="71" t="s">
        <v>2670</v>
      </c>
      <c r="L271" s="71" t="s">
        <v>2604</v>
      </c>
      <c r="M271" s="71" t="s">
        <v>2671</v>
      </c>
      <c r="N271" s="71" t="s">
        <v>2814</v>
      </c>
      <c r="O271" s="71" t="s">
        <v>2604</v>
      </c>
      <c r="P271" s="71" t="s">
        <v>2604</v>
      </c>
      <c r="Q271" s="71" t="s">
        <v>3088</v>
      </c>
      <c r="R271" s="71" t="s">
        <v>2604</v>
      </c>
      <c r="S271" s="71" t="s">
        <v>2604</v>
      </c>
      <c r="T271" s="71" t="s">
        <v>2604</v>
      </c>
      <c r="U271" s="71" t="s">
        <v>2604</v>
      </c>
      <c r="V271" s="71" t="s">
        <v>2664</v>
      </c>
    </row>
    <row r="272" spans="1:22">
      <c r="A272" s="71" t="s">
        <v>2659</v>
      </c>
      <c r="B272" s="71" t="s">
        <v>56</v>
      </c>
      <c r="C272" s="72">
        <v>45856.440421296298</v>
      </c>
      <c r="D272" s="72">
        <v>45856.440421296298</v>
      </c>
      <c r="E272" s="71" t="s">
        <v>365</v>
      </c>
      <c r="F272" s="71" t="s">
        <v>587</v>
      </c>
      <c r="G272" s="71" t="s">
        <v>588</v>
      </c>
      <c r="H272" s="71" t="s">
        <v>586</v>
      </c>
      <c r="I272" s="71" t="s">
        <v>2604</v>
      </c>
      <c r="J272" s="71" t="s">
        <v>744</v>
      </c>
      <c r="K272" s="71" t="s">
        <v>2665</v>
      </c>
      <c r="L272" s="71" t="s">
        <v>2666</v>
      </c>
      <c r="M272" s="71" t="s">
        <v>2671</v>
      </c>
      <c r="N272" s="71" t="s">
        <v>2916</v>
      </c>
      <c r="O272" s="71" t="s">
        <v>2640</v>
      </c>
      <c r="P272" s="71" t="s">
        <v>2604</v>
      </c>
      <c r="Q272" s="71" t="s">
        <v>2917</v>
      </c>
      <c r="R272" s="71" t="s">
        <v>2604</v>
      </c>
      <c r="S272" s="71" t="s">
        <v>2604</v>
      </c>
      <c r="T272" s="71" t="s">
        <v>2604</v>
      </c>
      <c r="U272" s="71" t="s">
        <v>2604</v>
      </c>
      <c r="V272" s="71" t="s">
        <v>2664</v>
      </c>
    </row>
    <row r="273" spans="1:22">
      <c r="A273" s="71" t="s">
        <v>2659</v>
      </c>
      <c r="B273" s="71" t="s">
        <v>56</v>
      </c>
      <c r="C273" s="72">
        <v>46063.500558206018</v>
      </c>
      <c r="D273" s="72">
        <v>46063.500558206018</v>
      </c>
      <c r="E273" s="71" t="s">
        <v>365</v>
      </c>
      <c r="F273" s="71" t="s">
        <v>1090</v>
      </c>
      <c r="G273" s="71" t="s">
        <v>1091</v>
      </c>
      <c r="H273" s="71" t="s">
        <v>1089</v>
      </c>
      <c r="I273" s="71" t="s">
        <v>2604</v>
      </c>
      <c r="J273" s="71" t="s">
        <v>752</v>
      </c>
      <c r="K273" s="71" t="s">
        <v>2675</v>
      </c>
      <c r="L273" s="71" t="s">
        <v>2790</v>
      </c>
      <c r="M273" s="71" t="s">
        <v>2954</v>
      </c>
      <c r="N273" s="71" t="s">
        <v>2955</v>
      </c>
      <c r="O273" s="71" t="s">
        <v>2640</v>
      </c>
      <c r="P273" s="71" t="s">
        <v>2604</v>
      </c>
      <c r="Q273" s="71" t="s">
        <v>2956</v>
      </c>
      <c r="R273" s="71" t="s">
        <v>2604</v>
      </c>
      <c r="S273" s="71" t="s">
        <v>2604</v>
      </c>
      <c r="T273" s="71" t="s">
        <v>2604</v>
      </c>
      <c r="U273" s="71" t="s">
        <v>2604</v>
      </c>
      <c r="V273" s="71" t="s">
        <v>2635</v>
      </c>
    </row>
    <row r="274" spans="1:22">
      <c r="A274" s="71" t="s">
        <v>2659</v>
      </c>
      <c r="B274" s="71" t="s">
        <v>56</v>
      </c>
      <c r="C274" s="72">
        <v>46001.45137077546</v>
      </c>
      <c r="D274" s="72">
        <v>46001.45137077546</v>
      </c>
      <c r="E274" s="71" t="s">
        <v>135</v>
      </c>
      <c r="F274" s="71" t="s">
        <v>995</v>
      </c>
      <c r="G274" s="71" t="s">
        <v>3089</v>
      </c>
      <c r="H274" s="71" t="s">
        <v>994</v>
      </c>
      <c r="I274" s="71" t="s">
        <v>2604</v>
      </c>
      <c r="J274" s="71" t="s">
        <v>752</v>
      </c>
      <c r="K274" s="71" t="s">
        <v>2675</v>
      </c>
      <c r="L274" s="71" t="s">
        <v>2790</v>
      </c>
      <c r="M274" s="71" t="s">
        <v>3090</v>
      </c>
      <c r="N274" s="71" t="s">
        <v>3090</v>
      </c>
      <c r="O274" s="71" t="s">
        <v>2640</v>
      </c>
      <c r="P274" s="71" t="s">
        <v>2604</v>
      </c>
      <c r="Q274" s="71" t="s">
        <v>3091</v>
      </c>
      <c r="R274" s="71" t="s">
        <v>2604</v>
      </c>
      <c r="S274" s="71" t="s">
        <v>2604</v>
      </c>
      <c r="T274" s="71" t="s">
        <v>2604</v>
      </c>
      <c r="U274" s="71" t="s">
        <v>2604</v>
      </c>
      <c r="V274" s="71" t="s">
        <v>2664</v>
      </c>
    </row>
    <row r="275" spans="1:22">
      <c r="A275" s="71" t="s">
        <v>2659</v>
      </c>
      <c r="B275" s="71" t="s">
        <v>84</v>
      </c>
      <c r="C275" s="72">
        <v>46034.720544594908</v>
      </c>
      <c r="D275" s="72">
        <v>46034.720544594908</v>
      </c>
      <c r="E275" s="71" t="s">
        <v>365</v>
      </c>
      <c r="F275" s="71" t="s">
        <v>1043</v>
      </c>
      <c r="G275" s="71" t="s">
        <v>1044</v>
      </c>
      <c r="H275" s="71" t="s">
        <v>1042</v>
      </c>
      <c r="I275" s="71" t="s">
        <v>2604</v>
      </c>
      <c r="J275" s="71" t="s">
        <v>769</v>
      </c>
      <c r="K275" s="71" t="s">
        <v>3092</v>
      </c>
      <c r="L275" s="71" t="s">
        <v>3093</v>
      </c>
      <c r="M275" s="71" t="s">
        <v>2671</v>
      </c>
      <c r="N275" s="71" t="s">
        <v>3094</v>
      </c>
      <c r="O275" s="71" t="s">
        <v>2640</v>
      </c>
      <c r="P275" s="71" t="s">
        <v>2604</v>
      </c>
      <c r="Q275" s="71" t="s">
        <v>3095</v>
      </c>
      <c r="R275" s="71" t="s">
        <v>2604</v>
      </c>
      <c r="S275" s="71" t="s">
        <v>2604</v>
      </c>
      <c r="T275" s="71" t="s">
        <v>2604</v>
      </c>
      <c r="U275" s="71" t="s">
        <v>2604</v>
      </c>
      <c r="V275" s="71" t="s">
        <v>2635</v>
      </c>
    </row>
    <row r="276" spans="1:22">
      <c r="A276" s="71" t="s">
        <v>2659</v>
      </c>
      <c r="B276" s="71" t="s">
        <v>2646</v>
      </c>
      <c r="C276" s="72">
        <v>45828.610380902777</v>
      </c>
      <c r="D276" s="72">
        <v>45828.610380902777</v>
      </c>
      <c r="E276" s="71" t="s">
        <v>365</v>
      </c>
      <c r="F276" s="71" t="s">
        <v>527</v>
      </c>
      <c r="G276" s="71" t="s">
        <v>528</v>
      </c>
      <c r="H276" s="71" t="s">
        <v>526</v>
      </c>
      <c r="I276" s="71" t="s">
        <v>2604</v>
      </c>
      <c r="J276" s="71" t="s">
        <v>744</v>
      </c>
      <c r="K276" s="71" t="s">
        <v>2665</v>
      </c>
      <c r="L276" s="71" t="s">
        <v>2821</v>
      </c>
      <c r="M276" s="71" t="s">
        <v>2671</v>
      </c>
      <c r="N276" s="71" t="s">
        <v>3057</v>
      </c>
      <c r="O276" s="71" t="s">
        <v>2692</v>
      </c>
      <c r="P276" s="71" t="s">
        <v>2604</v>
      </c>
      <c r="Q276" s="71" t="s">
        <v>3058</v>
      </c>
      <c r="R276" s="71" t="s">
        <v>2604</v>
      </c>
      <c r="S276" s="71" t="s">
        <v>2604</v>
      </c>
      <c r="T276" s="71" t="s">
        <v>2604</v>
      </c>
      <c r="U276" s="71" t="s">
        <v>2604</v>
      </c>
      <c r="V276" s="71" t="s">
        <v>2655</v>
      </c>
    </row>
    <row r="277" spans="1:22">
      <c r="A277" s="71" t="s">
        <v>2659</v>
      </c>
      <c r="B277" s="71" t="s">
        <v>56</v>
      </c>
      <c r="C277" s="72">
        <v>45978.813276423614</v>
      </c>
      <c r="D277" s="72">
        <v>45978.813276423614</v>
      </c>
      <c r="E277" s="71" t="s">
        <v>365</v>
      </c>
      <c r="F277" s="71" t="s">
        <v>958</v>
      </c>
      <c r="G277" s="71" t="s">
        <v>959</v>
      </c>
      <c r="H277" s="71" t="s">
        <v>957</v>
      </c>
      <c r="I277" s="71" t="s">
        <v>2604</v>
      </c>
      <c r="J277" s="71" t="s">
        <v>774</v>
      </c>
      <c r="K277" s="71" t="s">
        <v>2779</v>
      </c>
      <c r="L277" s="71" t="s">
        <v>2604</v>
      </c>
      <c r="M277" s="71" t="s">
        <v>3008</v>
      </c>
      <c r="N277" s="71" t="s">
        <v>3008</v>
      </c>
      <c r="O277" s="71" t="s">
        <v>2640</v>
      </c>
      <c r="P277" s="71" t="s">
        <v>2604</v>
      </c>
      <c r="Q277" s="71" t="s">
        <v>3009</v>
      </c>
      <c r="R277" s="71" t="s">
        <v>2604</v>
      </c>
      <c r="S277" s="71" t="s">
        <v>2604</v>
      </c>
      <c r="T277" s="71" t="s">
        <v>2604</v>
      </c>
      <c r="U277" s="71" t="s">
        <v>2604</v>
      </c>
      <c r="V277" s="71" t="s">
        <v>2635</v>
      </c>
    </row>
    <row r="278" spans="1:22">
      <c r="A278" s="71" t="s">
        <v>2659</v>
      </c>
      <c r="B278" s="71" t="s">
        <v>84</v>
      </c>
      <c r="C278" s="72">
        <v>45880.946822893522</v>
      </c>
      <c r="D278" s="72">
        <v>45880.946822893522</v>
      </c>
      <c r="E278" s="71" t="s">
        <v>365</v>
      </c>
      <c r="F278" s="71" t="s">
        <v>692</v>
      </c>
      <c r="G278" s="71" t="s">
        <v>693</v>
      </c>
      <c r="H278" s="71" t="s">
        <v>691</v>
      </c>
      <c r="I278" s="71" t="s">
        <v>2604</v>
      </c>
      <c r="J278" s="71" t="s">
        <v>744</v>
      </c>
      <c r="K278" s="71" t="s">
        <v>2665</v>
      </c>
      <c r="L278" s="71" t="s">
        <v>2704</v>
      </c>
      <c r="M278" s="71" t="s">
        <v>2671</v>
      </c>
      <c r="N278" s="71" t="s">
        <v>3096</v>
      </c>
      <c r="O278" s="71" t="s">
        <v>2640</v>
      </c>
      <c r="P278" s="71" t="s">
        <v>2604</v>
      </c>
      <c r="Q278" s="71" t="s">
        <v>3097</v>
      </c>
      <c r="R278" s="71" t="s">
        <v>2604</v>
      </c>
      <c r="S278" s="71" t="s">
        <v>2604</v>
      </c>
      <c r="T278" s="71" t="s">
        <v>2604</v>
      </c>
      <c r="U278" s="71" t="s">
        <v>2604</v>
      </c>
      <c r="V278" s="71" t="s">
        <v>2635</v>
      </c>
    </row>
    <row r="279" spans="1:22">
      <c r="A279" s="71" t="s">
        <v>2659</v>
      </c>
      <c r="B279" s="71" t="s">
        <v>724</v>
      </c>
      <c r="C279" s="72">
        <v>46006.479755208333</v>
      </c>
      <c r="D279" s="72">
        <v>46006.479755208333</v>
      </c>
      <c r="E279" s="71" t="s">
        <v>365</v>
      </c>
      <c r="F279" s="71" t="s">
        <v>1000</v>
      </c>
      <c r="G279" s="71" t="s">
        <v>3098</v>
      </c>
      <c r="H279" s="71" t="s">
        <v>999</v>
      </c>
      <c r="I279" s="71" t="s">
        <v>2604</v>
      </c>
      <c r="J279" s="71" t="s">
        <v>774</v>
      </c>
      <c r="K279" s="71" t="s">
        <v>2670</v>
      </c>
      <c r="L279" s="71" t="s">
        <v>2604</v>
      </c>
      <c r="M279" s="71" t="s">
        <v>2671</v>
      </c>
      <c r="N279" s="71" t="s">
        <v>3099</v>
      </c>
      <c r="O279" s="71" t="s">
        <v>2640</v>
      </c>
      <c r="P279" s="71" t="s">
        <v>2604</v>
      </c>
      <c r="Q279" s="71" t="s">
        <v>3100</v>
      </c>
      <c r="R279" s="71" t="s">
        <v>2604</v>
      </c>
      <c r="S279" s="71" t="s">
        <v>2604</v>
      </c>
      <c r="T279" s="71" t="s">
        <v>2604</v>
      </c>
      <c r="U279" s="71" t="s">
        <v>2604</v>
      </c>
      <c r="V279" s="71" t="s">
        <v>2664</v>
      </c>
    </row>
    <row r="280" spans="1:22">
      <c r="A280" s="71" t="s">
        <v>2659</v>
      </c>
      <c r="B280" s="71" t="s">
        <v>84</v>
      </c>
      <c r="C280" s="72">
        <v>45858.762261157404</v>
      </c>
      <c r="D280" s="72">
        <v>45858.762261157404</v>
      </c>
      <c r="E280" s="71" t="s">
        <v>365</v>
      </c>
      <c r="F280" s="71" t="s">
        <v>605</v>
      </c>
      <c r="G280" s="71" t="s">
        <v>606</v>
      </c>
      <c r="H280" s="71" t="s">
        <v>604</v>
      </c>
      <c r="I280" s="71" t="s">
        <v>2604</v>
      </c>
      <c r="J280" s="71" t="s">
        <v>774</v>
      </c>
      <c r="K280" s="71" t="s">
        <v>2670</v>
      </c>
      <c r="L280" s="71" t="s">
        <v>2604</v>
      </c>
      <c r="M280" s="71" t="s">
        <v>2671</v>
      </c>
      <c r="N280" s="71" t="s">
        <v>3010</v>
      </c>
      <c r="O280" s="71" t="s">
        <v>2640</v>
      </c>
      <c r="P280" s="71" t="s">
        <v>2604</v>
      </c>
      <c r="Q280" s="71" t="s">
        <v>3011</v>
      </c>
      <c r="R280" s="71" t="s">
        <v>2604</v>
      </c>
      <c r="S280" s="71" t="s">
        <v>2604</v>
      </c>
      <c r="T280" s="71" t="s">
        <v>2604</v>
      </c>
      <c r="U280" s="71" t="s">
        <v>2604</v>
      </c>
      <c r="V280" s="71" t="s">
        <v>2635</v>
      </c>
    </row>
    <row r="281" spans="1:22">
      <c r="A281" s="71" t="s">
        <v>2659</v>
      </c>
      <c r="B281" s="71" t="s">
        <v>724</v>
      </c>
      <c r="C281" s="72">
        <v>46031.361862442129</v>
      </c>
      <c r="D281" s="72">
        <v>46031.361862442129</v>
      </c>
      <c r="E281" s="71" t="s">
        <v>365</v>
      </c>
      <c r="F281" s="71" t="s">
        <v>1033</v>
      </c>
      <c r="G281" s="71" t="s">
        <v>1034</v>
      </c>
      <c r="H281" s="71" t="s">
        <v>1032</v>
      </c>
      <c r="I281" s="71" t="s">
        <v>2604</v>
      </c>
      <c r="J281" s="71" t="s">
        <v>752</v>
      </c>
      <c r="K281" s="71" t="s">
        <v>2675</v>
      </c>
      <c r="L281" s="71" t="s">
        <v>2712</v>
      </c>
      <c r="M281" s="71" t="s">
        <v>3021</v>
      </c>
      <c r="N281" s="71" t="s">
        <v>3022</v>
      </c>
      <c r="O281" s="71" t="s">
        <v>2640</v>
      </c>
      <c r="P281" s="71" t="s">
        <v>2604</v>
      </c>
      <c r="Q281" s="71" t="s">
        <v>3023</v>
      </c>
      <c r="R281" s="71" t="s">
        <v>2604</v>
      </c>
      <c r="S281" s="71" t="s">
        <v>2604</v>
      </c>
      <c r="T281" s="71" t="s">
        <v>2604</v>
      </c>
      <c r="U281" s="71" t="s">
        <v>2604</v>
      </c>
      <c r="V281" s="71" t="s">
        <v>2635</v>
      </c>
    </row>
    <row r="282" spans="1:22">
      <c r="A282" s="71" t="s">
        <v>2659</v>
      </c>
      <c r="B282" s="71" t="s">
        <v>84</v>
      </c>
      <c r="C282" s="72">
        <v>45927.823777673613</v>
      </c>
      <c r="D282" s="72">
        <v>45927.823777673613</v>
      </c>
      <c r="E282" s="71" t="s">
        <v>365</v>
      </c>
      <c r="F282" s="71" t="s">
        <v>846</v>
      </c>
      <c r="G282" s="71" t="s">
        <v>3068</v>
      </c>
      <c r="H282" s="71" t="s">
        <v>845</v>
      </c>
      <c r="I282" s="71" t="s">
        <v>2604</v>
      </c>
      <c r="J282" s="71" t="s">
        <v>769</v>
      </c>
      <c r="K282" s="71" t="s">
        <v>2773</v>
      </c>
      <c r="L282" s="71" t="s">
        <v>2670</v>
      </c>
      <c r="M282" s="71" t="s">
        <v>2638</v>
      </c>
      <c r="N282" s="71" t="s">
        <v>3069</v>
      </c>
      <c r="O282" s="71" t="s">
        <v>2640</v>
      </c>
      <c r="P282" s="71" t="s">
        <v>2604</v>
      </c>
      <c r="Q282" s="71" t="s">
        <v>3070</v>
      </c>
      <c r="R282" s="71" t="s">
        <v>2604</v>
      </c>
      <c r="S282" s="71" t="s">
        <v>2604</v>
      </c>
      <c r="T282" s="71" t="s">
        <v>2604</v>
      </c>
      <c r="U282" s="71" t="s">
        <v>2604</v>
      </c>
      <c r="V282" s="71" t="s">
        <v>2664</v>
      </c>
    </row>
    <row r="283" spans="1:22">
      <c r="A283" s="71" t="s">
        <v>2659</v>
      </c>
      <c r="B283" s="71" t="s">
        <v>56</v>
      </c>
      <c r="C283" s="72">
        <v>45945.645837546297</v>
      </c>
      <c r="D283" s="72">
        <v>45945.645837546297</v>
      </c>
      <c r="E283" s="71" t="s">
        <v>365</v>
      </c>
      <c r="F283" s="71" t="s">
        <v>882</v>
      </c>
      <c r="G283" s="71" t="s">
        <v>883</v>
      </c>
      <c r="H283" s="71" t="s">
        <v>881</v>
      </c>
      <c r="I283" s="71" t="s">
        <v>2604</v>
      </c>
      <c r="J283" s="71" t="s">
        <v>813</v>
      </c>
      <c r="K283" s="71" t="s">
        <v>2648</v>
      </c>
      <c r="L283" s="71" t="s">
        <v>2649</v>
      </c>
      <c r="M283" s="71" t="s">
        <v>2726</v>
      </c>
      <c r="N283" s="71" t="s">
        <v>2726</v>
      </c>
      <c r="O283" s="71" t="s">
        <v>2640</v>
      </c>
      <c r="P283" s="71" t="s">
        <v>2604</v>
      </c>
      <c r="Q283" s="71" t="s">
        <v>3101</v>
      </c>
      <c r="R283" s="71" t="s">
        <v>2604</v>
      </c>
      <c r="S283" s="71" t="s">
        <v>2604</v>
      </c>
      <c r="T283" s="71" t="s">
        <v>2604</v>
      </c>
      <c r="U283" s="71" t="s">
        <v>2604</v>
      </c>
      <c r="V283" s="71" t="s">
        <v>2635</v>
      </c>
    </row>
    <row r="284" spans="1:22">
      <c r="A284" s="71" t="s">
        <v>2659</v>
      </c>
      <c r="B284" s="71" t="s">
        <v>56</v>
      </c>
      <c r="C284" s="72">
        <v>45898.659039814818</v>
      </c>
      <c r="D284" s="72">
        <v>45898.659039814818</v>
      </c>
      <c r="E284" s="71" t="s">
        <v>365</v>
      </c>
      <c r="F284" s="71" t="s">
        <v>750</v>
      </c>
      <c r="G284" s="71" t="s">
        <v>751</v>
      </c>
      <c r="H284" s="71" t="s">
        <v>749</v>
      </c>
      <c r="I284" s="71" t="s">
        <v>2604</v>
      </c>
      <c r="J284" s="71" t="s">
        <v>752</v>
      </c>
      <c r="K284" s="71" t="s">
        <v>2675</v>
      </c>
      <c r="L284" s="71" t="s">
        <v>2676</v>
      </c>
      <c r="M284" s="71" t="s">
        <v>2918</v>
      </c>
      <c r="N284" s="71" t="s">
        <v>2671</v>
      </c>
      <c r="O284" s="71" t="s">
        <v>2640</v>
      </c>
      <c r="P284" s="71" t="s">
        <v>2604</v>
      </c>
      <c r="Q284" s="71" t="s">
        <v>2919</v>
      </c>
      <c r="R284" s="71" t="s">
        <v>2604</v>
      </c>
      <c r="S284" s="71" t="s">
        <v>2604</v>
      </c>
      <c r="T284" s="71" t="s">
        <v>2604</v>
      </c>
      <c r="U284" s="71" t="s">
        <v>2604</v>
      </c>
      <c r="V284" s="71" t="s">
        <v>2635</v>
      </c>
    </row>
    <row r="285" spans="1:22">
      <c r="A285" s="71" t="s">
        <v>2659</v>
      </c>
      <c r="B285" s="71" t="s">
        <v>2646</v>
      </c>
      <c r="C285" s="72">
        <v>45825.547028043984</v>
      </c>
      <c r="D285" s="72">
        <v>45825.547028043984</v>
      </c>
      <c r="E285" s="71" t="s">
        <v>365</v>
      </c>
      <c r="F285" s="71" t="s">
        <v>521</v>
      </c>
      <c r="G285" s="71" t="s">
        <v>522</v>
      </c>
      <c r="H285" s="71" t="s">
        <v>520</v>
      </c>
      <c r="I285" s="71" t="s">
        <v>2604</v>
      </c>
      <c r="J285" s="71" t="s">
        <v>752</v>
      </c>
      <c r="K285" s="71" t="s">
        <v>2723</v>
      </c>
      <c r="L285" s="71" t="s">
        <v>2665</v>
      </c>
      <c r="M285" s="71" t="s">
        <v>3102</v>
      </c>
      <c r="N285" s="71" t="s">
        <v>2814</v>
      </c>
      <c r="O285" s="71" t="s">
        <v>2692</v>
      </c>
      <c r="P285" s="71" t="s">
        <v>2604</v>
      </c>
      <c r="Q285" s="71" t="s">
        <v>3103</v>
      </c>
      <c r="R285" s="71" t="s">
        <v>2604</v>
      </c>
      <c r="S285" s="71" t="s">
        <v>2604</v>
      </c>
      <c r="T285" s="71" t="s">
        <v>2604</v>
      </c>
      <c r="U285" s="71" t="s">
        <v>2604</v>
      </c>
      <c r="V285" s="71" t="s">
        <v>2655</v>
      </c>
    </row>
    <row r="286" spans="1:22">
      <c r="A286" s="71" t="s">
        <v>2659</v>
      </c>
      <c r="B286" s="71" t="s">
        <v>84</v>
      </c>
      <c r="C286" s="72">
        <v>45972.818044050924</v>
      </c>
      <c r="D286" s="72">
        <v>45972.818044050924</v>
      </c>
      <c r="E286" s="71" t="s">
        <v>365</v>
      </c>
      <c r="F286" s="71" t="s">
        <v>932</v>
      </c>
      <c r="G286" s="71" t="s">
        <v>933</v>
      </c>
      <c r="H286" s="71" t="s">
        <v>931</v>
      </c>
      <c r="I286" s="71" t="s">
        <v>2604</v>
      </c>
      <c r="J286" s="71" t="s">
        <v>774</v>
      </c>
      <c r="K286" s="71" t="s">
        <v>2670</v>
      </c>
      <c r="L286" s="71" t="s">
        <v>2604</v>
      </c>
      <c r="M286" s="71" t="s">
        <v>2671</v>
      </c>
      <c r="N286" s="71" t="s">
        <v>2729</v>
      </c>
      <c r="O286" s="71" t="s">
        <v>2640</v>
      </c>
      <c r="P286" s="71" t="s">
        <v>2604</v>
      </c>
      <c r="Q286" s="71" t="s">
        <v>2730</v>
      </c>
      <c r="R286" s="71" t="s">
        <v>2604</v>
      </c>
      <c r="S286" s="71" t="s">
        <v>2604</v>
      </c>
      <c r="T286" s="71" t="s">
        <v>2604</v>
      </c>
      <c r="U286" s="71" t="s">
        <v>2604</v>
      </c>
      <c r="V286" s="71" t="s">
        <v>2604</v>
      </c>
    </row>
    <row r="287" spans="1:22">
      <c r="A287" s="71" t="s">
        <v>2659</v>
      </c>
      <c r="B287" s="71" t="s">
        <v>84</v>
      </c>
      <c r="C287" s="72">
        <v>45916.679223819447</v>
      </c>
      <c r="D287" s="72">
        <v>45916.679223819447</v>
      </c>
      <c r="E287" s="71" t="s">
        <v>365</v>
      </c>
      <c r="F287" s="71" t="s">
        <v>804</v>
      </c>
      <c r="G287" s="71" t="s">
        <v>805</v>
      </c>
      <c r="H287" s="71" t="s">
        <v>803</v>
      </c>
      <c r="I287" s="71" t="s">
        <v>2604</v>
      </c>
      <c r="J287" s="71" t="s">
        <v>752</v>
      </c>
      <c r="K287" s="71" t="s">
        <v>2680</v>
      </c>
      <c r="L287" s="71" t="s">
        <v>2812</v>
      </c>
      <c r="M287" s="71" t="s">
        <v>3104</v>
      </c>
      <c r="N287" s="71" t="s">
        <v>3105</v>
      </c>
      <c r="O287" s="71" t="s">
        <v>2640</v>
      </c>
      <c r="P287" s="71" t="s">
        <v>2604</v>
      </c>
      <c r="Q287" s="71" t="s">
        <v>3106</v>
      </c>
      <c r="R287" s="71" t="s">
        <v>2604</v>
      </c>
      <c r="S287" s="71" t="s">
        <v>2604</v>
      </c>
      <c r="T287" s="71" t="s">
        <v>2604</v>
      </c>
      <c r="U287" s="71" t="s">
        <v>2604</v>
      </c>
      <c r="V287" s="71" t="s">
        <v>2635</v>
      </c>
    </row>
    <row r="288" spans="1:22">
      <c r="A288" s="71" t="s">
        <v>2659</v>
      </c>
      <c r="B288" s="71" t="s">
        <v>659</v>
      </c>
      <c r="C288" s="72">
        <v>45875.704671180552</v>
      </c>
      <c r="D288" s="72">
        <v>45875.704671180552</v>
      </c>
      <c r="E288" s="71" t="s">
        <v>365</v>
      </c>
      <c r="F288" s="71" t="s">
        <v>672</v>
      </c>
      <c r="G288" s="71" t="s">
        <v>673</v>
      </c>
      <c r="H288" s="71" t="s">
        <v>671</v>
      </c>
      <c r="I288" s="71" t="s">
        <v>2604</v>
      </c>
      <c r="J288" s="71" t="s">
        <v>774</v>
      </c>
      <c r="K288" s="71" t="s">
        <v>2670</v>
      </c>
      <c r="L288" s="71" t="s">
        <v>2604</v>
      </c>
      <c r="M288" s="71" t="s">
        <v>2671</v>
      </c>
      <c r="N288" s="71" t="s">
        <v>2992</v>
      </c>
      <c r="O288" s="71" t="s">
        <v>2640</v>
      </c>
      <c r="P288" s="71" t="s">
        <v>2604</v>
      </c>
      <c r="Q288" s="71" t="s">
        <v>2993</v>
      </c>
      <c r="R288" s="71" t="s">
        <v>2604</v>
      </c>
      <c r="S288" s="71" t="s">
        <v>2604</v>
      </c>
      <c r="T288" s="71" t="s">
        <v>2604</v>
      </c>
      <c r="U288" s="71" t="s">
        <v>2604</v>
      </c>
      <c r="V288" s="71" t="s">
        <v>2635</v>
      </c>
    </row>
    <row r="289" spans="1:22">
      <c r="A289" s="71" t="s">
        <v>2659</v>
      </c>
      <c r="B289" s="71" t="s">
        <v>724</v>
      </c>
      <c r="C289" s="72">
        <v>45904.899577129632</v>
      </c>
      <c r="D289" s="72">
        <v>45904.899577129632</v>
      </c>
      <c r="E289" s="71" t="s">
        <v>135</v>
      </c>
      <c r="F289" s="71" t="s">
        <v>776</v>
      </c>
      <c r="G289" s="71" t="s">
        <v>3002</v>
      </c>
      <c r="H289" s="71" t="s">
        <v>775</v>
      </c>
      <c r="I289" s="71" t="s">
        <v>2604</v>
      </c>
      <c r="J289" s="71" t="s">
        <v>744</v>
      </c>
      <c r="K289" s="71" t="s">
        <v>2665</v>
      </c>
      <c r="L289" s="71" t="s">
        <v>2666</v>
      </c>
      <c r="M289" s="71" t="s">
        <v>2671</v>
      </c>
      <c r="N289" s="71" t="s">
        <v>3003</v>
      </c>
      <c r="O289" s="71" t="s">
        <v>2640</v>
      </c>
      <c r="P289" s="71" t="s">
        <v>2604</v>
      </c>
      <c r="Q289" s="71" t="s">
        <v>3004</v>
      </c>
      <c r="R289" s="71" t="s">
        <v>2604</v>
      </c>
      <c r="S289" s="71" t="s">
        <v>2604</v>
      </c>
      <c r="T289" s="71" t="s">
        <v>2604</v>
      </c>
      <c r="U289" s="71" t="s">
        <v>2604</v>
      </c>
      <c r="V289" s="71" t="s">
        <v>2635</v>
      </c>
    </row>
    <row r="290" spans="1:22">
      <c r="A290" s="71" t="s">
        <v>2659</v>
      </c>
      <c r="B290" s="71" t="s">
        <v>84</v>
      </c>
      <c r="C290" s="72">
        <v>45894.527406631947</v>
      </c>
      <c r="D290" s="72">
        <v>45894.527406631947</v>
      </c>
      <c r="E290" s="71" t="s">
        <v>365</v>
      </c>
      <c r="F290" s="71" t="s">
        <v>728</v>
      </c>
      <c r="G290" s="71" t="s">
        <v>729</v>
      </c>
      <c r="H290" s="71" t="s">
        <v>727</v>
      </c>
      <c r="I290" s="71" t="s">
        <v>2604</v>
      </c>
      <c r="J290" s="71" t="s">
        <v>774</v>
      </c>
      <c r="K290" s="71" t="s">
        <v>2670</v>
      </c>
      <c r="L290" s="71" t="s">
        <v>2604</v>
      </c>
      <c r="M290" s="71" t="s">
        <v>2671</v>
      </c>
      <c r="N290" s="71" t="s">
        <v>3107</v>
      </c>
      <c r="O290" s="71" t="s">
        <v>2640</v>
      </c>
      <c r="P290" s="71" t="s">
        <v>2604</v>
      </c>
      <c r="Q290" s="71" t="s">
        <v>3108</v>
      </c>
      <c r="R290" s="71" t="s">
        <v>2604</v>
      </c>
      <c r="S290" s="71" t="s">
        <v>2604</v>
      </c>
      <c r="T290" s="71" t="s">
        <v>2604</v>
      </c>
      <c r="U290" s="71" t="s">
        <v>2604</v>
      </c>
      <c r="V290" s="71" t="s">
        <v>2604</v>
      </c>
    </row>
    <row r="291" spans="1:22">
      <c r="A291" s="71" t="s">
        <v>2659</v>
      </c>
      <c r="B291" s="71" t="s">
        <v>84</v>
      </c>
      <c r="C291" s="72">
        <v>46006.411596863429</v>
      </c>
      <c r="D291" s="72">
        <v>46006.411596863429</v>
      </c>
      <c r="E291" s="71" t="s">
        <v>365</v>
      </c>
      <c r="F291" s="71" t="s">
        <v>998</v>
      </c>
      <c r="G291" s="71" t="s">
        <v>3109</v>
      </c>
      <c r="H291" s="71" t="s">
        <v>997</v>
      </c>
      <c r="I291" s="71" t="s">
        <v>2604</v>
      </c>
      <c r="J291" s="71" t="s">
        <v>744</v>
      </c>
      <c r="K291" s="71" t="s">
        <v>2665</v>
      </c>
      <c r="L291" s="71" t="s">
        <v>2821</v>
      </c>
      <c r="M291" s="71" t="s">
        <v>2671</v>
      </c>
      <c r="N291" s="71" t="s">
        <v>3110</v>
      </c>
      <c r="O291" s="71" t="s">
        <v>2640</v>
      </c>
      <c r="P291" s="71" t="s">
        <v>2604</v>
      </c>
      <c r="Q291" s="71" t="s">
        <v>3111</v>
      </c>
      <c r="R291" s="71" t="s">
        <v>2604</v>
      </c>
      <c r="S291" s="71" t="s">
        <v>2604</v>
      </c>
      <c r="T291" s="71" t="s">
        <v>2604</v>
      </c>
      <c r="U291" s="71" t="s">
        <v>2604</v>
      </c>
      <c r="V291" s="71" t="s">
        <v>2618</v>
      </c>
    </row>
    <row r="292" spans="1:22">
      <c r="A292" s="71" t="s">
        <v>2659</v>
      </c>
      <c r="B292" s="71" t="s">
        <v>2646</v>
      </c>
      <c r="C292" s="72">
        <v>45768.528389826388</v>
      </c>
      <c r="D292" s="72">
        <v>45768.528389826388</v>
      </c>
      <c r="E292" s="71" t="s">
        <v>365</v>
      </c>
      <c r="F292" s="71" t="s">
        <v>429</v>
      </c>
      <c r="G292" s="71" t="s">
        <v>430</v>
      </c>
      <c r="H292" s="71" t="s">
        <v>428</v>
      </c>
      <c r="I292" s="71" t="s">
        <v>2604</v>
      </c>
      <c r="J292" s="71" t="s">
        <v>752</v>
      </c>
      <c r="K292" s="71" t="s">
        <v>2723</v>
      </c>
      <c r="L292" s="71" t="s">
        <v>2665</v>
      </c>
      <c r="M292" s="71" t="s">
        <v>2724</v>
      </c>
      <c r="N292" s="71" t="s">
        <v>2671</v>
      </c>
      <c r="O292" s="71" t="s">
        <v>2692</v>
      </c>
      <c r="P292" s="71" t="s">
        <v>2604</v>
      </c>
      <c r="Q292" s="71" t="s">
        <v>2725</v>
      </c>
      <c r="R292" s="71" t="s">
        <v>2604</v>
      </c>
      <c r="S292" s="71" t="s">
        <v>2604</v>
      </c>
      <c r="T292" s="71" t="s">
        <v>2604</v>
      </c>
      <c r="U292" s="71" t="s">
        <v>2604</v>
      </c>
      <c r="V292" s="71" t="s">
        <v>2635</v>
      </c>
    </row>
    <row r="293" spans="1:22">
      <c r="A293" s="71" t="s">
        <v>2659</v>
      </c>
      <c r="B293" s="71" t="s">
        <v>2646</v>
      </c>
      <c r="C293" s="72">
        <v>45779.342285416664</v>
      </c>
      <c r="D293" s="72">
        <v>45779.342285416664</v>
      </c>
      <c r="E293" s="71" t="s">
        <v>380</v>
      </c>
      <c r="F293" s="71" t="s">
        <v>444</v>
      </c>
      <c r="G293" s="71" t="s">
        <v>2879</v>
      </c>
      <c r="H293" s="71" t="s">
        <v>443</v>
      </c>
      <c r="I293" s="71" t="s">
        <v>2604</v>
      </c>
      <c r="J293" s="71" t="s">
        <v>752</v>
      </c>
      <c r="K293" s="71" t="s">
        <v>2723</v>
      </c>
      <c r="L293" s="71" t="s">
        <v>2665</v>
      </c>
      <c r="M293" s="71" t="s">
        <v>2880</v>
      </c>
      <c r="N293" s="71" t="s">
        <v>2881</v>
      </c>
      <c r="O293" s="71" t="s">
        <v>2692</v>
      </c>
      <c r="P293" s="71" t="s">
        <v>2604</v>
      </c>
      <c r="Q293" s="71" t="s">
        <v>2882</v>
      </c>
      <c r="R293" s="71" t="s">
        <v>2604</v>
      </c>
      <c r="S293" s="71" t="s">
        <v>2604</v>
      </c>
      <c r="T293" s="71" t="s">
        <v>2604</v>
      </c>
      <c r="U293" s="71" t="s">
        <v>2604</v>
      </c>
      <c r="V293" s="71" t="s">
        <v>2635</v>
      </c>
    </row>
    <row r="294" spans="1:22">
      <c r="A294" s="71" t="s">
        <v>2659</v>
      </c>
      <c r="B294" s="71" t="s">
        <v>2646</v>
      </c>
      <c r="C294" s="72">
        <v>45821.441679918978</v>
      </c>
      <c r="D294" s="72">
        <v>45821.441679918978</v>
      </c>
      <c r="E294" s="71" t="s">
        <v>365</v>
      </c>
      <c r="F294" s="71" t="s">
        <v>514</v>
      </c>
      <c r="G294" s="71" t="s">
        <v>2957</v>
      </c>
      <c r="H294" s="71" t="s">
        <v>513</v>
      </c>
      <c r="I294" s="71" t="s">
        <v>2604</v>
      </c>
      <c r="J294" s="71" t="s">
        <v>774</v>
      </c>
      <c r="K294" s="71" t="s">
        <v>2670</v>
      </c>
      <c r="L294" s="71" t="s">
        <v>2604</v>
      </c>
      <c r="M294" s="71" t="s">
        <v>2671</v>
      </c>
      <c r="N294" s="71" t="s">
        <v>2671</v>
      </c>
      <c r="O294" s="71" t="s">
        <v>2604</v>
      </c>
      <c r="P294" s="71" t="s">
        <v>2604</v>
      </c>
      <c r="Q294" s="71" t="s">
        <v>2958</v>
      </c>
      <c r="R294" s="71" t="s">
        <v>2604</v>
      </c>
      <c r="S294" s="71" t="s">
        <v>2604</v>
      </c>
      <c r="T294" s="71" t="s">
        <v>2604</v>
      </c>
      <c r="U294" s="71" t="s">
        <v>2604</v>
      </c>
      <c r="V294" s="71" t="s">
        <v>2604</v>
      </c>
    </row>
    <row r="295" spans="1:22">
      <c r="A295" s="71" t="s">
        <v>2659</v>
      </c>
      <c r="B295" s="71" t="s">
        <v>84</v>
      </c>
      <c r="C295" s="72">
        <v>45908.722410682873</v>
      </c>
      <c r="D295" s="72">
        <v>45908.722410682873</v>
      </c>
      <c r="E295" s="71" t="s">
        <v>365</v>
      </c>
      <c r="F295" s="71" t="s">
        <v>785</v>
      </c>
      <c r="G295" s="71" t="s">
        <v>786</v>
      </c>
      <c r="H295" s="71" t="s">
        <v>784</v>
      </c>
      <c r="I295" s="71" t="s">
        <v>2604</v>
      </c>
      <c r="J295" s="71" t="s">
        <v>744</v>
      </c>
      <c r="K295" s="71" t="s">
        <v>2665</v>
      </c>
      <c r="L295" s="71" t="s">
        <v>2821</v>
      </c>
      <c r="M295" s="71" t="s">
        <v>2671</v>
      </c>
      <c r="N295" s="71" t="s">
        <v>3112</v>
      </c>
      <c r="O295" s="71" t="s">
        <v>2640</v>
      </c>
      <c r="P295" s="71" t="s">
        <v>2604</v>
      </c>
      <c r="Q295" s="71" t="s">
        <v>3113</v>
      </c>
      <c r="R295" s="71" t="s">
        <v>2604</v>
      </c>
      <c r="S295" s="71" t="s">
        <v>2604</v>
      </c>
      <c r="T295" s="71" t="s">
        <v>2604</v>
      </c>
      <c r="U295" s="71" t="s">
        <v>2604</v>
      </c>
      <c r="V295" s="71" t="s">
        <v>2635</v>
      </c>
    </row>
    <row r="296" spans="1:22">
      <c r="A296" s="71" t="s">
        <v>2659</v>
      </c>
      <c r="B296" s="71" t="s">
        <v>56</v>
      </c>
      <c r="C296" s="72">
        <v>45898.659039814818</v>
      </c>
      <c r="D296" s="72">
        <v>45898.659039814818</v>
      </c>
      <c r="E296" s="71" t="s">
        <v>365</v>
      </c>
      <c r="F296" s="71" t="s">
        <v>750</v>
      </c>
      <c r="G296" s="71" t="s">
        <v>751</v>
      </c>
      <c r="H296" s="71" t="s">
        <v>749</v>
      </c>
      <c r="I296" s="71" t="s">
        <v>2604</v>
      </c>
      <c r="J296" s="71" t="s">
        <v>752</v>
      </c>
      <c r="K296" s="71" t="s">
        <v>2675</v>
      </c>
      <c r="L296" s="71" t="s">
        <v>2676</v>
      </c>
      <c r="M296" s="71" t="s">
        <v>2918</v>
      </c>
      <c r="N296" s="71" t="s">
        <v>2671</v>
      </c>
      <c r="O296" s="71" t="s">
        <v>2640</v>
      </c>
      <c r="P296" s="71" t="s">
        <v>2604</v>
      </c>
      <c r="Q296" s="71" t="s">
        <v>2919</v>
      </c>
      <c r="R296" s="71" t="s">
        <v>2604</v>
      </c>
      <c r="S296" s="71" t="s">
        <v>2604</v>
      </c>
      <c r="T296" s="71" t="s">
        <v>2604</v>
      </c>
      <c r="U296" s="71" t="s">
        <v>2604</v>
      </c>
      <c r="V296" s="71" t="s">
        <v>2604</v>
      </c>
    </row>
    <row r="297" spans="1:22">
      <c r="A297" s="71" t="s">
        <v>2659</v>
      </c>
      <c r="B297" s="71" t="s">
        <v>724</v>
      </c>
      <c r="C297" s="72">
        <v>45897.540783101853</v>
      </c>
      <c r="D297" s="72">
        <v>45897.540783101853</v>
      </c>
      <c r="E297" s="71" t="s">
        <v>380</v>
      </c>
      <c r="F297" s="71" t="s">
        <v>746</v>
      </c>
      <c r="G297" s="71" t="s">
        <v>2994</v>
      </c>
      <c r="H297" s="71" t="s">
        <v>745</v>
      </c>
      <c r="I297" s="71" t="s">
        <v>2604</v>
      </c>
      <c r="J297" s="71" t="s">
        <v>747</v>
      </c>
      <c r="K297" s="71" t="s">
        <v>2768</v>
      </c>
      <c r="L297" s="71" t="s">
        <v>2995</v>
      </c>
      <c r="M297" s="71" t="s">
        <v>2996</v>
      </c>
      <c r="N297" s="71" t="s">
        <v>2996</v>
      </c>
      <c r="O297" s="71" t="s">
        <v>2640</v>
      </c>
      <c r="P297" s="71" t="s">
        <v>2997</v>
      </c>
      <c r="Q297" s="71" t="s">
        <v>2998</v>
      </c>
      <c r="R297" s="71" t="s">
        <v>2604</v>
      </c>
      <c r="S297" s="71" t="s">
        <v>2604</v>
      </c>
      <c r="T297" s="71" t="s">
        <v>2604</v>
      </c>
      <c r="U297" s="71" t="s">
        <v>2604</v>
      </c>
      <c r="V297" s="71" t="s">
        <v>2618</v>
      </c>
    </row>
    <row r="298" spans="1:22">
      <c r="A298" s="71" t="s">
        <v>2659</v>
      </c>
      <c r="B298" s="71" t="s">
        <v>2646</v>
      </c>
      <c r="C298" s="72">
        <v>45825.547028043984</v>
      </c>
      <c r="D298" s="72">
        <v>45825.547028043984</v>
      </c>
      <c r="E298" s="71" t="s">
        <v>365</v>
      </c>
      <c r="F298" s="71" t="s">
        <v>521</v>
      </c>
      <c r="G298" s="71" t="s">
        <v>522</v>
      </c>
      <c r="H298" s="71" t="s">
        <v>520</v>
      </c>
      <c r="I298" s="71" t="s">
        <v>2604</v>
      </c>
      <c r="J298" s="71" t="s">
        <v>752</v>
      </c>
      <c r="K298" s="71" t="s">
        <v>2723</v>
      </c>
      <c r="L298" s="71" t="s">
        <v>2665</v>
      </c>
      <c r="M298" s="71" t="s">
        <v>3102</v>
      </c>
      <c r="N298" s="71" t="s">
        <v>2814</v>
      </c>
      <c r="O298" s="71" t="s">
        <v>2692</v>
      </c>
      <c r="P298" s="71" t="s">
        <v>2604</v>
      </c>
      <c r="Q298" s="71" t="s">
        <v>3103</v>
      </c>
      <c r="R298" s="71" t="s">
        <v>2604</v>
      </c>
      <c r="S298" s="71" t="s">
        <v>2604</v>
      </c>
      <c r="T298" s="71" t="s">
        <v>2604</v>
      </c>
      <c r="U298" s="71" t="s">
        <v>2604</v>
      </c>
      <c r="V298" s="71" t="s">
        <v>2635</v>
      </c>
    </row>
    <row r="299" spans="1:22">
      <c r="A299" s="71" t="s">
        <v>2659</v>
      </c>
      <c r="B299" s="71" t="s">
        <v>724</v>
      </c>
      <c r="C299" s="72">
        <v>45897.503976701388</v>
      </c>
      <c r="D299" s="72">
        <v>45897.503976701388</v>
      </c>
      <c r="E299" s="71" t="s">
        <v>473</v>
      </c>
      <c r="F299" s="71" t="s">
        <v>152</v>
      </c>
      <c r="G299" s="71" t="s">
        <v>743</v>
      </c>
      <c r="H299" s="71" t="s">
        <v>742</v>
      </c>
      <c r="I299" s="71" t="s">
        <v>2604</v>
      </c>
      <c r="J299" s="71" t="s">
        <v>744</v>
      </c>
      <c r="K299" s="71" t="s">
        <v>2665</v>
      </c>
      <c r="L299" s="71" t="s">
        <v>2666</v>
      </c>
      <c r="M299" s="71" t="s">
        <v>2861</v>
      </c>
      <c r="N299" s="71" t="s">
        <v>2862</v>
      </c>
      <c r="O299" s="71" t="s">
        <v>2640</v>
      </c>
      <c r="P299" s="71" t="s">
        <v>2863</v>
      </c>
      <c r="Q299" s="71" t="s">
        <v>2864</v>
      </c>
      <c r="R299" s="71" t="s">
        <v>2604</v>
      </c>
      <c r="S299" s="71" t="s">
        <v>2604</v>
      </c>
      <c r="T299" s="71" t="s">
        <v>2604</v>
      </c>
      <c r="U299" s="71" t="s">
        <v>2604</v>
      </c>
      <c r="V299" s="71" t="s">
        <v>2618</v>
      </c>
    </row>
    <row r="300" spans="1:22">
      <c r="A300" s="71" t="s">
        <v>2659</v>
      </c>
      <c r="B300" s="71" t="s">
        <v>84</v>
      </c>
      <c r="C300" s="72">
        <v>45876.809328148149</v>
      </c>
      <c r="D300" s="72">
        <v>45876.809328148149</v>
      </c>
      <c r="E300" s="71" t="s">
        <v>365</v>
      </c>
      <c r="F300" s="71" t="s">
        <v>675</v>
      </c>
      <c r="G300" s="71" t="s">
        <v>676</v>
      </c>
      <c r="H300" s="71" t="s">
        <v>674</v>
      </c>
      <c r="I300" s="71" t="s">
        <v>2604</v>
      </c>
      <c r="J300" s="71" t="s">
        <v>774</v>
      </c>
      <c r="K300" s="71" t="s">
        <v>2670</v>
      </c>
      <c r="L300" s="71" t="s">
        <v>2604</v>
      </c>
      <c r="M300" s="71" t="s">
        <v>2671</v>
      </c>
      <c r="N300" s="71" t="s">
        <v>3114</v>
      </c>
      <c r="O300" s="71" t="s">
        <v>2640</v>
      </c>
      <c r="P300" s="71" t="s">
        <v>2604</v>
      </c>
      <c r="Q300" s="71" t="s">
        <v>3115</v>
      </c>
      <c r="R300" s="71" t="s">
        <v>2604</v>
      </c>
      <c r="S300" s="71" t="s">
        <v>2604</v>
      </c>
      <c r="T300" s="71" t="s">
        <v>2604</v>
      </c>
      <c r="U300" s="71" t="s">
        <v>2604</v>
      </c>
      <c r="V300" s="71" t="s">
        <v>2635</v>
      </c>
    </row>
    <row r="301" spans="1:22">
      <c r="A301" s="71" t="s">
        <v>2659</v>
      </c>
      <c r="B301" s="71" t="s">
        <v>56</v>
      </c>
      <c r="C301" s="72">
        <v>45924.816488009259</v>
      </c>
      <c r="D301" s="72">
        <v>45924.816488009259</v>
      </c>
      <c r="E301" s="71" t="s">
        <v>473</v>
      </c>
      <c r="F301" s="71" t="s">
        <v>836</v>
      </c>
      <c r="G301" s="71" t="s">
        <v>3074</v>
      </c>
      <c r="H301" s="71" t="s">
        <v>835</v>
      </c>
      <c r="I301" s="71" t="s">
        <v>2604</v>
      </c>
      <c r="J301" s="71" t="s">
        <v>813</v>
      </c>
      <c r="K301" s="71" t="s">
        <v>2648</v>
      </c>
      <c r="L301" s="71" t="s">
        <v>2649</v>
      </c>
      <c r="M301" s="71" t="s">
        <v>2726</v>
      </c>
      <c r="N301" s="71" t="s">
        <v>2726</v>
      </c>
      <c r="O301" s="71" t="s">
        <v>2640</v>
      </c>
      <c r="P301" s="71" t="s">
        <v>2604</v>
      </c>
      <c r="Q301" s="71" t="s">
        <v>3075</v>
      </c>
      <c r="R301" s="71" t="s">
        <v>2604</v>
      </c>
      <c r="S301" s="71" t="s">
        <v>2604</v>
      </c>
      <c r="T301" s="71" t="s">
        <v>2604</v>
      </c>
      <c r="U301" s="71" t="s">
        <v>2604</v>
      </c>
      <c r="V301" s="71" t="s">
        <v>2635</v>
      </c>
    </row>
    <row r="302" spans="1:22">
      <c r="A302" s="71" t="s">
        <v>2659</v>
      </c>
      <c r="B302" s="71" t="s">
        <v>56</v>
      </c>
      <c r="C302" s="72">
        <v>45922.694842569443</v>
      </c>
      <c r="D302" s="72">
        <v>45922.694842569443</v>
      </c>
      <c r="E302" s="71" t="s">
        <v>365</v>
      </c>
      <c r="F302" s="71" t="s">
        <v>827</v>
      </c>
      <c r="G302" s="71" t="s">
        <v>828</v>
      </c>
      <c r="H302" s="71" t="s">
        <v>826</v>
      </c>
      <c r="I302" s="71" t="s">
        <v>2604</v>
      </c>
      <c r="J302" s="71" t="s">
        <v>752</v>
      </c>
      <c r="K302" s="71" t="s">
        <v>2680</v>
      </c>
      <c r="L302" s="71" t="s">
        <v>2681</v>
      </c>
      <c r="M302" s="71" t="s">
        <v>3116</v>
      </c>
      <c r="N302" s="71" t="s">
        <v>3117</v>
      </c>
      <c r="O302" s="71" t="s">
        <v>2640</v>
      </c>
      <c r="P302" s="71" t="s">
        <v>2604</v>
      </c>
      <c r="Q302" s="71" t="s">
        <v>3118</v>
      </c>
      <c r="R302" s="71" t="s">
        <v>2604</v>
      </c>
      <c r="S302" s="71" t="s">
        <v>2604</v>
      </c>
      <c r="T302" s="71" t="s">
        <v>2604</v>
      </c>
      <c r="U302" s="71" t="s">
        <v>2604</v>
      </c>
      <c r="V302" s="71" t="s">
        <v>2664</v>
      </c>
    </row>
    <row r="303" spans="1:22">
      <c r="A303" s="71" t="s">
        <v>2659</v>
      </c>
      <c r="B303" s="71" t="s">
        <v>2646</v>
      </c>
      <c r="C303" s="72">
        <v>45811.65802422454</v>
      </c>
      <c r="D303" s="72">
        <v>45811.65802422454</v>
      </c>
      <c r="E303" s="71" t="s">
        <v>365</v>
      </c>
      <c r="F303" s="71" t="s">
        <v>488</v>
      </c>
      <c r="G303" s="71" t="s">
        <v>489</v>
      </c>
      <c r="H303" s="71" t="s">
        <v>487</v>
      </c>
      <c r="I303" s="71" t="s">
        <v>2604</v>
      </c>
      <c r="J303" s="71" t="s">
        <v>752</v>
      </c>
      <c r="K303" s="71" t="s">
        <v>2723</v>
      </c>
      <c r="L303" s="71" t="s">
        <v>2665</v>
      </c>
      <c r="M303" s="71" t="s">
        <v>2826</v>
      </c>
      <c r="N303" s="71" t="s">
        <v>2826</v>
      </c>
      <c r="O303" s="71" t="s">
        <v>2692</v>
      </c>
      <c r="P303" s="71" t="s">
        <v>2604</v>
      </c>
      <c r="Q303" s="71" t="s">
        <v>2827</v>
      </c>
      <c r="R303" s="71" t="s">
        <v>2604</v>
      </c>
      <c r="S303" s="71" t="s">
        <v>2604</v>
      </c>
      <c r="T303" s="71" t="s">
        <v>2604</v>
      </c>
      <c r="U303" s="71" t="s">
        <v>2604</v>
      </c>
      <c r="V303" s="71" t="s">
        <v>2655</v>
      </c>
    </row>
    <row r="304" spans="1:22">
      <c r="A304" s="71" t="s">
        <v>2659</v>
      </c>
      <c r="B304" s="71" t="s">
        <v>2646</v>
      </c>
      <c r="C304" s="72">
        <v>45771.491537928239</v>
      </c>
      <c r="D304" s="72">
        <v>45771.491537928239</v>
      </c>
      <c r="E304" s="71" t="s">
        <v>2604</v>
      </c>
      <c r="F304" s="71" t="s">
        <v>61</v>
      </c>
      <c r="G304" s="71" t="s">
        <v>62</v>
      </c>
      <c r="H304" s="71" t="s">
        <v>60</v>
      </c>
      <c r="I304" s="71" t="s">
        <v>2604</v>
      </c>
      <c r="J304" s="71" t="s">
        <v>774</v>
      </c>
      <c r="K304" s="71" t="s">
        <v>3026</v>
      </c>
      <c r="L304" s="71" t="s">
        <v>2604</v>
      </c>
      <c r="M304" s="71" t="s">
        <v>3066</v>
      </c>
      <c r="N304" s="71" t="s">
        <v>3066</v>
      </c>
      <c r="O304" s="71" t="s">
        <v>2692</v>
      </c>
      <c r="P304" s="71" t="s">
        <v>2604</v>
      </c>
      <c r="Q304" s="71" t="s">
        <v>3067</v>
      </c>
      <c r="R304" s="71" t="s">
        <v>2604</v>
      </c>
      <c r="S304" s="71" t="s">
        <v>2604</v>
      </c>
      <c r="T304" s="71" t="s">
        <v>2604</v>
      </c>
      <c r="U304" s="71" t="s">
        <v>2604</v>
      </c>
      <c r="V304" s="71" t="s">
        <v>2658</v>
      </c>
    </row>
    <row r="305" spans="1:22">
      <c r="A305" s="71" t="s">
        <v>2659</v>
      </c>
      <c r="B305" s="71" t="s">
        <v>51</v>
      </c>
      <c r="C305" s="72">
        <v>45843.338491562499</v>
      </c>
      <c r="D305" s="72">
        <v>45843.338491562499</v>
      </c>
      <c r="E305" s="71" t="s">
        <v>365</v>
      </c>
      <c r="F305" s="71" t="s">
        <v>540</v>
      </c>
      <c r="G305" s="71" t="s">
        <v>541</v>
      </c>
      <c r="H305" s="71" t="s">
        <v>539</v>
      </c>
      <c r="I305" s="71" t="s">
        <v>2604</v>
      </c>
      <c r="J305" s="71" t="s">
        <v>744</v>
      </c>
      <c r="K305" s="71" t="s">
        <v>2665</v>
      </c>
      <c r="L305" s="71" t="s">
        <v>2821</v>
      </c>
      <c r="M305" s="71" t="s">
        <v>3119</v>
      </c>
      <c r="N305" s="71" t="s">
        <v>3120</v>
      </c>
      <c r="O305" s="71" t="s">
        <v>2640</v>
      </c>
      <c r="P305" s="71" t="s">
        <v>2604</v>
      </c>
      <c r="Q305" s="71" t="s">
        <v>3121</v>
      </c>
      <c r="R305" s="71" t="s">
        <v>2604</v>
      </c>
      <c r="S305" s="71" t="s">
        <v>2604</v>
      </c>
      <c r="T305" s="71" t="s">
        <v>2604</v>
      </c>
      <c r="U305" s="71" t="s">
        <v>2604</v>
      </c>
      <c r="V305" s="71" t="s">
        <v>2635</v>
      </c>
    </row>
    <row r="306" spans="1:22">
      <c r="A306" s="71" t="s">
        <v>2659</v>
      </c>
      <c r="B306" s="71" t="s">
        <v>56</v>
      </c>
      <c r="C306" s="72">
        <v>46094.692030590275</v>
      </c>
      <c r="D306" s="72">
        <v>46094.692030590275</v>
      </c>
      <c r="E306" s="71" t="s">
        <v>365</v>
      </c>
      <c r="F306" s="71" t="s">
        <v>1132</v>
      </c>
      <c r="G306" s="71" t="s">
        <v>1133</v>
      </c>
      <c r="H306" s="71" t="s">
        <v>1131</v>
      </c>
      <c r="I306" s="71" t="s">
        <v>2604</v>
      </c>
      <c r="J306" s="71" t="s">
        <v>752</v>
      </c>
      <c r="K306" s="71" t="s">
        <v>2675</v>
      </c>
      <c r="L306" s="71" t="s">
        <v>2790</v>
      </c>
      <c r="M306" s="71" t="s">
        <v>2873</v>
      </c>
      <c r="N306" s="71" t="s">
        <v>2874</v>
      </c>
      <c r="O306" s="71" t="s">
        <v>2640</v>
      </c>
      <c r="P306" s="71" t="s">
        <v>2604</v>
      </c>
      <c r="Q306" s="71" t="s">
        <v>2875</v>
      </c>
      <c r="R306" s="71" t="s">
        <v>2604</v>
      </c>
      <c r="S306" s="71" t="s">
        <v>2604</v>
      </c>
      <c r="T306" s="71" t="s">
        <v>2604</v>
      </c>
      <c r="U306" s="71" t="s">
        <v>2604</v>
      </c>
      <c r="V306" s="71" t="s">
        <v>2664</v>
      </c>
    </row>
    <row r="307" spans="1:22">
      <c r="A307" s="71" t="s">
        <v>2659</v>
      </c>
      <c r="B307" s="71" t="s">
        <v>56</v>
      </c>
      <c r="C307" s="72">
        <v>45862.773318032407</v>
      </c>
      <c r="D307" s="72">
        <v>45862.773318032407</v>
      </c>
      <c r="E307" s="71" t="s">
        <v>365</v>
      </c>
      <c r="F307" s="71" t="s">
        <v>626</v>
      </c>
      <c r="G307" s="71" t="s">
        <v>627</v>
      </c>
      <c r="H307" s="71" t="s">
        <v>625</v>
      </c>
      <c r="I307" s="71" t="s">
        <v>2604</v>
      </c>
      <c r="J307" s="71" t="s">
        <v>744</v>
      </c>
      <c r="K307" s="71" t="s">
        <v>2665</v>
      </c>
      <c r="L307" s="71" t="s">
        <v>2666</v>
      </c>
      <c r="M307" s="71" t="s">
        <v>2671</v>
      </c>
      <c r="N307" s="71" t="s">
        <v>2856</v>
      </c>
      <c r="O307" s="71" t="s">
        <v>2640</v>
      </c>
      <c r="P307" s="71" t="s">
        <v>2604</v>
      </c>
      <c r="Q307" s="71" t="s">
        <v>2857</v>
      </c>
      <c r="R307" s="71" t="s">
        <v>2604</v>
      </c>
      <c r="S307" s="71" t="s">
        <v>2604</v>
      </c>
      <c r="T307" s="71" t="s">
        <v>2604</v>
      </c>
      <c r="U307" s="71" t="s">
        <v>2604</v>
      </c>
      <c r="V307" s="71" t="s">
        <v>2664</v>
      </c>
    </row>
    <row r="308" spans="1:22">
      <c r="A308" s="71" t="s">
        <v>2659</v>
      </c>
      <c r="B308" s="71" t="s">
        <v>56</v>
      </c>
      <c r="C308" s="72">
        <v>45959.412241412036</v>
      </c>
      <c r="D308" s="72">
        <v>45959.412241412036</v>
      </c>
      <c r="E308" s="71" t="s">
        <v>365</v>
      </c>
      <c r="F308" s="71" t="s">
        <v>910</v>
      </c>
      <c r="G308" s="71" t="s">
        <v>910</v>
      </c>
      <c r="H308" s="71" t="s">
        <v>909</v>
      </c>
      <c r="I308" s="71" t="s">
        <v>2604</v>
      </c>
      <c r="J308" s="71" t="s">
        <v>813</v>
      </c>
      <c r="K308" s="71" t="s">
        <v>2648</v>
      </c>
      <c r="L308" s="71" t="s">
        <v>2649</v>
      </c>
      <c r="M308" s="71" t="s">
        <v>2726</v>
      </c>
      <c r="N308" s="71" t="s">
        <v>2727</v>
      </c>
      <c r="O308" s="71" t="s">
        <v>2640</v>
      </c>
      <c r="P308" s="71" t="s">
        <v>2604</v>
      </c>
      <c r="Q308" s="71" t="s">
        <v>2728</v>
      </c>
      <c r="R308" s="71" t="s">
        <v>2604</v>
      </c>
      <c r="S308" s="71" t="s">
        <v>2604</v>
      </c>
      <c r="T308" s="71" t="s">
        <v>2604</v>
      </c>
      <c r="U308" s="71" t="s">
        <v>2604</v>
      </c>
      <c r="V308" s="71" t="s">
        <v>2664</v>
      </c>
    </row>
    <row r="309" spans="1:22">
      <c r="A309" s="71" t="s">
        <v>2659</v>
      </c>
      <c r="B309" s="71" t="s">
        <v>56</v>
      </c>
      <c r="C309" s="72">
        <v>45931.534792002312</v>
      </c>
      <c r="D309" s="72">
        <v>45931.534792002312</v>
      </c>
      <c r="E309" s="71" t="s">
        <v>365</v>
      </c>
      <c r="F309" s="71" t="s">
        <v>851</v>
      </c>
      <c r="G309" s="71" t="s">
        <v>852</v>
      </c>
      <c r="H309" s="71" t="s">
        <v>850</v>
      </c>
      <c r="I309" s="71" t="s">
        <v>2604</v>
      </c>
      <c r="J309" s="71" t="s">
        <v>774</v>
      </c>
      <c r="K309" s="71" t="s">
        <v>2670</v>
      </c>
      <c r="L309" s="71" t="s">
        <v>2604</v>
      </c>
      <c r="M309" s="71" t="s">
        <v>2671</v>
      </c>
      <c r="N309" s="71" t="s">
        <v>2858</v>
      </c>
      <c r="O309" s="71" t="s">
        <v>2640</v>
      </c>
      <c r="P309" s="71" t="s">
        <v>2604</v>
      </c>
      <c r="Q309" s="71" t="s">
        <v>2859</v>
      </c>
      <c r="R309" s="71" t="s">
        <v>2604</v>
      </c>
      <c r="S309" s="71" t="s">
        <v>2604</v>
      </c>
      <c r="T309" s="71" t="s">
        <v>2604</v>
      </c>
      <c r="U309" s="71" t="s">
        <v>2604</v>
      </c>
      <c r="V309" s="71" t="s">
        <v>2635</v>
      </c>
    </row>
    <row r="310" spans="1:22">
      <c r="A310" s="71" t="s">
        <v>2659</v>
      </c>
      <c r="B310" s="71" t="s">
        <v>659</v>
      </c>
      <c r="C310" s="72">
        <v>46058.681325150465</v>
      </c>
      <c r="D310" s="72">
        <v>46058.681325150465</v>
      </c>
      <c r="E310" s="71" t="s">
        <v>365</v>
      </c>
      <c r="F310" s="71" t="s">
        <v>1080</v>
      </c>
      <c r="G310" s="71" t="s">
        <v>1081</v>
      </c>
      <c r="H310" s="71" t="s">
        <v>1079</v>
      </c>
      <c r="I310" s="71" t="s">
        <v>2604</v>
      </c>
      <c r="J310" s="71" t="s">
        <v>747</v>
      </c>
      <c r="K310" s="71" t="s">
        <v>2768</v>
      </c>
      <c r="L310" s="71" t="s">
        <v>2769</v>
      </c>
      <c r="M310" s="71" t="s">
        <v>3122</v>
      </c>
      <c r="N310" s="71" t="s">
        <v>3123</v>
      </c>
      <c r="O310" s="71" t="s">
        <v>2640</v>
      </c>
      <c r="P310" s="71" t="s">
        <v>2604</v>
      </c>
      <c r="Q310" s="71" t="s">
        <v>3124</v>
      </c>
      <c r="R310" s="71" t="s">
        <v>2604</v>
      </c>
      <c r="S310" s="71" t="s">
        <v>2604</v>
      </c>
      <c r="T310" s="71" t="s">
        <v>2604</v>
      </c>
      <c r="U310" s="71" t="s">
        <v>2604</v>
      </c>
      <c r="V310" s="71" t="s">
        <v>2635</v>
      </c>
    </row>
    <row r="311" spans="1:22">
      <c r="A311" s="71" t="s">
        <v>2659</v>
      </c>
      <c r="B311" s="71" t="s">
        <v>2646</v>
      </c>
      <c r="C311" s="72">
        <v>45814.672897685188</v>
      </c>
      <c r="D311" s="72">
        <v>45814.672897685188</v>
      </c>
      <c r="E311" s="71" t="s">
        <v>365</v>
      </c>
      <c r="F311" s="71" t="s">
        <v>501</v>
      </c>
      <c r="G311" s="71" t="s">
        <v>502</v>
      </c>
      <c r="H311" s="71" t="s">
        <v>500</v>
      </c>
      <c r="I311" s="71" t="s">
        <v>2604</v>
      </c>
      <c r="J311" s="71" t="s">
        <v>744</v>
      </c>
      <c r="K311" s="71" t="s">
        <v>2665</v>
      </c>
      <c r="L311" s="71" t="s">
        <v>2666</v>
      </c>
      <c r="M311" s="71" t="s">
        <v>2671</v>
      </c>
      <c r="N311" s="71" t="s">
        <v>3125</v>
      </c>
      <c r="O311" s="71" t="s">
        <v>2692</v>
      </c>
      <c r="P311" s="71" t="s">
        <v>2604</v>
      </c>
      <c r="Q311" s="71" t="s">
        <v>3126</v>
      </c>
      <c r="R311" s="71" t="s">
        <v>2604</v>
      </c>
      <c r="S311" s="71" t="s">
        <v>2604</v>
      </c>
      <c r="T311" s="71" t="s">
        <v>2604</v>
      </c>
      <c r="U311" s="71" t="s">
        <v>2604</v>
      </c>
      <c r="V311" s="71" t="s">
        <v>2655</v>
      </c>
    </row>
    <row r="312" spans="1:22">
      <c r="A312" s="71" t="s">
        <v>2659</v>
      </c>
      <c r="B312" s="71" t="s">
        <v>56</v>
      </c>
      <c r="C312" s="72">
        <v>45969.831682858799</v>
      </c>
      <c r="D312" s="72">
        <v>45969.831682858799</v>
      </c>
      <c r="E312" s="71" t="s">
        <v>365</v>
      </c>
      <c r="F312" s="71" t="s">
        <v>924</v>
      </c>
      <c r="G312" s="71" t="s">
        <v>925</v>
      </c>
      <c r="H312" s="71" t="s">
        <v>923</v>
      </c>
      <c r="I312" s="71" t="s">
        <v>2604</v>
      </c>
      <c r="J312" s="71" t="s">
        <v>813</v>
      </c>
      <c r="K312" s="71" t="s">
        <v>2648</v>
      </c>
      <c r="L312" s="71" t="s">
        <v>2649</v>
      </c>
      <c r="M312" s="71" t="s">
        <v>2726</v>
      </c>
      <c r="N312" s="71" t="s">
        <v>2726</v>
      </c>
      <c r="O312" s="71" t="s">
        <v>2640</v>
      </c>
      <c r="P312" s="71" t="s">
        <v>2604</v>
      </c>
      <c r="Q312" s="71" t="s">
        <v>3127</v>
      </c>
      <c r="R312" s="71" t="s">
        <v>2604</v>
      </c>
      <c r="S312" s="71" t="s">
        <v>2604</v>
      </c>
      <c r="T312" s="71" t="s">
        <v>2604</v>
      </c>
      <c r="U312" s="71" t="s">
        <v>2604</v>
      </c>
      <c r="V312" s="71" t="s">
        <v>2635</v>
      </c>
    </row>
    <row r="313" spans="1:22">
      <c r="A313" s="71" t="s">
        <v>2659</v>
      </c>
      <c r="B313" s="71" t="s">
        <v>84</v>
      </c>
      <c r="C313" s="72">
        <v>45951.639300937502</v>
      </c>
      <c r="D313" s="72">
        <v>45951.639300937502</v>
      </c>
      <c r="E313" s="71" t="s">
        <v>365</v>
      </c>
      <c r="F313" s="71" t="s">
        <v>897</v>
      </c>
      <c r="G313" s="71" t="s">
        <v>898</v>
      </c>
      <c r="H313" s="71" t="s">
        <v>896</v>
      </c>
      <c r="I313" s="71" t="s">
        <v>2604</v>
      </c>
      <c r="J313" s="71" t="s">
        <v>744</v>
      </c>
      <c r="K313" s="71" t="s">
        <v>2665</v>
      </c>
      <c r="L313" s="71" t="s">
        <v>2704</v>
      </c>
      <c r="M313" s="71" t="s">
        <v>2671</v>
      </c>
      <c r="N313" s="71" t="s">
        <v>3128</v>
      </c>
      <c r="O313" s="71" t="s">
        <v>2640</v>
      </c>
      <c r="P313" s="71" t="s">
        <v>2604</v>
      </c>
      <c r="Q313" s="71" t="s">
        <v>3129</v>
      </c>
      <c r="R313" s="71" t="s">
        <v>2604</v>
      </c>
      <c r="S313" s="71" t="s">
        <v>2604</v>
      </c>
      <c r="T313" s="71" t="s">
        <v>2604</v>
      </c>
      <c r="U313" s="71" t="s">
        <v>2604</v>
      </c>
      <c r="V313" s="71" t="s">
        <v>2635</v>
      </c>
    </row>
    <row r="314" spans="1:22">
      <c r="A314" s="71" t="s">
        <v>2659</v>
      </c>
      <c r="B314" s="71" t="s">
        <v>2646</v>
      </c>
      <c r="C314" s="72">
        <v>45821.441679918978</v>
      </c>
      <c r="D314" s="72">
        <v>45821.441679918978</v>
      </c>
      <c r="E314" s="71" t="s">
        <v>365</v>
      </c>
      <c r="F314" s="71" t="s">
        <v>514</v>
      </c>
      <c r="G314" s="71" t="s">
        <v>2957</v>
      </c>
      <c r="H314" s="71" t="s">
        <v>513</v>
      </c>
      <c r="I314" s="71" t="s">
        <v>2604</v>
      </c>
      <c r="J314" s="71" t="s">
        <v>774</v>
      </c>
      <c r="K314" s="71" t="s">
        <v>2670</v>
      </c>
      <c r="L314" s="71" t="s">
        <v>2604</v>
      </c>
      <c r="M314" s="71" t="s">
        <v>2671</v>
      </c>
      <c r="N314" s="71" t="s">
        <v>2671</v>
      </c>
      <c r="O314" s="71" t="s">
        <v>2604</v>
      </c>
      <c r="P314" s="71" t="s">
        <v>2604</v>
      </c>
      <c r="Q314" s="71" t="s">
        <v>2958</v>
      </c>
      <c r="R314" s="71" t="s">
        <v>2604</v>
      </c>
      <c r="S314" s="71" t="s">
        <v>2604</v>
      </c>
      <c r="T314" s="71" t="s">
        <v>2604</v>
      </c>
      <c r="U314" s="71" t="s">
        <v>2604</v>
      </c>
      <c r="V314" s="71" t="s">
        <v>2655</v>
      </c>
    </row>
    <row r="315" spans="1:22">
      <c r="A315" s="71" t="s">
        <v>2659</v>
      </c>
      <c r="B315" s="71" t="s">
        <v>56</v>
      </c>
      <c r="C315" s="72">
        <v>45988.640256122686</v>
      </c>
      <c r="D315" s="72">
        <v>45988.640256122686</v>
      </c>
      <c r="E315" s="71" t="s">
        <v>365</v>
      </c>
      <c r="F315" s="71" t="s">
        <v>978</v>
      </c>
      <c r="G315" s="71" t="s">
        <v>979</v>
      </c>
      <c r="H315" s="71" t="s">
        <v>977</v>
      </c>
      <c r="I315" s="71" t="s">
        <v>2604</v>
      </c>
      <c r="J315" s="71" t="s">
        <v>752</v>
      </c>
      <c r="K315" s="71" t="s">
        <v>2675</v>
      </c>
      <c r="L315" s="71" t="s">
        <v>2790</v>
      </c>
      <c r="M315" s="71" t="s">
        <v>2926</v>
      </c>
      <c r="N315" s="71" t="s">
        <v>2671</v>
      </c>
      <c r="O315" s="71" t="s">
        <v>2640</v>
      </c>
      <c r="P315" s="71" t="s">
        <v>2604</v>
      </c>
      <c r="Q315" s="71" t="s">
        <v>2927</v>
      </c>
      <c r="R315" s="71" t="s">
        <v>2604</v>
      </c>
      <c r="S315" s="71" t="s">
        <v>2604</v>
      </c>
      <c r="T315" s="71" t="s">
        <v>2604</v>
      </c>
      <c r="U315" s="71" t="s">
        <v>2604</v>
      </c>
      <c r="V315" s="71" t="s">
        <v>2664</v>
      </c>
    </row>
    <row r="316" spans="1:22">
      <c r="A316" s="71" t="s">
        <v>2659</v>
      </c>
      <c r="B316" s="71" t="s">
        <v>2646</v>
      </c>
      <c r="C316" s="72">
        <v>45819.537054733795</v>
      </c>
      <c r="D316" s="72">
        <v>45819.537054733795</v>
      </c>
      <c r="E316" s="71" t="s">
        <v>365</v>
      </c>
      <c r="F316" s="71" t="s">
        <v>511</v>
      </c>
      <c r="G316" s="71" t="s">
        <v>512</v>
      </c>
      <c r="H316" s="71" t="s">
        <v>510</v>
      </c>
      <c r="I316" s="71" t="s">
        <v>2604</v>
      </c>
      <c r="J316" s="71" t="s">
        <v>752</v>
      </c>
      <c r="K316" s="71" t="s">
        <v>2723</v>
      </c>
      <c r="L316" s="71" t="s">
        <v>2665</v>
      </c>
      <c r="M316" s="71" t="s">
        <v>2950</v>
      </c>
      <c r="N316" s="71" t="s">
        <v>2951</v>
      </c>
      <c r="O316" s="71" t="s">
        <v>2692</v>
      </c>
      <c r="P316" s="71" t="s">
        <v>2604</v>
      </c>
      <c r="Q316" s="71" t="s">
        <v>2952</v>
      </c>
      <c r="R316" s="71" t="s">
        <v>2604</v>
      </c>
      <c r="S316" s="71" t="s">
        <v>2604</v>
      </c>
      <c r="T316" s="71" t="s">
        <v>2604</v>
      </c>
      <c r="U316" s="71" t="s">
        <v>2604</v>
      </c>
      <c r="V316" s="71" t="s">
        <v>2658</v>
      </c>
    </row>
    <row r="317" spans="1:22">
      <c r="A317" s="71" t="s">
        <v>2659</v>
      </c>
      <c r="B317" s="71" t="s">
        <v>84</v>
      </c>
      <c r="C317" s="72">
        <v>45917.794435520831</v>
      </c>
      <c r="D317" s="72">
        <v>45917.794435520831</v>
      </c>
      <c r="E317" s="71" t="s">
        <v>365</v>
      </c>
      <c r="F317" s="71" t="s">
        <v>815</v>
      </c>
      <c r="G317" s="71" t="s">
        <v>816</v>
      </c>
      <c r="H317" s="71" t="s">
        <v>814</v>
      </c>
      <c r="I317" s="71" t="s">
        <v>2604</v>
      </c>
      <c r="J317" s="71" t="s">
        <v>769</v>
      </c>
      <c r="K317" s="71" t="s">
        <v>2773</v>
      </c>
      <c r="L317" s="71" t="s">
        <v>2670</v>
      </c>
      <c r="M317" s="71" t="s">
        <v>3031</v>
      </c>
      <c r="N317" s="71" t="s">
        <v>3031</v>
      </c>
      <c r="O317" s="71" t="s">
        <v>2640</v>
      </c>
      <c r="P317" s="71" t="s">
        <v>2604</v>
      </c>
      <c r="Q317" s="71" t="s">
        <v>3032</v>
      </c>
      <c r="R317" s="71" t="s">
        <v>2604</v>
      </c>
      <c r="S317" s="71" t="s">
        <v>2604</v>
      </c>
      <c r="T317" s="71" t="s">
        <v>2604</v>
      </c>
      <c r="U317" s="71" t="s">
        <v>2604</v>
      </c>
      <c r="V317" s="71" t="s">
        <v>2604</v>
      </c>
    </row>
    <row r="318" spans="1:22">
      <c r="A318" s="71" t="s">
        <v>2659</v>
      </c>
      <c r="B318" s="71" t="s">
        <v>84</v>
      </c>
      <c r="C318" s="72">
        <v>45891.582877777779</v>
      </c>
      <c r="D318" s="72">
        <v>45891.582877777779</v>
      </c>
      <c r="E318" s="71" t="s">
        <v>365</v>
      </c>
      <c r="F318" s="71" t="s">
        <v>716</v>
      </c>
      <c r="G318" s="71" t="s">
        <v>717</v>
      </c>
      <c r="H318" s="71" t="s">
        <v>715</v>
      </c>
      <c r="I318" s="71" t="s">
        <v>2604</v>
      </c>
      <c r="J318" s="71" t="s">
        <v>752</v>
      </c>
      <c r="K318" s="71" t="s">
        <v>2675</v>
      </c>
      <c r="L318" s="71" t="s">
        <v>2676</v>
      </c>
      <c r="M318" s="71" t="s">
        <v>3130</v>
      </c>
      <c r="N318" s="71" t="s">
        <v>3131</v>
      </c>
      <c r="O318" s="71" t="s">
        <v>2640</v>
      </c>
      <c r="P318" s="71" t="s">
        <v>2604</v>
      </c>
      <c r="Q318" s="71" t="s">
        <v>3132</v>
      </c>
      <c r="R318" s="71" t="s">
        <v>2604</v>
      </c>
      <c r="S318" s="71" t="s">
        <v>2604</v>
      </c>
      <c r="T318" s="71" t="s">
        <v>2604</v>
      </c>
      <c r="U318" s="71" t="s">
        <v>2604</v>
      </c>
      <c r="V318" s="71" t="s">
        <v>2604</v>
      </c>
    </row>
    <row r="319" spans="1:22">
      <c r="A319" s="71" t="s">
        <v>2659</v>
      </c>
      <c r="B319" s="71" t="s">
        <v>56</v>
      </c>
      <c r="C319" s="72">
        <v>45866.354510763886</v>
      </c>
      <c r="D319" s="72">
        <v>45866.354510763886</v>
      </c>
      <c r="E319" s="71" t="s">
        <v>365</v>
      </c>
      <c r="F319" s="71" t="s">
        <v>3086</v>
      </c>
      <c r="G319" s="71" t="s">
        <v>3087</v>
      </c>
      <c r="H319" s="71" t="s">
        <v>638</v>
      </c>
      <c r="I319" s="71" t="s">
        <v>2604</v>
      </c>
      <c r="J319" s="71" t="s">
        <v>774</v>
      </c>
      <c r="K319" s="71" t="s">
        <v>2670</v>
      </c>
      <c r="L319" s="71" t="s">
        <v>2604</v>
      </c>
      <c r="M319" s="71" t="s">
        <v>2671</v>
      </c>
      <c r="N319" s="71" t="s">
        <v>2814</v>
      </c>
      <c r="O319" s="71" t="s">
        <v>2604</v>
      </c>
      <c r="P319" s="71" t="s">
        <v>2604</v>
      </c>
      <c r="Q319" s="71" t="s">
        <v>3088</v>
      </c>
      <c r="R319" s="71" t="s">
        <v>2604</v>
      </c>
      <c r="S319" s="71" t="s">
        <v>2604</v>
      </c>
      <c r="T319" s="71" t="s">
        <v>2604</v>
      </c>
      <c r="U319" s="71" t="s">
        <v>2604</v>
      </c>
      <c r="V319" s="71" t="s">
        <v>2604</v>
      </c>
    </row>
    <row r="320" spans="1:22">
      <c r="A320" s="71" t="s">
        <v>2659</v>
      </c>
      <c r="B320" s="71" t="s">
        <v>84</v>
      </c>
      <c r="C320" s="72">
        <v>45854.889374849539</v>
      </c>
      <c r="D320" s="72">
        <v>45854.889374849539</v>
      </c>
      <c r="E320" s="71" t="s">
        <v>365</v>
      </c>
      <c r="F320" s="71" t="s">
        <v>3047</v>
      </c>
      <c r="G320" s="71" t="s">
        <v>3048</v>
      </c>
      <c r="H320" s="71" t="s">
        <v>568</v>
      </c>
      <c r="I320" s="71" t="s">
        <v>2604</v>
      </c>
      <c r="J320" s="71" t="s">
        <v>774</v>
      </c>
      <c r="K320" s="71" t="s">
        <v>3049</v>
      </c>
      <c r="L320" s="71" t="s">
        <v>2604</v>
      </c>
      <c r="M320" s="71" t="s">
        <v>2914</v>
      </c>
      <c r="N320" s="71" t="s">
        <v>3050</v>
      </c>
      <c r="O320" s="71" t="s">
        <v>2640</v>
      </c>
      <c r="P320" s="71" t="s">
        <v>2604</v>
      </c>
      <c r="Q320" s="71" t="s">
        <v>3051</v>
      </c>
      <c r="R320" s="71" t="s">
        <v>2604</v>
      </c>
      <c r="S320" s="71" t="s">
        <v>2604</v>
      </c>
      <c r="T320" s="71" t="s">
        <v>2604</v>
      </c>
      <c r="U320" s="71" t="s">
        <v>2604</v>
      </c>
      <c r="V320" s="71" t="s">
        <v>2604</v>
      </c>
    </row>
    <row r="321" spans="1:22">
      <c r="A321" s="71" t="s">
        <v>2659</v>
      </c>
      <c r="B321" s="71" t="s">
        <v>56</v>
      </c>
      <c r="C321" s="72">
        <v>46009.656195578704</v>
      </c>
      <c r="D321" s="72">
        <v>46009.656195578704</v>
      </c>
      <c r="E321" s="71" t="s">
        <v>135</v>
      </c>
      <c r="F321" s="71" t="s">
        <v>1014</v>
      </c>
      <c r="G321" s="71" t="s">
        <v>1015</v>
      </c>
      <c r="H321" s="71" t="s">
        <v>1013</v>
      </c>
      <c r="I321" s="71" t="s">
        <v>2604</v>
      </c>
      <c r="J321" s="71" t="s">
        <v>813</v>
      </c>
      <c r="K321" s="71" t="s">
        <v>2648</v>
      </c>
      <c r="L321" s="71" t="s">
        <v>2649</v>
      </c>
      <c r="M321" s="71" t="s">
        <v>2726</v>
      </c>
      <c r="N321" s="71" t="s">
        <v>2726</v>
      </c>
      <c r="O321" s="71" t="s">
        <v>2640</v>
      </c>
      <c r="P321" s="71" t="s">
        <v>2604</v>
      </c>
      <c r="Q321" s="71" t="s">
        <v>3133</v>
      </c>
      <c r="R321" s="71" t="s">
        <v>2604</v>
      </c>
      <c r="S321" s="71" t="s">
        <v>2604</v>
      </c>
      <c r="T321" s="71" t="s">
        <v>2604</v>
      </c>
      <c r="U321" s="71" t="s">
        <v>2604</v>
      </c>
      <c r="V321" s="71" t="s">
        <v>2664</v>
      </c>
    </row>
    <row r="322" spans="1:22">
      <c r="A322" s="71" t="s">
        <v>2659</v>
      </c>
      <c r="B322" s="71" t="s">
        <v>2646</v>
      </c>
      <c r="C322" s="72">
        <v>45768.528389826388</v>
      </c>
      <c r="D322" s="72">
        <v>45768.528389826388</v>
      </c>
      <c r="E322" s="71" t="s">
        <v>365</v>
      </c>
      <c r="F322" s="71" t="s">
        <v>429</v>
      </c>
      <c r="G322" s="71" t="s">
        <v>430</v>
      </c>
      <c r="H322" s="71" t="s">
        <v>428</v>
      </c>
      <c r="I322" s="71" t="s">
        <v>2604</v>
      </c>
      <c r="J322" s="71" t="s">
        <v>752</v>
      </c>
      <c r="K322" s="71" t="s">
        <v>2723</v>
      </c>
      <c r="L322" s="71" t="s">
        <v>2665</v>
      </c>
      <c r="M322" s="71" t="s">
        <v>2724</v>
      </c>
      <c r="N322" s="71" t="s">
        <v>2671</v>
      </c>
      <c r="O322" s="71" t="s">
        <v>2692</v>
      </c>
      <c r="P322" s="71" t="s">
        <v>2604</v>
      </c>
      <c r="Q322" s="71" t="s">
        <v>2725</v>
      </c>
      <c r="R322" s="71" t="s">
        <v>2604</v>
      </c>
      <c r="S322" s="71" t="s">
        <v>2604</v>
      </c>
      <c r="T322" s="71" t="s">
        <v>2604</v>
      </c>
      <c r="U322" s="71" t="s">
        <v>2604</v>
      </c>
      <c r="V322" s="71" t="s">
        <v>2604</v>
      </c>
    </row>
    <row r="323" spans="1:22">
      <c r="A323" s="71" t="s">
        <v>2659</v>
      </c>
      <c r="B323" s="71" t="s">
        <v>56</v>
      </c>
      <c r="C323" s="72">
        <v>45995.451786562502</v>
      </c>
      <c r="D323" s="72">
        <v>45995.451786562502</v>
      </c>
      <c r="E323" s="71" t="s">
        <v>365</v>
      </c>
      <c r="F323" s="71" t="s">
        <v>988</v>
      </c>
      <c r="G323" s="71" t="s">
        <v>989</v>
      </c>
      <c r="H323" s="71" t="s">
        <v>987</v>
      </c>
      <c r="I323" s="71" t="s">
        <v>2604</v>
      </c>
      <c r="J323" s="71" t="s">
        <v>744</v>
      </c>
      <c r="K323" s="71" t="s">
        <v>2665</v>
      </c>
      <c r="L323" s="71" t="s">
        <v>2821</v>
      </c>
      <c r="M323" s="71" t="s">
        <v>2671</v>
      </c>
      <c r="N323" s="71" t="s">
        <v>2888</v>
      </c>
      <c r="O323" s="71" t="s">
        <v>2640</v>
      </c>
      <c r="P323" s="71" t="s">
        <v>2604</v>
      </c>
      <c r="Q323" s="71" t="s">
        <v>2889</v>
      </c>
      <c r="R323" s="71" t="s">
        <v>2604</v>
      </c>
      <c r="S323" s="71" t="s">
        <v>2604</v>
      </c>
      <c r="T323" s="71" t="s">
        <v>2604</v>
      </c>
      <c r="U323" s="71" t="s">
        <v>2604</v>
      </c>
      <c r="V323" s="71" t="s">
        <v>2635</v>
      </c>
    </row>
    <row r="324" spans="1:22">
      <c r="A324" s="71" t="s">
        <v>2659</v>
      </c>
      <c r="B324" s="71" t="s">
        <v>56</v>
      </c>
      <c r="C324" s="72">
        <v>45867.609918958333</v>
      </c>
      <c r="D324" s="72">
        <v>45867.609918958333</v>
      </c>
      <c r="E324" s="71" t="s">
        <v>380</v>
      </c>
      <c r="F324" s="71" t="s">
        <v>658</v>
      </c>
      <c r="G324" s="71" t="s">
        <v>2674</v>
      </c>
      <c r="H324" s="71" t="s">
        <v>657</v>
      </c>
      <c r="I324" s="71" t="s">
        <v>2604</v>
      </c>
      <c r="J324" s="71" t="s">
        <v>752</v>
      </c>
      <c r="K324" s="71" t="s">
        <v>2675</v>
      </c>
      <c r="L324" s="71" t="s">
        <v>2676</v>
      </c>
      <c r="M324" s="71" t="s">
        <v>2677</v>
      </c>
      <c r="N324" s="71" t="s">
        <v>2678</v>
      </c>
      <c r="O324" s="71" t="s">
        <v>2604</v>
      </c>
      <c r="P324" s="71" t="s">
        <v>2604</v>
      </c>
      <c r="Q324" s="71" t="s">
        <v>2679</v>
      </c>
      <c r="R324" s="71" t="s">
        <v>2604</v>
      </c>
      <c r="S324" s="71" t="s">
        <v>2604</v>
      </c>
      <c r="T324" s="71" t="s">
        <v>2604</v>
      </c>
      <c r="U324" s="71" t="s">
        <v>2604</v>
      </c>
      <c r="V324" s="71" t="s">
        <v>2604</v>
      </c>
    </row>
    <row r="325" spans="1:22">
      <c r="A325" s="71" t="s">
        <v>2659</v>
      </c>
      <c r="B325" s="71" t="s">
        <v>2646</v>
      </c>
      <c r="C325" s="72">
        <v>45779.436436458331</v>
      </c>
      <c r="D325" s="72">
        <v>45779.436436458331</v>
      </c>
      <c r="E325" s="71" t="s">
        <v>365</v>
      </c>
      <c r="F325" s="71" t="s">
        <v>1266</v>
      </c>
      <c r="G325" s="71" t="s">
        <v>2761</v>
      </c>
      <c r="H325" s="71" t="s">
        <v>447</v>
      </c>
      <c r="I325" s="71" t="s">
        <v>2604</v>
      </c>
      <c r="J325" s="71" t="s">
        <v>752</v>
      </c>
      <c r="K325" s="71" t="s">
        <v>2723</v>
      </c>
      <c r="L325" s="71" t="s">
        <v>2665</v>
      </c>
      <c r="M325" s="71" t="s">
        <v>2762</v>
      </c>
      <c r="N325" s="71" t="s">
        <v>2763</v>
      </c>
      <c r="O325" s="71" t="s">
        <v>2692</v>
      </c>
      <c r="P325" s="71" t="s">
        <v>2604</v>
      </c>
      <c r="Q325" s="71" t="s">
        <v>2764</v>
      </c>
      <c r="R325" s="71" t="s">
        <v>2604</v>
      </c>
      <c r="S325" s="71" t="s">
        <v>2604</v>
      </c>
      <c r="T325" s="71" t="s">
        <v>2604</v>
      </c>
      <c r="U325" s="71" t="s">
        <v>2604</v>
      </c>
      <c r="V325" s="71" t="s">
        <v>2604</v>
      </c>
    </row>
    <row r="326" spans="1:22">
      <c r="A326" s="71" t="s">
        <v>2659</v>
      </c>
      <c r="B326" s="71" t="s">
        <v>2646</v>
      </c>
      <c r="C326" s="72">
        <v>45814.672897685188</v>
      </c>
      <c r="D326" s="72">
        <v>45814.672897685188</v>
      </c>
      <c r="E326" s="71" t="s">
        <v>365</v>
      </c>
      <c r="F326" s="71" t="s">
        <v>501</v>
      </c>
      <c r="G326" s="71" t="s">
        <v>502</v>
      </c>
      <c r="H326" s="71" t="s">
        <v>500</v>
      </c>
      <c r="I326" s="71" t="s">
        <v>2604</v>
      </c>
      <c r="J326" s="71" t="s">
        <v>744</v>
      </c>
      <c r="K326" s="71" t="s">
        <v>2665</v>
      </c>
      <c r="L326" s="71" t="s">
        <v>2666</v>
      </c>
      <c r="M326" s="71" t="s">
        <v>2671</v>
      </c>
      <c r="N326" s="71" t="s">
        <v>3125</v>
      </c>
      <c r="O326" s="71" t="s">
        <v>2692</v>
      </c>
      <c r="P326" s="71" t="s">
        <v>2604</v>
      </c>
      <c r="Q326" s="71" t="s">
        <v>3126</v>
      </c>
      <c r="R326" s="71" t="s">
        <v>2604</v>
      </c>
      <c r="S326" s="71" t="s">
        <v>2604</v>
      </c>
      <c r="T326" s="71" t="s">
        <v>2604</v>
      </c>
      <c r="U326" s="71" t="s">
        <v>2604</v>
      </c>
      <c r="V326" s="71" t="s">
        <v>2604</v>
      </c>
    </row>
    <row r="327" spans="1:22">
      <c r="A327" s="71" t="s">
        <v>2659</v>
      </c>
      <c r="B327" s="71" t="s">
        <v>659</v>
      </c>
      <c r="C327" s="72">
        <v>46031.594303344908</v>
      </c>
      <c r="D327" s="72">
        <v>46031.594303344908</v>
      </c>
      <c r="E327" s="71" t="s">
        <v>365</v>
      </c>
      <c r="F327" s="71" t="s">
        <v>1037</v>
      </c>
      <c r="G327" s="71" t="s">
        <v>1038</v>
      </c>
      <c r="H327" s="71" t="s">
        <v>1036</v>
      </c>
      <c r="I327" s="71" t="s">
        <v>2604</v>
      </c>
      <c r="J327" s="71" t="s">
        <v>744</v>
      </c>
      <c r="K327" s="71" t="s">
        <v>2665</v>
      </c>
      <c r="L327" s="71" t="s">
        <v>2821</v>
      </c>
      <c r="M327" s="71" t="s">
        <v>3134</v>
      </c>
      <c r="N327" s="71" t="s">
        <v>3134</v>
      </c>
      <c r="O327" s="71" t="s">
        <v>2640</v>
      </c>
      <c r="P327" s="71" t="s">
        <v>2604</v>
      </c>
      <c r="Q327" s="71" t="s">
        <v>3135</v>
      </c>
      <c r="R327" s="71" t="s">
        <v>2604</v>
      </c>
      <c r="S327" s="71" t="s">
        <v>2604</v>
      </c>
      <c r="T327" s="71" t="s">
        <v>2604</v>
      </c>
      <c r="U327" s="71" t="s">
        <v>2604</v>
      </c>
      <c r="V327" s="71" t="s">
        <v>2604</v>
      </c>
    </row>
    <row r="328" spans="1:22">
      <c r="A328" s="71" t="s">
        <v>2659</v>
      </c>
      <c r="B328" s="71" t="s">
        <v>724</v>
      </c>
      <c r="C328" s="72">
        <v>45897.554412488425</v>
      </c>
      <c r="D328" s="72">
        <v>45897.554412488425</v>
      </c>
      <c r="E328" s="71" t="s">
        <v>365</v>
      </c>
      <c r="F328" s="71" t="s">
        <v>64</v>
      </c>
      <c r="G328" s="71" t="s">
        <v>3136</v>
      </c>
      <c r="H328" s="71" t="s">
        <v>63</v>
      </c>
      <c r="I328" s="71" t="s">
        <v>2604</v>
      </c>
      <c r="J328" s="71" t="s">
        <v>747</v>
      </c>
      <c r="K328" s="71" t="s">
        <v>2768</v>
      </c>
      <c r="L328" s="71" t="s">
        <v>3137</v>
      </c>
      <c r="M328" s="71" t="s">
        <v>3138</v>
      </c>
      <c r="N328" s="71" t="s">
        <v>3138</v>
      </c>
      <c r="O328" s="71" t="s">
        <v>2640</v>
      </c>
      <c r="P328" s="71" t="s">
        <v>3139</v>
      </c>
      <c r="Q328" s="71" t="s">
        <v>3140</v>
      </c>
      <c r="R328" s="71" t="s">
        <v>2604</v>
      </c>
      <c r="S328" s="71" t="s">
        <v>2604</v>
      </c>
      <c r="T328" s="71" t="s">
        <v>2604</v>
      </c>
      <c r="U328" s="71" t="s">
        <v>2604</v>
      </c>
      <c r="V328" s="71" t="s">
        <v>2604</v>
      </c>
    </row>
    <row r="329" spans="1:22">
      <c r="A329" s="71" t="s">
        <v>2659</v>
      </c>
      <c r="B329" s="71" t="s">
        <v>56</v>
      </c>
      <c r="C329" s="72">
        <v>45923.504220196759</v>
      </c>
      <c r="D329" s="72">
        <v>45923.504220196759</v>
      </c>
      <c r="E329" s="71" t="s">
        <v>365</v>
      </c>
      <c r="F329" s="71" t="s">
        <v>830</v>
      </c>
      <c r="G329" s="71" t="s">
        <v>831</v>
      </c>
      <c r="H329" s="71" t="s">
        <v>829</v>
      </c>
      <c r="I329" s="71" t="s">
        <v>2604</v>
      </c>
      <c r="J329" s="71" t="s">
        <v>813</v>
      </c>
      <c r="K329" s="71" t="s">
        <v>2648</v>
      </c>
      <c r="L329" s="71" t="s">
        <v>2649</v>
      </c>
      <c r="M329" s="71" t="s">
        <v>2726</v>
      </c>
      <c r="N329" s="71" t="s">
        <v>2726</v>
      </c>
      <c r="O329" s="71" t="s">
        <v>2640</v>
      </c>
      <c r="P329" s="71" t="s">
        <v>2604</v>
      </c>
      <c r="Q329" s="71" t="s">
        <v>2842</v>
      </c>
      <c r="R329" s="71" t="s">
        <v>2604</v>
      </c>
      <c r="S329" s="71" t="s">
        <v>2604</v>
      </c>
      <c r="T329" s="71" t="s">
        <v>2604</v>
      </c>
      <c r="U329" s="71" t="s">
        <v>2604</v>
      </c>
      <c r="V329" s="71" t="s">
        <v>2664</v>
      </c>
    </row>
    <row r="330" spans="1:22">
      <c r="A330" s="71" t="s">
        <v>2659</v>
      </c>
      <c r="B330" s="71" t="s">
        <v>56</v>
      </c>
      <c r="C330" s="72">
        <v>45855.412680289352</v>
      </c>
      <c r="D330" s="72">
        <v>45855.412680289352</v>
      </c>
      <c r="E330" s="71" t="s">
        <v>365</v>
      </c>
      <c r="F330" s="71" t="s">
        <v>2567</v>
      </c>
      <c r="G330" s="71" t="s">
        <v>573</v>
      </c>
      <c r="H330" s="71" t="s">
        <v>571</v>
      </c>
      <c r="I330" s="71" t="s">
        <v>2604</v>
      </c>
      <c r="J330" s="71" t="s">
        <v>813</v>
      </c>
      <c r="K330" s="71" t="s">
        <v>2648</v>
      </c>
      <c r="L330" s="71" t="s">
        <v>2649</v>
      </c>
      <c r="M330" s="71" t="s">
        <v>2726</v>
      </c>
      <c r="N330" s="71" t="s">
        <v>2726</v>
      </c>
      <c r="O330" s="71" t="s">
        <v>2640</v>
      </c>
      <c r="P330" s="71" t="s">
        <v>2604</v>
      </c>
      <c r="Q330" s="71" t="s">
        <v>3041</v>
      </c>
      <c r="R330" s="71" t="s">
        <v>2604</v>
      </c>
      <c r="S330" s="71" t="s">
        <v>2604</v>
      </c>
      <c r="T330" s="71" t="s">
        <v>2604</v>
      </c>
      <c r="U330" s="71" t="s">
        <v>2604</v>
      </c>
      <c r="V330" s="71" t="s">
        <v>2604</v>
      </c>
    </row>
    <row r="331" spans="1:22">
      <c r="A331" s="71" t="s">
        <v>2659</v>
      </c>
      <c r="B331" s="71" t="s">
        <v>84</v>
      </c>
      <c r="C331" s="72">
        <v>45909.432285208335</v>
      </c>
      <c r="D331" s="72">
        <v>45909.432285208335</v>
      </c>
      <c r="E331" s="71" t="s">
        <v>365</v>
      </c>
      <c r="F331" s="71" t="s">
        <v>791</v>
      </c>
      <c r="G331" s="71" t="s">
        <v>2947</v>
      </c>
      <c r="H331" s="71" t="s">
        <v>790</v>
      </c>
      <c r="I331" s="71" t="s">
        <v>2604</v>
      </c>
      <c r="J331" s="71" t="s">
        <v>744</v>
      </c>
      <c r="K331" s="71" t="s">
        <v>2665</v>
      </c>
      <c r="L331" s="71" t="s">
        <v>2821</v>
      </c>
      <c r="M331" s="71" t="s">
        <v>2671</v>
      </c>
      <c r="N331" s="71" t="s">
        <v>2948</v>
      </c>
      <c r="O331" s="71" t="s">
        <v>2640</v>
      </c>
      <c r="P331" s="71" t="s">
        <v>2604</v>
      </c>
      <c r="Q331" s="71" t="s">
        <v>2949</v>
      </c>
      <c r="R331" s="71" t="s">
        <v>2604</v>
      </c>
      <c r="S331" s="71" t="s">
        <v>2604</v>
      </c>
      <c r="T331" s="71" t="s">
        <v>2604</v>
      </c>
      <c r="U331" s="71" t="s">
        <v>2604</v>
      </c>
      <c r="V331" s="71" t="s">
        <v>2635</v>
      </c>
    </row>
    <row r="332" spans="1:22">
      <c r="A332" s="71" t="s">
        <v>2659</v>
      </c>
      <c r="B332" s="71" t="s">
        <v>84</v>
      </c>
      <c r="C332" s="72">
        <v>46057.422896018521</v>
      </c>
      <c r="D332" s="72">
        <v>46057.422896018521</v>
      </c>
      <c r="E332" s="71" t="s">
        <v>473</v>
      </c>
      <c r="F332" s="71" t="s">
        <v>3141</v>
      </c>
      <c r="G332" s="71" t="s">
        <v>1070</v>
      </c>
      <c r="H332" s="71" t="s">
        <v>1068</v>
      </c>
      <c r="I332" s="71" t="s">
        <v>2604</v>
      </c>
      <c r="J332" s="71" t="s">
        <v>747</v>
      </c>
      <c r="K332" s="71" t="s">
        <v>2768</v>
      </c>
      <c r="L332" s="71" t="s">
        <v>3142</v>
      </c>
      <c r="M332" s="71" t="s">
        <v>3143</v>
      </c>
      <c r="N332" s="71" t="s">
        <v>3143</v>
      </c>
      <c r="O332" s="71" t="s">
        <v>2640</v>
      </c>
      <c r="P332" s="71" t="s">
        <v>3144</v>
      </c>
      <c r="Q332" s="71" t="s">
        <v>3145</v>
      </c>
      <c r="R332" s="71" t="s">
        <v>2604</v>
      </c>
      <c r="S332" s="71" t="s">
        <v>2604</v>
      </c>
      <c r="T332" s="71" t="s">
        <v>2604</v>
      </c>
      <c r="U332" s="71" t="s">
        <v>2604</v>
      </c>
      <c r="V332" s="71" t="s">
        <v>2618</v>
      </c>
    </row>
    <row r="333" spans="1:22">
      <c r="A333" s="71" t="s">
        <v>2659</v>
      </c>
      <c r="B333" s="71" t="s">
        <v>84</v>
      </c>
      <c r="C333" s="72">
        <v>45965.689278425925</v>
      </c>
      <c r="D333" s="72">
        <v>45965.689278425925</v>
      </c>
      <c r="E333" s="71" t="s">
        <v>365</v>
      </c>
      <c r="F333" s="71" t="s">
        <v>921</v>
      </c>
      <c r="G333" s="71" t="s">
        <v>922</v>
      </c>
      <c r="H333" s="71" t="s">
        <v>920</v>
      </c>
      <c r="I333" s="71" t="s">
        <v>2604</v>
      </c>
      <c r="J333" s="71" t="s">
        <v>769</v>
      </c>
      <c r="K333" s="71" t="s">
        <v>2773</v>
      </c>
      <c r="L333" s="71" t="s">
        <v>2670</v>
      </c>
      <c r="M333" s="71" t="s">
        <v>3024</v>
      </c>
      <c r="N333" s="71" t="s">
        <v>3024</v>
      </c>
      <c r="O333" s="71" t="s">
        <v>2640</v>
      </c>
      <c r="P333" s="71" t="s">
        <v>2604</v>
      </c>
      <c r="Q333" s="71" t="s">
        <v>3025</v>
      </c>
      <c r="R333" s="71" t="s">
        <v>2604</v>
      </c>
      <c r="S333" s="71" t="s">
        <v>2604</v>
      </c>
      <c r="T333" s="71" t="s">
        <v>2604</v>
      </c>
      <c r="U333" s="71" t="s">
        <v>2604</v>
      </c>
      <c r="V333" s="71" t="s">
        <v>2604</v>
      </c>
    </row>
    <row r="334" spans="1:22">
      <c r="A334" s="71" t="s">
        <v>2659</v>
      </c>
      <c r="B334" s="71" t="s">
        <v>84</v>
      </c>
      <c r="C334" s="72">
        <v>46043.463382337963</v>
      </c>
      <c r="D334" s="72">
        <v>46043.463382337963</v>
      </c>
      <c r="E334" s="71" t="s">
        <v>135</v>
      </c>
      <c r="F334" s="71" t="s">
        <v>1046</v>
      </c>
      <c r="G334" s="71" t="s">
        <v>1047</v>
      </c>
      <c r="H334" s="71" t="s">
        <v>1045</v>
      </c>
      <c r="I334" s="71" t="s">
        <v>2604</v>
      </c>
      <c r="J334" s="71" t="s">
        <v>744</v>
      </c>
      <c r="K334" s="71" t="s">
        <v>2665</v>
      </c>
      <c r="L334" s="71" t="s">
        <v>2821</v>
      </c>
      <c r="M334" s="71" t="s">
        <v>2928</v>
      </c>
      <c r="N334" s="71" t="s">
        <v>3146</v>
      </c>
      <c r="O334" s="71" t="s">
        <v>2640</v>
      </c>
      <c r="P334" s="71" t="s">
        <v>2604</v>
      </c>
      <c r="Q334" s="71" t="s">
        <v>3147</v>
      </c>
      <c r="R334" s="71" t="s">
        <v>2604</v>
      </c>
      <c r="S334" s="71" t="s">
        <v>2604</v>
      </c>
      <c r="T334" s="71" t="s">
        <v>2604</v>
      </c>
      <c r="U334" s="71" t="s">
        <v>2604</v>
      </c>
      <c r="V334" s="71" t="s">
        <v>2604</v>
      </c>
    </row>
    <row r="335" spans="1:22">
      <c r="A335" s="71" t="s">
        <v>2659</v>
      </c>
      <c r="B335" s="71" t="s">
        <v>84</v>
      </c>
      <c r="C335" s="72">
        <v>45869.651242534725</v>
      </c>
      <c r="D335" s="72">
        <v>45869.651242534725</v>
      </c>
      <c r="E335" s="71" t="s">
        <v>365</v>
      </c>
      <c r="F335" s="71" t="s">
        <v>666</v>
      </c>
      <c r="G335" s="71" t="s">
        <v>667</v>
      </c>
      <c r="H335" s="71" t="s">
        <v>665</v>
      </c>
      <c r="I335" s="71" t="s">
        <v>2604</v>
      </c>
      <c r="J335" s="71" t="s">
        <v>744</v>
      </c>
      <c r="K335" s="71" t="s">
        <v>2665</v>
      </c>
      <c r="L335" s="71" t="s">
        <v>2666</v>
      </c>
      <c r="M335" s="71" t="s">
        <v>2691</v>
      </c>
      <c r="N335" s="71" t="s">
        <v>2662</v>
      </c>
      <c r="O335" s="71" t="s">
        <v>2640</v>
      </c>
      <c r="P335" s="71" t="s">
        <v>2604</v>
      </c>
      <c r="Q335" s="71" t="s">
        <v>3148</v>
      </c>
      <c r="R335" s="71" t="s">
        <v>2604</v>
      </c>
      <c r="S335" s="71" t="s">
        <v>2604</v>
      </c>
      <c r="T335" s="71" t="s">
        <v>2604</v>
      </c>
      <c r="U335" s="71" t="s">
        <v>2604</v>
      </c>
      <c r="V335" s="71" t="s">
        <v>2604</v>
      </c>
    </row>
    <row r="336" spans="1:22">
      <c r="A336" s="71" t="s">
        <v>2659</v>
      </c>
      <c r="B336" s="71" t="s">
        <v>724</v>
      </c>
      <c r="C336" s="72">
        <v>46031.361862442129</v>
      </c>
      <c r="D336" s="72">
        <v>46031.361862442129</v>
      </c>
      <c r="E336" s="71" t="s">
        <v>365</v>
      </c>
      <c r="F336" s="71" t="s">
        <v>1033</v>
      </c>
      <c r="G336" s="71" t="s">
        <v>1034</v>
      </c>
      <c r="H336" s="71" t="s">
        <v>1032</v>
      </c>
      <c r="I336" s="71" t="s">
        <v>2604</v>
      </c>
      <c r="J336" s="71" t="s">
        <v>752</v>
      </c>
      <c r="K336" s="71" t="s">
        <v>2675</v>
      </c>
      <c r="L336" s="71" t="s">
        <v>2712</v>
      </c>
      <c r="M336" s="71" t="s">
        <v>3021</v>
      </c>
      <c r="N336" s="71" t="s">
        <v>3022</v>
      </c>
      <c r="O336" s="71" t="s">
        <v>2640</v>
      </c>
      <c r="P336" s="71" t="s">
        <v>2604</v>
      </c>
      <c r="Q336" s="71" t="s">
        <v>3023</v>
      </c>
      <c r="R336" s="71" t="s">
        <v>2604</v>
      </c>
      <c r="S336" s="71" t="s">
        <v>2604</v>
      </c>
      <c r="T336" s="71" t="s">
        <v>2604</v>
      </c>
      <c r="U336" s="71" t="s">
        <v>2604</v>
      </c>
      <c r="V336" s="71" t="s">
        <v>2604</v>
      </c>
    </row>
    <row r="337" spans="1:22">
      <c r="A337" s="71" t="s">
        <v>2659</v>
      </c>
      <c r="B337" s="71" t="s">
        <v>84</v>
      </c>
      <c r="C337" s="72">
        <v>46006.411596863429</v>
      </c>
      <c r="D337" s="72">
        <v>46006.411596863429</v>
      </c>
      <c r="E337" s="71" t="s">
        <v>365</v>
      </c>
      <c r="F337" s="71" t="s">
        <v>998</v>
      </c>
      <c r="G337" s="71" t="s">
        <v>3109</v>
      </c>
      <c r="H337" s="71" t="s">
        <v>997</v>
      </c>
      <c r="I337" s="71" t="s">
        <v>2604</v>
      </c>
      <c r="J337" s="71" t="s">
        <v>744</v>
      </c>
      <c r="K337" s="71" t="s">
        <v>2665</v>
      </c>
      <c r="L337" s="71" t="s">
        <v>2821</v>
      </c>
      <c r="M337" s="71" t="s">
        <v>2671</v>
      </c>
      <c r="N337" s="71" t="s">
        <v>3110</v>
      </c>
      <c r="O337" s="71" t="s">
        <v>2640</v>
      </c>
      <c r="P337" s="71" t="s">
        <v>2604</v>
      </c>
      <c r="Q337" s="71" t="s">
        <v>3111</v>
      </c>
      <c r="R337" s="71" t="s">
        <v>2604</v>
      </c>
      <c r="S337" s="71" t="s">
        <v>2604</v>
      </c>
      <c r="T337" s="71" t="s">
        <v>2604</v>
      </c>
      <c r="U337" s="71" t="s">
        <v>2604</v>
      </c>
      <c r="V337" s="71" t="s">
        <v>2604</v>
      </c>
    </row>
    <row r="338" spans="1:22">
      <c r="A338" s="71" t="s">
        <v>2659</v>
      </c>
      <c r="B338" s="71" t="s">
        <v>659</v>
      </c>
      <c r="C338" s="72">
        <v>45869.36627111111</v>
      </c>
      <c r="D338" s="72">
        <v>45869.36627111111</v>
      </c>
      <c r="E338" s="71" t="s">
        <v>473</v>
      </c>
      <c r="F338" s="71" t="s">
        <v>2748</v>
      </c>
      <c r="G338" s="71" t="s">
        <v>2749</v>
      </c>
      <c r="H338" s="71" t="s">
        <v>660</v>
      </c>
      <c r="I338" s="71" t="s">
        <v>2604</v>
      </c>
      <c r="J338" s="71" t="s">
        <v>1140</v>
      </c>
      <c r="K338" s="71" t="s">
        <v>2750</v>
      </c>
      <c r="L338" s="71" t="s">
        <v>2604</v>
      </c>
      <c r="M338" s="71" t="s">
        <v>2751</v>
      </c>
      <c r="N338" s="71" t="s">
        <v>2752</v>
      </c>
      <c r="O338" s="71" t="s">
        <v>2640</v>
      </c>
      <c r="P338" s="71" t="s">
        <v>2753</v>
      </c>
      <c r="Q338" s="71" t="s">
        <v>2754</v>
      </c>
      <c r="R338" s="71" t="s">
        <v>2604</v>
      </c>
      <c r="S338" s="71" t="s">
        <v>2604</v>
      </c>
      <c r="T338" s="71" t="s">
        <v>2604</v>
      </c>
      <c r="U338" s="71" t="s">
        <v>2604</v>
      </c>
      <c r="V338" s="71" t="s">
        <v>2604</v>
      </c>
    </row>
    <row r="339" spans="1:22">
      <c r="A339" s="71" t="s">
        <v>2659</v>
      </c>
      <c r="B339" s="71" t="s">
        <v>84</v>
      </c>
      <c r="C339" s="72">
        <v>45974.645689999998</v>
      </c>
      <c r="D339" s="72">
        <v>45974.645689999998</v>
      </c>
      <c r="E339" s="71" t="s">
        <v>473</v>
      </c>
      <c r="F339" s="71" t="s">
        <v>942</v>
      </c>
      <c r="G339" s="71" t="s">
        <v>943</v>
      </c>
      <c r="H339" s="71" t="s">
        <v>941</v>
      </c>
      <c r="I339" s="71" t="s">
        <v>2604</v>
      </c>
      <c r="J339" s="71" t="s">
        <v>774</v>
      </c>
      <c r="K339" s="71" t="s">
        <v>2670</v>
      </c>
      <c r="L339" s="71" t="s">
        <v>2604</v>
      </c>
      <c r="M339" s="71" t="s">
        <v>2671</v>
      </c>
      <c r="N339" s="71" t="s">
        <v>3149</v>
      </c>
      <c r="O339" s="71" t="s">
        <v>2640</v>
      </c>
      <c r="P339" s="71" t="s">
        <v>2604</v>
      </c>
      <c r="Q339" s="71" t="s">
        <v>3150</v>
      </c>
      <c r="R339" s="71" t="s">
        <v>2604</v>
      </c>
      <c r="S339" s="71" t="s">
        <v>2604</v>
      </c>
      <c r="T339" s="71" t="s">
        <v>2604</v>
      </c>
      <c r="U339" s="71" t="s">
        <v>2604</v>
      </c>
      <c r="V339" s="71" t="s">
        <v>2604</v>
      </c>
    </row>
    <row r="340" spans="1:22">
      <c r="A340" s="71" t="s">
        <v>2659</v>
      </c>
      <c r="B340" s="71" t="s">
        <v>2646</v>
      </c>
      <c r="C340" s="72">
        <v>45799.555150590277</v>
      </c>
      <c r="D340" s="72">
        <v>45799.555150590277</v>
      </c>
      <c r="E340" s="71" t="s">
        <v>365</v>
      </c>
      <c r="F340" s="71" t="s">
        <v>476</v>
      </c>
      <c r="G340" s="71" t="s">
        <v>477</v>
      </c>
      <c r="H340" s="71" t="s">
        <v>475</v>
      </c>
      <c r="I340" s="71" t="s">
        <v>2604</v>
      </c>
      <c r="J340" s="71" t="s">
        <v>752</v>
      </c>
      <c r="K340" s="71" t="s">
        <v>2723</v>
      </c>
      <c r="L340" s="71" t="s">
        <v>2665</v>
      </c>
      <c r="M340" s="71" t="s">
        <v>2941</v>
      </c>
      <c r="N340" s="71" t="s">
        <v>2942</v>
      </c>
      <c r="O340" s="71" t="s">
        <v>2692</v>
      </c>
      <c r="P340" s="71" t="s">
        <v>2604</v>
      </c>
      <c r="Q340" s="71" t="s">
        <v>2943</v>
      </c>
      <c r="R340" s="71" t="s">
        <v>2604</v>
      </c>
      <c r="S340" s="71" t="s">
        <v>2604</v>
      </c>
      <c r="T340" s="71" t="s">
        <v>2604</v>
      </c>
      <c r="U340" s="71" t="s">
        <v>2604</v>
      </c>
      <c r="V340" s="71" t="s">
        <v>2655</v>
      </c>
    </row>
    <row r="341" spans="1:22">
      <c r="A341" s="71" t="s">
        <v>2659</v>
      </c>
      <c r="B341" s="71" t="s">
        <v>2646</v>
      </c>
      <c r="C341" s="72">
        <v>45810.444206087966</v>
      </c>
      <c r="D341" s="72">
        <v>45810.444206087966</v>
      </c>
      <c r="E341" s="71" t="s">
        <v>365</v>
      </c>
      <c r="F341" s="71" t="s">
        <v>485</v>
      </c>
      <c r="G341" s="71" t="s">
        <v>486</v>
      </c>
      <c r="H341" s="71" t="s">
        <v>484</v>
      </c>
      <c r="I341" s="71" t="s">
        <v>2604</v>
      </c>
      <c r="J341" s="71" t="s">
        <v>752</v>
      </c>
      <c r="K341" s="71" t="s">
        <v>2723</v>
      </c>
      <c r="L341" s="71" t="s">
        <v>2665</v>
      </c>
      <c r="M341" s="71" t="s">
        <v>2759</v>
      </c>
      <c r="N341" s="71" t="s">
        <v>2759</v>
      </c>
      <c r="O341" s="71" t="s">
        <v>2692</v>
      </c>
      <c r="P341" s="71" t="s">
        <v>2604</v>
      </c>
      <c r="Q341" s="71" t="s">
        <v>2760</v>
      </c>
      <c r="R341" s="71" t="s">
        <v>2604</v>
      </c>
      <c r="S341" s="71" t="s">
        <v>2604</v>
      </c>
      <c r="T341" s="71" t="s">
        <v>2604</v>
      </c>
      <c r="U341" s="71" t="s">
        <v>2604</v>
      </c>
      <c r="V341" s="71" t="s">
        <v>2604</v>
      </c>
    </row>
    <row r="342" spans="1:22">
      <c r="A342" s="71" t="s">
        <v>2659</v>
      </c>
      <c r="B342" s="71" t="s">
        <v>2646</v>
      </c>
      <c r="C342" s="72">
        <v>45816.375078055557</v>
      </c>
      <c r="D342" s="72">
        <v>45816.375078055557</v>
      </c>
      <c r="E342" s="71" t="s">
        <v>365</v>
      </c>
      <c r="F342" s="71" t="s">
        <v>504</v>
      </c>
      <c r="G342" s="71" t="s">
        <v>505</v>
      </c>
      <c r="H342" s="71" t="s">
        <v>503</v>
      </c>
      <c r="I342" s="71" t="s">
        <v>2604</v>
      </c>
      <c r="J342" s="71" t="s">
        <v>774</v>
      </c>
      <c r="K342" s="71" t="s">
        <v>2670</v>
      </c>
      <c r="L342" s="71" t="s">
        <v>2604</v>
      </c>
      <c r="M342" s="71" t="s">
        <v>2671</v>
      </c>
      <c r="N342" s="71" t="s">
        <v>3151</v>
      </c>
      <c r="O342" s="71" t="s">
        <v>2692</v>
      </c>
      <c r="P342" s="71" t="s">
        <v>2604</v>
      </c>
      <c r="Q342" s="71" t="s">
        <v>3152</v>
      </c>
      <c r="R342" s="71" t="s">
        <v>2604</v>
      </c>
      <c r="S342" s="71" t="s">
        <v>2604</v>
      </c>
      <c r="T342" s="71" t="s">
        <v>2604</v>
      </c>
      <c r="U342" s="71" t="s">
        <v>2604</v>
      </c>
      <c r="V342" s="71" t="s">
        <v>2655</v>
      </c>
    </row>
    <row r="343" spans="1:22">
      <c r="A343" s="71" t="s">
        <v>2659</v>
      </c>
      <c r="B343" s="71" t="s">
        <v>56</v>
      </c>
      <c r="C343" s="72">
        <v>45863.531127361108</v>
      </c>
      <c r="D343" s="72">
        <v>45863.531127361108</v>
      </c>
      <c r="E343" s="71" t="s">
        <v>365</v>
      </c>
      <c r="F343" s="71" t="s">
        <v>633</v>
      </c>
      <c r="G343" s="71" t="s">
        <v>634</v>
      </c>
      <c r="H343" s="71" t="s">
        <v>632</v>
      </c>
      <c r="I343" s="71" t="s">
        <v>2604</v>
      </c>
      <c r="J343" s="71" t="s">
        <v>744</v>
      </c>
      <c r="K343" s="71" t="s">
        <v>2665</v>
      </c>
      <c r="L343" s="71" t="s">
        <v>2704</v>
      </c>
      <c r="M343" s="71" t="s">
        <v>2671</v>
      </c>
      <c r="N343" s="71" t="s">
        <v>2733</v>
      </c>
      <c r="O343" s="71" t="s">
        <v>2640</v>
      </c>
      <c r="P343" s="71" t="s">
        <v>2604</v>
      </c>
      <c r="Q343" s="71" t="s">
        <v>2734</v>
      </c>
      <c r="R343" s="71" t="s">
        <v>2604</v>
      </c>
      <c r="S343" s="71" t="s">
        <v>2604</v>
      </c>
      <c r="T343" s="71" t="s">
        <v>2604</v>
      </c>
      <c r="U343" s="71" t="s">
        <v>2604</v>
      </c>
      <c r="V343" s="71" t="s">
        <v>2635</v>
      </c>
    </row>
    <row r="344" spans="1:22">
      <c r="A344" s="71" t="s">
        <v>2659</v>
      </c>
      <c r="B344" s="71" t="s">
        <v>56</v>
      </c>
      <c r="C344" s="72">
        <v>45922.694842569443</v>
      </c>
      <c r="D344" s="72">
        <v>45922.694842569443</v>
      </c>
      <c r="E344" s="71" t="s">
        <v>365</v>
      </c>
      <c r="F344" s="71" t="s">
        <v>827</v>
      </c>
      <c r="G344" s="71" t="s">
        <v>828</v>
      </c>
      <c r="H344" s="71" t="s">
        <v>826</v>
      </c>
      <c r="I344" s="71" t="s">
        <v>2604</v>
      </c>
      <c r="J344" s="71" t="s">
        <v>752</v>
      </c>
      <c r="K344" s="71" t="s">
        <v>2680</v>
      </c>
      <c r="L344" s="71" t="s">
        <v>2681</v>
      </c>
      <c r="M344" s="71" t="s">
        <v>3116</v>
      </c>
      <c r="N344" s="71" t="s">
        <v>3117</v>
      </c>
      <c r="O344" s="71" t="s">
        <v>2640</v>
      </c>
      <c r="P344" s="71" t="s">
        <v>2604</v>
      </c>
      <c r="Q344" s="71" t="s">
        <v>3118</v>
      </c>
      <c r="R344" s="71" t="s">
        <v>2604</v>
      </c>
      <c r="S344" s="71" t="s">
        <v>2604</v>
      </c>
      <c r="T344" s="71" t="s">
        <v>2604</v>
      </c>
      <c r="U344" s="71" t="s">
        <v>2604</v>
      </c>
      <c r="V344" s="71" t="s">
        <v>2635</v>
      </c>
    </row>
    <row r="345" spans="1:22">
      <c r="A345" s="71" t="s">
        <v>2659</v>
      </c>
      <c r="B345" s="71" t="s">
        <v>84</v>
      </c>
      <c r="C345" s="72">
        <v>45943.380858807868</v>
      </c>
      <c r="D345" s="72">
        <v>45943.380858807868</v>
      </c>
      <c r="E345" s="71" t="s">
        <v>365</v>
      </c>
      <c r="F345" s="71" t="s">
        <v>3153</v>
      </c>
      <c r="G345" s="71" t="s">
        <v>879</v>
      </c>
      <c r="H345" s="71" t="s">
        <v>877</v>
      </c>
      <c r="I345" s="71" t="s">
        <v>2604</v>
      </c>
      <c r="J345" s="71" t="s">
        <v>744</v>
      </c>
      <c r="K345" s="71" t="s">
        <v>2665</v>
      </c>
      <c r="L345" s="71" t="s">
        <v>2666</v>
      </c>
      <c r="M345" s="71" t="s">
        <v>2671</v>
      </c>
      <c r="N345" s="71" t="s">
        <v>3154</v>
      </c>
      <c r="O345" s="71" t="s">
        <v>2640</v>
      </c>
      <c r="P345" s="71" t="s">
        <v>2604</v>
      </c>
      <c r="Q345" s="71" t="s">
        <v>3155</v>
      </c>
      <c r="R345" s="71" t="s">
        <v>2604</v>
      </c>
      <c r="S345" s="71" t="s">
        <v>2604</v>
      </c>
      <c r="T345" s="71" t="s">
        <v>2604</v>
      </c>
      <c r="U345" s="71" t="s">
        <v>2604</v>
      </c>
      <c r="V345" s="71" t="s">
        <v>2604</v>
      </c>
    </row>
    <row r="346" spans="1:22">
      <c r="A346" s="71" t="s">
        <v>2659</v>
      </c>
      <c r="B346" s="71" t="s">
        <v>84</v>
      </c>
      <c r="C346" s="72">
        <v>45901.549613888892</v>
      </c>
      <c r="D346" s="72">
        <v>45901.549613888892</v>
      </c>
      <c r="E346" s="71" t="s">
        <v>380</v>
      </c>
      <c r="F346" s="71" t="s">
        <v>757</v>
      </c>
      <c r="G346" s="71" t="s">
        <v>758</v>
      </c>
      <c r="H346" s="71" t="s">
        <v>756</v>
      </c>
      <c r="I346" s="71" t="s">
        <v>2604</v>
      </c>
      <c r="J346" s="71" t="s">
        <v>744</v>
      </c>
      <c r="K346" s="71" t="s">
        <v>2665</v>
      </c>
      <c r="L346" s="71" t="s">
        <v>2821</v>
      </c>
      <c r="M346" s="71" t="s">
        <v>2671</v>
      </c>
      <c r="N346" s="71" t="s">
        <v>3156</v>
      </c>
      <c r="O346" s="71" t="s">
        <v>2640</v>
      </c>
      <c r="P346" s="71" t="s">
        <v>2604</v>
      </c>
      <c r="Q346" s="71" t="s">
        <v>3157</v>
      </c>
      <c r="R346" s="71" t="s">
        <v>2604</v>
      </c>
      <c r="S346" s="71" t="s">
        <v>2604</v>
      </c>
      <c r="T346" s="71" t="s">
        <v>2604</v>
      </c>
      <c r="U346" s="71" t="s">
        <v>2604</v>
      </c>
      <c r="V346" s="71" t="s">
        <v>2604</v>
      </c>
    </row>
    <row r="347" spans="1:22">
      <c r="A347" s="71" t="s">
        <v>2659</v>
      </c>
      <c r="B347" s="71" t="s">
        <v>56</v>
      </c>
      <c r="C347" s="72">
        <v>45856.440421296298</v>
      </c>
      <c r="D347" s="72">
        <v>45856.440421296298</v>
      </c>
      <c r="E347" s="71" t="s">
        <v>365</v>
      </c>
      <c r="F347" s="71" t="s">
        <v>587</v>
      </c>
      <c r="G347" s="71" t="s">
        <v>588</v>
      </c>
      <c r="H347" s="71" t="s">
        <v>586</v>
      </c>
      <c r="I347" s="71" t="s">
        <v>2604</v>
      </c>
      <c r="J347" s="71" t="s">
        <v>744</v>
      </c>
      <c r="K347" s="71" t="s">
        <v>2665</v>
      </c>
      <c r="L347" s="71" t="s">
        <v>2666</v>
      </c>
      <c r="M347" s="71" t="s">
        <v>2671</v>
      </c>
      <c r="N347" s="71" t="s">
        <v>2916</v>
      </c>
      <c r="O347" s="71" t="s">
        <v>2640</v>
      </c>
      <c r="P347" s="71" t="s">
        <v>2604</v>
      </c>
      <c r="Q347" s="71" t="s">
        <v>2917</v>
      </c>
      <c r="R347" s="71" t="s">
        <v>2604</v>
      </c>
      <c r="S347" s="71" t="s">
        <v>2604</v>
      </c>
      <c r="T347" s="71" t="s">
        <v>2604</v>
      </c>
      <c r="U347" s="71" t="s">
        <v>2604</v>
      </c>
      <c r="V347" s="71" t="s">
        <v>2604</v>
      </c>
    </row>
    <row r="348" spans="1:22">
      <c r="A348" s="71" t="s">
        <v>2659</v>
      </c>
      <c r="B348" s="71" t="s">
        <v>56</v>
      </c>
      <c r="C348" s="72">
        <v>45931.534792002312</v>
      </c>
      <c r="D348" s="72">
        <v>45931.534792002312</v>
      </c>
      <c r="E348" s="71" t="s">
        <v>365</v>
      </c>
      <c r="F348" s="71" t="s">
        <v>851</v>
      </c>
      <c r="G348" s="71" t="s">
        <v>852</v>
      </c>
      <c r="H348" s="71" t="s">
        <v>850</v>
      </c>
      <c r="I348" s="71" t="s">
        <v>2604</v>
      </c>
      <c r="J348" s="71" t="s">
        <v>774</v>
      </c>
      <c r="K348" s="71" t="s">
        <v>2670</v>
      </c>
      <c r="L348" s="71" t="s">
        <v>2604</v>
      </c>
      <c r="M348" s="71" t="s">
        <v>2671</v>
      </c>
      <c r="N348" s="71" t="s">
        <v>2858</v>
      </c>
      <c r="O348" s="71" t="s">
        <v>2640</v>
      </c>
      <c r="P348" s="71" t="s">
        <v>2604</v>
      </c>
      <c r="Q348" s="71" t="s">
        <v>2859</v>
      </c>
      <c r="R348" s="71" t="s">
        <v>2604</v>
      </c>
      <c r="S348" s="71" t="s">
        <v>2604</v>
      </c>
      <c r="T348" s="71" t="s">
        <v>2604</v>
      </c>
      <c r="U348" s="71" t="s">
        <v>2604</v>
      </c>
      <c r="V348" s="71" t="s">
        <v>2604</v>
      </c>
    </row>
    <row r="349" spans="1:22">
      <c r="A349" s="71" t="s">
        <v>2659</v>
      </c>
      <c r="B349" s="71" t="s">
        <v>56</v>
      </c>
      <c r="C349" s="72">
        <v>46008.558496006946</v>
      </c>
      <c r="D349" s="72">
        <v>46008.558496006946</v>
      </c>
      <c r="E349" s="71" t="s">
        <v>365</v>
      </c>
      <c r="F349" s="71" t="s">
        <v>1005</v>
      </c>
      <c r="G349" s="71" t="s">
        <v>1006</v>
      </c>
      <c r="H349" s="71" t="s">
        <v>1004</v>
      </c>
      <c r="I349" s="71" t="s">
        <v>2604</v>
      </c>
      <c r="J349" s="71" t="s">
        <v>774</v>
      </c>
      <c r="K349" s="71" t="s">
        <v>2696</v>
      </c>
      <c r="L349" s="71" t="s">
        <v>2604</v>
      </c>
      <c r="M349" s="71" t="s">
        <v>2697</v>
      </c>
      <c r="N349" s="71" t="s">
        <v>2698</v>
      </c>
      <c r="O349" s="71" t="s">
        <v>2640</v>
      </c>
      <c r="P349" s="71" t="s">
        <v>2604</v>
      </c>
      <c r="Q349" s="71" t="s">
        <v>2699</v>
      </c>
      <c r="R349" s="71" t="s">
        <v>2604</v>
      </c>
      <c r="S349" s="71" t="s">
        <v>2604</v>
      </c>
      <c r="T349" s="71" t="s">
        <v>2604</v>
      </c>
      <c r="U349" s="71" t="s">
        <v>2604</v>
      </c>
      <c r="V349" s="71" t="s">
        <v>2664</v>
      </c>
    </row>
    <row r="350" spans="1:22">
      <c r="A350" s="71" t="s">
        <v>2659</v>
      </c>
      <c r="B350" s="71" t="s">
        <v>724</v>
      </c>
      <c r="C350" s="72">
        <v>46006.479755208333</v>
      </c>
      <c r="D350" s="72">
        <v>46006.479755208333</v>
      </c>
      <c r="E350" s="71" t="s">
        <v>365</v>
      </c>
      <c r="F350" s="71" t="s">
        <v>1000</v>
      </c>
      <c r="G350" s="71" t="s">
        <v>3098</v>
      </c>
      <c r="H350" s="71" t="s">
        <v>999</v>
      </c>
      <c r="I350" s="71" t="s">
        <v>2604</v>
      </c>
      <c r="J350" s="71" t="s">
        <v>774</v>
      </c>
      <c r="K350" s="71" t="s">
        <v>2670</v>
      </c>
      <c r="L350" s="71" t="s">
        <v>2604</v>
      </c>
      <c r="M350" s="71" t="s">
        <v>2671</v>
      </c>
      <c r="N350" s="71" t="s">
        <v>3099</v>
      </c>
      <c r="O350" s="71" t="s">
        <v>2640</v>
      </c>
      <c r="P350" s="71" t="s">
        <v>2604</v>
      </c>
      <c r="Q350" s="71" t="s">
        <v>3100</v>
      </c>
      <c r="R350" s="71" t="s">
        <v>2604</v>
      </c>
      <c r="S350" s="71" t="s">
        <v>2604</v>
      </c>
      <c r="T350" s="71" t="s">
        <v>2604</v>
      </c>
      <c r="U350" s="71" t="s">
        <v>2604</v>
      </c>
      <c r="V350" s="71" t="s">
        <v>2635</v>
      </c>
    </row>
    <row r="351" spans="1:22">
      <c r="A351" s="71" t="s">
        <v>2659</v>
      </c>
      <c r="B351" s="71" t="s">
        <v>2646</v>
      </c>
      <c r="C351" s="72">
        <v>45828.610380902777</v>
      </c>
      <c r="D351" s="72">
        <v>45828.610380902777</v>
      </c>
      <c r="E351" s="71" t="s">
        <v>365</v>
      </c>
      <c r="F351" s="71" t="s">
        <v>527</v>
      </c>
      <c r="G351" s="71" t="s">
        <v>528</v>
      </c>
      <c r="H351" s="71" t="s">
        <v>526</v>
      </c>
      <c r="I351" s="71" t="s">
        <v>2604</v>
      </c>
      <c r="J351" s="71" t="s">
        <v>744</v>
      </c>
      <c r="K351" s="71" t="s">
        <v>2665</v>
      </c>
      <c r="L351" s="71" t="s">
        <v>2821</v>
      </c>
      <c r="M351" s="71" t="s">
        <v>2671</v>
      </c>
      <c r="N351" s="71" t="s">
        <v>3057</v>
      </c>
      <c r="O351" s="71" t="s">
        <v>2692</v>
      </c>
      <c r="P351" s="71" t="s">
        <v>2604</v>
      </c>
      <c r="Q351" s="71" t="s">
        <v>3058</v>
      </c>
      <c r="R351" s="71" t="s">
        <v>2604</v>
      </c>
      <c r="S351" s="71" t="s">
        <v>2604</v>
      </c>
      <c r="T351" s="71" t="s">
        <v>2604</v>
      </c>
      <c r="U351" s="71" t="s">
        <v>2604</v>
      </c>
      <c r="V351" s="71" t="s">
        <v>2635</v>
      </c>
    </row>
    <row r="352" spans="1:22">
      <c r="A352" s="71" t="s">
        <v>2659</v>
      </c>
      <c r="B352" s="71" t="s">
        <v>56</v>
      </c>
      <c r="C352" s="72">
        <v>45888.480305636571</v>
      </c>
      <c r="D352" s="72">
        <v>45888.480305636571</v>
      </c>
      <c r="E352" s="71" t="s">
        <v>365</v>
      </c>
      <c r="F352" s="71" t="s">
        <v>701</v>
      </c>
      <c r="G352" s="71" t="s">
        <v>702</v>
      </c>
      <c r="H352" s="71" t="s">
        <v>700</v>
      </c>
      <c r="I352" s="71" t="s">
        <v>2604</v>
      </c>
      <c r="J352" s="71" t="s">
        <v>752</v>
      </c>
      <c r="K352" s="71" t="s">
        <v>2680</v>
      </c>
      <c r="L352" s="71" t="s">
        <v>3158</v>
      </c>
      <c r="M352" s="71" t="s">
        <v>3159</v>
      </c>
      <c r="N352" s="71" t="s">
        <v>3160</v>
      </c>
      <c r="O352" s="71" t="s">
        <v>2640</v>
      </c>
      <c r="P352" s="71" t="s">
        <v>2604</v>
      </c>
      <c r="Q352" s="71" t="s">
        <v>3161</v>
      </c>
      <c r="R352" s="71" t="s">
        <v>2604</v>
      </c>
      <c r="S352" s="71" t="s">
        <v>2604</v>
      </c>
      <c r="T352" s="71" t="s">
        <v>2604</v>
      </c>
      <c r="U352" s="71" t="s">
        <v>2604</v>
      </c>
      <c r="V352" s="71" t="s">
        <v>2664</v>
      </c>
    </row>
    <row r="353" spans="1:22">
      <c r="A353" s="71" t="s">
        <v>2659</v>
      </c>
      <c r="B353" s="71" t="s">
        <v>84</v>
      </c>
      <c r="C353" s="72">
        <v>45891.762958877312</v>
      </c>
      <c r="D353" s="72">
        <v>45891.762958877312</v>
      </c>
      <c r="E353" s="71" t="s">
        <v>135</v>
      </c>
      <c r="F353" s="71" t="s">
        <v>719</v>
      </c>
      <c r="G353" s="71" t="s">
        <v>720</v>
      </c>
      <c r="H353" s="71" t="s">
        <v>718</v>
      </c>
      <c r="I353" s="71" t="s">
        <v>2604</v>
      </c>
      <c r="J353" s="71" t="s">
        <v>774</v>
      </c>
      <c r="K353" s="71" t="s">
        <v>2670</v>
      </c>
      <c r="L353" s="71" t="s">
        <v>2604</v>
      </c>
      <c r="M353" s="71" t="s">
        <v>2671</v>
      </c>
      <c r="N353" s="71" t="s">
        <v>3162</v>
      </c>
      <c r="O353" s="71" t="s">
        <v>2640</v>
      </c>
      <c r="P353" s="71" t="s">
        <v>2604</v>
      </c>
      <c r="Q353" s="71" t="s">
        <v>3163</v>
      </c>
      <c r="R353" s="71" t="s">
        <v>2604</v>
      </c>
      <c r="S353" s="71" t="s">
        <v>2604</v>
      </c>
      <c r="T353" s="71" t="s">
        <v>2604</v>
      </c>
      <c r="U353" s="71" t="s">
        <v>2604</v>
      </c>
      <c r="V353" s="71" t="s">
        <v>2604</v>
      </c>
    </row>
    <row r="354" spans="1:22">
      <c r="A354" s="71" t="s">
        <v>2659</v>
      </c>
      <c r="B354" s="71" t="s">
        <v>56</v>
      </c>
      <c r="C354" s="72">
        <v>46043.74347228009</v>
      </c>
      <c r="D354" s="72">
        <v>46043.74347228009</v>
      </c>
      <c r="E354" s="71" t="s">
        <v>365</v>
      </c>
      <c r="F354" s="71" t="s">
        <v>1053</v>
      </c>
      <c r="G354" s="71" t="s">
        <v>1054</v>
      </c>
      <c r="H354" s="71" t="s">
        <v>1052</v>
      </c>
      <c r="I354" s="71" t="s">
        <v>2604</v>
      </c>
      <c r="J354" s="71" t="s">
        <v>752</v>
      </c>
      <c r="K354" s="71" t="s">
        <v>2675</v>
      </c>
      <c r="L354" s="71" t="s">
        <v>2790</v>
      </c>
      <c r="M354" s="71" t="s">
        <v>3019</v>
      </c>
      <c r="N354" s="71" t="s">
        <v>2774</v>
      </c>
      <c r="O354" s="71" t="s">
        <v>2640</v>
      </c>
      <c r="P354" s="71" t="s">
        <v>2604</v>
      </c>
      <c r="Q354" s="71" t="s">
        <v>3020</v>
      </c>
      <c r="R354" s="71" t="s">
        <v>2604</v>
      </c>
      <c r="S354" s="71" t="s">
        <v>2604</v>
      </c>
      <c r="T354" s="71" t="s">
        <v>2604</v>
      </c>
      <c r="U354" s="71" t="s">
        <v>2604</v>
      </c>
      <c r="V354" s="71" t="s">
        <v>2635</v>
      </c>
    </row>
    <row r="355" spans="1:22">
      <c r="A355" s="71" t="s">
        <v>2659</v>
      </c>
      <c r="B355" s="71" t="s">
        <v>56</v>
      </c>
      <c r="C355" s="72">
        <v>45853.562116365742</v>
      </c>
      <c r="D355" s="72">
        <v>45853.562116365742</v>
      </c>
      <c r="E355" s="71" t="s">
        <v>365</v>
      </c>
      <c r="F355" s="71" t="s">
        <v>560</v>
      </c>
      <c r="G355" s="71" t="s">
        <v>561</v>
      </c>
      <c r="H355" s="71" t="s">
        <v>559</v>
      </c>
      <c r="I355" s="71" t="s">
        <v>2604</v>
      </c>
      <c r="J355" s="71" t="s">
        <v>752</v>
      </c>
      <c r="K355" s="71" t="s">
        <v>2675</v>
      </c>
      <c r="L355" s="71" t="s">
        <v>2676</v>
      </c>
      <c r="M355" s="71" t="s">
        <v>2901</v>
      </c>
      <c r="N355" s="71" t="s">
        <v>2902</v>
      </c>
      <c r="O355" s="71" t="s">
        <v>2640</v>
      </c>
      <c r="P355" s="71" t="s">
        <v>2604</v>
      </c>
      <c r="Q355" s="71" t="s">
        <v>2903</v>
      </c>
      <c r="R355" s="71" t="s">
        <v>2604</v>
      </c>
      <c r="S355" s="71" t="s">
        <v>2604</v>
      </c>
      <c r="T355" s="71" t="s">
        <v>2604</v>
      </c>
      <c r="U355" s="71" t="s">
        <v>2604</v>
      </c>
      <c r="V355" s="71" t="s">
        <v>2664</v>
      </c>
    </row>
    <row r="356" spans="1:22">
      <c r="A356" s="71" t="s">
        <v>2659</v>
      </c>
      <c r="B356" s="71" t="s">
        <v>84</v>
      </c>
      <c r="C356" s="72">
        <v>45943.380858807868</v>
      </c>
      <c r="D356" s="72">
        <v>45943.380858807868</v>
      </c>
      <c r="E356" s="71" t="s">
        <v>365</v>
      </c>
      <c r="F356" s="71" t="s">
        <v>3153</v>
      </c>
      <c r="G356" s="71" t="s">
        <v>879</v>
      </c>
      <c r="H356" s="71" t="s">
        <v>877</v>
      </c>
      <c r="I356" s="71" t="s">
        <v>2604</v>
      </c>
      <c r="J356" s="71" t="s">
        <v>744</v>
      </c>
      <c r="K356" s="71" t="s">
        <v>2665</v>
      </c>
      <c r="L356" s="71" t="s">
        <v>2666</v>
      </c>
      <c r="M356" s="71" t="s">
        <v>2671</v>
      </c>
      <c r="N356" s="71" t="s">
        <v>3154</v>
      </c>
      <c r="O356" s="71" t="s">
        <v>2640</v>
      </c>
      <c r="P356" s="71" t="s">
        <v>2604</v>
      </c>
      <c r="Q356" s="71" t="s">
        <v>3155</v>
      </c>
      <c r="R356" s="71" t="s">
        <v>2604</v>
      </c>
      <c r="S356" s="71" t="s">
        <v>2604</v>
      </c>
      <c r="T356" s="71" t="s">
        <v>2604</v>
      </c>
      <c r="U356" s="71" t="s">
        <v>2604</v>
      </c>
      <c r="V356" s="71" t="s">
        <v>2635</v>
      </c>
    </row>
    <row r="357" spans="1:22">
      <c r="A357" s="71" t="s">
        <v>2659</v>
      </c>
      <c r="B357" s="71" t="s">
        <v>56</v>
      </c>
      <c r="C357" s="72">
        <v>45951.565612488426</v>
      </c>
      <c r="D357" s="72">
        <v>45951.565612488426</v>
      </c>
      <c r="E357" s="71" t="s">
        <v>365</v>
      </c>
      <c r="F357" s="71" t="s">
        <v>894</v>
      </c>
      <c r="G357" s="71" t="s">
        <v>895</v>
      </c>
      <c r="H357" s="71" t="s">
        <v>893</v>
      </c>
      <c r="I357" s="71" t="s">
        <v>2604</v>
      </c>
      <c r="J357" s="71" t="s">
        <v>769</v>
      </c>
      <c r="K357" s="71" t="s">
        <v>2773</v>
      </c>
      <c r="L357" s="71" t="s">
        <v>2670</v>
      </c>
      <c r="M357" s="71" t="s">
        <v>2774</v>
      </c>
      <c r="N357" s="71" t="s">
        <v>2774</v>
      </c>
      <c r="O357" s="71" t="s">
        <v>2640</v>
      </c>
      <c r="P357" s="71" t="s">
        <v>2604</v>
      </c>
      <c r="Q357" s="71" t="s">
        <v>3164</v>
      </c>
      <c r="R357" s="71" t="s">
        <v>2604</v>
      </c>
      <c r="S357" s="71" t="s">
        <v>2604</v>
      </c>
      <c r="T357" s="71" t="s">
        <v>2604</v>
      </c>
      <c r="U357" s="71" t="s">
        <v>2604</v>
      </c>
      <c r="V357" s="71" t="s">
        <v>2635</v>
      </c>
    </row>
    <row r="358" spans="1:22">
      <c r="A358" s="71" t="s">
        <v>2659</v>
      </c>
      <c r="B358" s="71" t="s">
        <v>2646</v>
      </c>
      <c r="C358" s="72">
        <v>45819.537054733795</v>
      </c>
      <c r="D358" s="72">
        <v>45819.537054733795</v>
      </c>
      <c r="E358" s="71" t="s">
        <v>365</v>
      </c>
      <c r="F358" s="71" t="s">
        <v>511</v>
      </c>
      <c r="G358" s="71" t="s">
        <v>512</v>
      </c>
      <c r="H358" s="71" t="s">
        <v>510</v>
      </c>
      <c r="I358" s="71" t="s">
        <v>2604</v>
      </c>
      <c r="J358" s="71" t="s">
        <v>752</v>
      </c>
      <c r="K358" s="71" t="s">
        <v>2723</v>
      </c>
      <c r="L358" s="71" t="s">
        <v>2665</v>
      </c>
      <c r="M358" s="71" t="s">
        <v>2950</v>
      </c>
      <c r="N358" s="71" t="s">
        <v>2951</v>
      </c>
      <c r="O358" s="71" t="s">
        <v>2692</v>
      </c>
      <c r="P358" s="71" t="s">
        <v>2604</v>
      </c>
      <c r="Q358" s="71" t="s">
        <v>2952</v>
      </c>
      <c r="R358" s="71" t="s">
        <v>2604</v>
      </c>
      <c r="S358" s="71" t="s">
        <v>2604</v>
      </c>
      <c r="T358" s="71" t="s">
        <v>2604</v>
      </c>
      <c r="U358" s="71" t="s">
        <v>2604</v>
      </c>
      <c r="V358" s="71" t="s">
        <v>2655</v>
      </c>
    </row>
    <row r="359" spans="1:22">
      <c r="A359" s="71" t="s">
        <v>2659</v>
      </c>
      <c r="B359" s="71" t="s">
        <v>84</v>
      </c>
      <c r="C359" s="72">
        <v>45910.56182560185</v>
      </c>
      <c r="D359" s="72">
        <v>45910.56182560185</v>
      </c>
      <c r="E359" s="71" t="s">
        <v>473</v>
      </c>
      <c r="F359" s="71" t="s">
        <v>793</v>
      </c>
      <c r="G359" s="71" t="s">
        <v>3165</v>
      </c>
      <c r="H359" s="71" t="s">
        <v>792</v>
      </c>
      <c r="I359" s="71" t="s">
        <v>2604</v>
      </c>
      <c r="J359" s="71" t="s">
        <v>744</v>
      </c>
      <c r="K359" s="71" t="s">
        <v>2665</v>
      </c>
      <c r="L359" s="71" t="s">
        <v>2704</v>
      </c>
      <c r="M359" s="71" t="s">
        <v>2671</v>
      </c>
      <c r="N359" s="71" t="s">
        <v>2671</v>
      </c>
      <c r="O359" s="71" t="s">
        <v>2640</v>
      </c>
      <c r="P359" s="71" t="s">
        <v>2604</v>
      </c>
      <c r="Q359" s="71" t="s">
        <v>3166</v>
      </c>
      <c r="R359" s="71" t="s">
        <v>2604</v>
      </c>
      <c r="S359" s="71" t="s">
        <v>2604</v>
      </c>
      <c r="T359" s="71" t="s">
        <v>2604</v>
      </c>
      <c r="U359" s="71" t="s">
        <v>2604</v>
      </c>
      <c r="V359" s="71" t="s">
        <v>2664</v>
      </c>
    </row>
    <row r="360" spans="1:22">
      <c r="A360" s="71" t="s">
        <v>2659</v>
      </c>
      <c r="B360" s="71" t="s">
        <v>2646</v>
      </c>
      <c r="C360" s="72">
        <v>45771.468429016204</v>
      </c>
      <c r="D360" s="72">
        <v>45771.468429016204</v>
      </c>
      <c r="E360" s="71" t="s">
        <v>365</v>
      </c>
      <c r="F360" s="71" t="s">
        <v>438</v>
      </c>
      <c r="G360" s="71" t="s">
        <v>439</v>
      </c>
      <c r="H360" s="71" t="s">
        <v>437</v>
      </c>
      <c r="I360" s="71" t="s">
        <v>2604</v>
      </c>
      <c r="J360" s="71" t="s">
        <v>752</v>
      </c>
      <c r="K360" s="71" t="s">
        <v>2723</v>
      </c>
      <c r="L360" s="71" t="s">
        <v>2665</v>
      </c>
      <c r="M360" s="71" t="s">
        <v>2969</v>
      </c>
      <c r="N360" s="71" t="s">
        <v>2836</v>
      </c>
      <c r="O360" s="71" t="s">
        <v>2692</v>
      </c>
      <c r="P360" s="71" t="s">
        <v>2604</v>
      </c>
      <c r="Q360" s="71" t="s">
        <v>2970</v>
      </c>
      <c r="R360" s="71" t="s">
        <v>2604</v>
      </c>
      <c r="S360" s="71" t="s">
        <v>2604</v>
      </c>
      <c r="T360" s="71" t="s">
        <v>2604</v>
      </c>
      <c r="U360" s="71" t="s">
        <v>2604</v>
      </c>
      <c r="V360" s="71" t="s">
        <v>2655</v>
      </c>
    </row>
    <row r="361" spans="1:22">
      <c r="A361" s="71" t="s">
        <v>2659</v>
      </c>
      <c r="B361" s="71" t="s">
        <v>2646</v>
      </c>
      <c r="C361" s="72">
        <v>45814.672897685188</v>
      </c>
      <c r="D361" s="72">
        <v>45814.672897685188</v>
      </c>
      <c r="E361" s="71" t="s">
        <v>365</v>
      </c>
      <c r="F361" s="71" t="s">
        <v>501</v>
      </c>
      <c r="G361" s="71" t="s">
        <v>502</v>
      </c>
      <c r="H361" s="71" t="s">
        <v>500</v>
      </c>
      <c r="I361" s="71" t="s">
        <v>2604</v>
      </c>
      <c r="J361" s="71" t="s">
        <v>744</v>
      </c>
      <c r="K361" s="71" t="s">
        <v>2665</v>
      </c>
      <c r="L361" s="71" t="s">
        <v>2666</v>
      </c>
      <c r="M361" s="71" t="s">
        <v>2671</v>
      </c>
      <c r="N361" s="71" t="s">
        <v>3125</v>
      </c>
      <c r="O361" s="71" t="s">
        <v>2692</v>
      </c>
      <c r="P361" s="71" t="s">
        <v>2604</v>
      </c>
      <c r="Q361" s="71" t="s">
        <v>3126</v>
      </c>
      <c r="R361" s="71" t="s">
        <v>2604</v>
      </c>
      <c r="S361" s="71" t="s">
        <v>2604</v>
      </c>
      <c r="T361" s="71" t="s">
        <v>2604</v>
      </c>
      <c r="U361" s="71" t="s">
        <v>2604</v>
      </c>
      <c r="V361" s="71" t="s">
        <v>2635</v>
      </c>
    </row>
    <row r="362" spans="1:22">
      <c r="A362" s="71" t="s">
        <v>2659</v>
      </c>
      <c r="B362" s="71" t="s">
        <v>84</v>
      </c>
      <c r="C362" s="72">
        <v>45908.437577627315</v>
      </c>
      <c r="D362" s="72">
        <v>45908.437577627315</v>
      </c>
      <c r="E362" s="71" t="s">
        <v>365</v>
      </c>
      <c r="F362" s="71" t="s">
        <v>2931</v>
      </c>
      <c r="G362" s="71" t="s">
        <v>2932</v>
      </c>
      <c r="H362" s="71" t="s">
        <v>778</v>
      </c>
      <c r="I362" s="71" t="s">
        <v>2604</v>
      </c>
      <c r="J362" s="71" t="s">
        <v>769</v>
      </c>
      <c r="K362" s="71" t="s">
        <v>2933</v>
      </c>
      <c r="L362" s="71" t="s">
        <v>2934</v>
      </c>
      <c r="M362" s="71" t="s">
        <v>2928</v>
      </c>
      <c r="N362" s="71" t="s">
        <v>2935</v>
      </c>
      <c r="O362" s="71" t="s">
        <v>2640</v>
      </c>
      <c r="P362" s="71" t="s">
        <v>2604</v>
      </c>
      <c r="Q362" s="71" t="s">
        <v>2936</v>
      </c>
      <c r="R362" s="71" t="s">
        <v>2604</v>
      </c>
      <c r="S362" s="71" t="s">
        <v>2604</v>
      </c>
      <c r="T362" s="71" t="s">
        <v>2604</v>
      </c>
      <c r="U362" s="71" t="s">
        <v>2604</v>
      </c>
      <c r="V362" s="71" t="s">
        <v>2618</v>
      </c>
    </row>
    <row r="363" spans="1:22">
      <c r="A363" s="71" t="s">
        <v>2659</v>
      </c>
      <c r="B363" s="71" t="s">
        <v>2646</v>
      </c>
      <c r="C363" s="72">
        <v>45803.684088437498</v>
      </c>
      <c r="D363" s="72">
        <v>45803.684088437498</v>
      </c>
      <c r="E363" s="71" t="s">
        <v>365</v>
      </c>
      <c r="F363" s="71" t="s">
        <v>2833</v>
      </c>
      <c r="G363" s="71" t="s">
        <v>2834</v>
      </c>
      <c r="H363" s="71" t="s">
        <v>2835</v>
      </c>
      <c r="I363" s="71" t="s">
        <v>2604</v>
      </c>
      <c r="J363" s="71" t="s">
        <v>813</v>
      </c>
      <c r="K363" s="71" t="s">
        <v>2648</v>
      </c>
      <c r="L363" s="71" t="s">
        <v>2649</v>
      </c>
      <c r="M363" s="71" t="s">
        <v>2650</v>
      </c>
      <c r="N363" s="71" t="s">
        <v>2836</v>
      </c>
      <c r="O363" s="71" t="s">
        <v>2692</v>
      </c>
      <c r="P363" s="71" t="s">
        <v>2604</v>
      </c>
      <c r="Q363" s="71" t="s">
        <v>2837</v>
      </c>
      <c r="R363" s="71" t="s">
        <v>2604</v>
      </c>
      <c r="S363" s="71" t="s">
        <v>2604</v>
      </c>
      <c r="T363" s="71" t="s">
        <v>2604</v>
      </c>
      <c r="U363" s="71" t="s">
        <v>2604</v>
      </c>
      <c r="V363" s="71" t="s">
        <v>2658</v>
      </c>
    </row>
    <row r="364" spans="1:22">
      <c r="A364" s="71" t="s">
        <v>2659</v>
      </c>
      <c r="B364" s="71" t="s">
        <v>724</v>
      </c>
      <c r="C364" s="72">
        <v>45904.899577129632</v>
      </c>
      <c r="D364" s="72">
        <v>45904.899577129632</v>
      </c>
      <c r="E364" s="71" t="s">
        <v>135</v>
      </c>
      <c r="F364" s="71" t="s">
        <v>776</v>
      </c>
      <c r="G364" s="71" t="s">
        <v>3002</v>
      </c>
      <c r="H364" s="71" t="s">
        <v>775</v>
      </c>
      <c r="I364" s="71" t="s">
        <v>2604</v>
      </c>
      <c r="J364" s="71" t="s">
        <v>744</v>
      </c>
      <c r="K364" s="71" t="s">
        <v>2665</v>
      </c>
      <c r="L364" s="71" t="s">
        <v>2666</v>
      </c>
      <c r="M364" s="71" t="s">
        <v>2671</v>
      </c>
      <c r="N364" s="71" t="s">
        <v>3003</v>
      </c>
      <c r="O364" s="71" t="s">
        <v>2640</v>
      </c>
      <c r="P364" s="71" t="s">
        <v>2604</v>
      </c>
      <c r="Q364" s="71" t="s">
        <v>3004</v>
      </c>
      <c r="R364" s="71" t="s">
        <v>2604</v>
      </c>
      <c r="S364" s="71" t="s">
        <v>2604</v>
      </c>
      <c r="T364" s="71" t="s">
        <v>2604</v>
      </c>
      <c r="U364" s="71" t="s">
        <v>2604</v>
      </c>
      <c r="V364" s="71" t="s">
        <v>2618</v>
      </c>
    </row>
    <row r="365" spans="1:22">
      <c r="A365" s="71" t="s">
        <v>2659</v>
      </c>
      <c r="B365" s="71" t="s">
        <v>56</v>
      </c>
      <c r="C365" s="72">
        <v>45855.412680289352</v>
      </c>
      <c r="D365" s="72">
        <v>45855.412680289352</v>
      </c>
      <c r="E365" s="71" t="s">
        <v>365</v>
      </c>
      <c r="F365" s="71" t="s">
        <v>2567</v>
      </c>
      <c r="G365" s="71" t="s">
        <v>573</v>
      </c>
      <c r="H365" s="71" t="s">
        <v>571</v>
      </c>
      <c r="I365" s="71" t="s">
        <v>2604</v>
      </c>
      <c r="J365" s="71" t="s">
        <v>813</v>
      </c>
      <c r="K365" s="71" t="s">
        <v>2648</v>
      </c>
      <c r="L365" s="71" t="s">
        <v>2649</v>
      </c>
      <c r="M365" s="71" t="s">
        <v>2726</v>
      </c>
      <c r="N365" s="71" t="s">
        <v>2726</v>
      </c>
      <c r="O365" s="71" t="s">
        <v>2640</v>
      </c>
      <c r="P365" s="71" t="s">
        <v>2604</v>
      </c>
      <c r="Q365" s="71" t="s">
        <v>3041</v>
      </c>
      <c r="R365" s="71" t="s">
        <v>2604</v>
      </c>
      <c r="S365" s="71" t="s">
        <v>2604</v>
      </c>
      <c r="T365" s="71" t="s">
        <v>2604</v>
      </c>
      <c r="U365" s="71" t="s">
        <v>2604</v>
      </c>
      <c r="V365" s="71" t="s">
        <v>2618</v>
      </c>
    </row>
    <row r="366" spans="1:22">
      <c r="A366" s="71" t="s">
        <v>2659</v>
      </c>
      <c r="B366" s="71" t="s">
        <v>84</v>
      </c>
      <c r="C366" s="72">
        <v>46015.619318275465</v>
      </c>
      <c r="D366" s="72">
        <v>46015.619318275465</v>
      </c>
      <c r="E366" s="71" t="s">
        <v>365</v>
      </c>
      <c r="F366" s="71" t="s">
        <v>1027</v>
      </c>
      <c r="G366" s="71" t="s">
        <v>1028</v>
      </c>
      <c r="H366" s="71" t="s">
        <v>1026</v>
      </c>
      <c r="I366" s="71" t="s">
        <v>2604</v>
      </c>
      <c r="J366" s="71" t="s">
        <v>752</v>
      </c>
      <c r="K366" s="71" t="s">
        <v>2675</v>
      </c>
      <c r="L366" s="71" t="s">
        <v>2712</v>
      </c>
      <c r="M366" s="71" t="s">
        <v>3167</v>
      </c>
      <c r="N366" s="71" t="s">
        <v>2638</v>
      </c>
      <c r="O366" s="71" t="s">
        <v>2640</v>
      </c>
      <c r="P366" s="71" t="s">
        <v>2604</v>
      </c>
      <c r="Q366" s="71" t="s">
        <v>3168</v>
      </c>
      <c r="R366" s="71" t="s">
        <v>2604</v>
      </c>
      <c r="S366" s="71" t="s">
        <v>2604</v>
      </c>
      <c r="T366" s="71" t="s">
        <v>2604</v>
      </c>
      <c r="U366" s="71" t="s">
        <v>2604</v>
      </c>
      <c r="V366" s="71" t="s">
        <v>2635</v>
      </c>
    </row>
    <row r="367" spans="1:22">
      <c r="A367" s="71" t="s">
        <v>2659</v>
      </c>
      <c r="B367" s="71" t="s">
        <v>56</v>
      </c>
      <c r="C367" s="72">
        <v>45867.58558421296</v>
      </c>
      <c r="D367" s="72">
        <v>45867.58558421296</v>
      </c>
      <c r="E367" s="71" t="s">
        <v>365</v>
      </c>
      <c r="F367" s="71" t="s">
        <v>655</v>
      </c>
      <c r="G367" s="71" t="s">
        <v>656</v>
      </c>
      <c r="H367" s="71" t="s">
        <v>654</v>
      </c>
      <c r="I367" s="71" t="s">
        <v>2604</v>
      </c>
      <c r="J367" s="71" t="s">
        <v>752</v>
      </c>
      <c r="K367" s="71" t="s">
        <v>2680</v>
      </c>
      <c r="L367" s="71" t="s">
        <v>2681</v>
      </c>
      <c r="M367" s="71" t="s">
        <v>2682</v>
      </c>
      <c r="N367" s="71" t="s">
        <v>2682</v>
      </c>
      <c r="O367" s="71" t="s">
        <v>2640</v>
      </c>
      <c r="P367" s="71" t="s">
        <v>2604</v>
      </c>
      <c r="Q367" s="71" t="s">
        <v>2683</v>
      </c>
      <c r="R367" s="71" t="s">
        <v>2604</v>
      </c>
      <c r="S367" s="71" t="s">
        <v>2604</v>
      </c>
      <c r="T367" s="71" t="s">
        <v>2604</v>
      </c>
      <c r="U367" s="71" t="s">
        <v>2604</v>
      </c>
      <c r="V367" s="71" t="s">
        <v>2635</v>
      </c>
    </row>
    <row r="368" spans="1:22">
      <c r="A368" s="71" t="s">
        <v>2659</v>
      </c>
      <c r="B368" s="71" t="s">
        <v>56</v>
      </c>
      <c r="C368" s="72">
        <v>46050.493472106478</v>
      </c>
      <c r="D368" s="72">
        <v>46050.493472106478</v>
      </c>
      <c r="E368" s="71" t="s">
        <v>365</v>
      </c>
      <c r="F368" s="71" t="s">
        <v>1060</v>
      </c>
      <c r="G368" s="71" t="s">
        <v>1061</v>
      </c>
      <c r="H368" s="71" t="s">
        <v>1059</v>
      </c>
      <c r="I368" s="71" t="s">
        <v>2604</v>
      </c>
      <c r="J368" s="71" t="s">
        <v>752</v>
      </c>
      <c r="K368" s="71" t="s">
        <v>2675</v>
      </c>
      <c r="L368" s="71" t="s">
        <v>2712</v>
      </c>
      <c r="M368" s="71" t="s">
        <v>3038</v>
      </c>
      <c r="N368" s="71" t="s">
        <v>3039</v>
      </c>
      <c r="O368" s="71" t="s">
        <v>2640</v>
      </c>
      <c r="P368" s="71" t="s">
        <v>2604</v>
      </c>
      <c r="Q368" s="71" t="s">
        <v>3040</v>
      </c>
      <c r="R368" s="71" t="s">
        <v>2604</v>
      </c>
      <c r="S368" s="71" t="s">
        <v>2604</v>
      </c>
      <c r="T368" s="71" t="s">
        <v>2604</v>
      </c>
      <c r="U368" s="71" t="s">
        <v>2604</v>
      </c>
      <c r="V368" s="71" t="s">
        <v>2664</v>
      </c>
    </row>
    <row r="369" spans="1:22">
      <c r="A369" s="71" t="s">
        <v>2659</v>
      </c>
      <c r="B369" s="71" t="s">
        <v>2646</v>
      </c>
      <c r="C369" s="72">
        <v>45803.684088437498</v>
      </c>
      <c r="D369" s="72">
        <v>45803.684088437498</v>
      </c>
      <c r="E369" s="71" t="s">
        <v>365</v>
      </c>
      <c r="F369" s="71" t="s">
        <v>2833</v>
      </c>
      <c r="G369" s="71" t="s">
        <v>2834</v>
      </c>
      <c r="H369" s="71" t="s">
        <v>2835</v>
      </c>
      <c r="I369" s="71" t="s">
        <v>2604</v>
      </c>
      <c r="J369" s="71" t="s">
        <v>813</v>
      </c>
      <c r="K369" s="71" t="s">
        <v>2648</v>
      </c>
      <c r="L369" s="71" t="s">
        <v>2649</v>
      </c>
      <c r="M369" s="71" t="s">
        <v>2650</v>
      </c>
      <c r="N369" s="71" t="s">
        <v>2836</v>
      </c>
      <c r="O369" s="71" t="s">
        <v>2692</v>
      </c>
      <c r="P369" s="71" t="s">
        <v>2604</v>
      </c>
      <c r="Q369" s="71" t="s">
        <v>2837</v>
      </c>
      <c r="R369" s="71" t="s">
        <v>2604</v>
      </c>
      <c r="S369" s="71" t="s">
        <v>2604</v>
      </c>
      <c r="T369" s="71" t="s">
        <v>2604</v>
      </c>
      <c r="U369" s="71" t="s">
        <v>2604</v>
      </c>
      <c r="V369" s="71" t="s">
        <v>2635</v>
      </c>
    </row>
    <row r="370" spans="1:22">
      <c r="A370" s="71" t="s">
        <v>2659</v>
      </c>
      <c r="B370" s="71" t="s">
        <v>84</v>
      </c>
      <c r="C370" s="72">
        <v>45854.889374849539</v>
      </c>
      <c r="D370" s="72">
        <v>45854.889374849539</v>
      </c>
      <c r="E370" s="71" t="s">
        <v>365</v>
      </c>
      <c r="F370" s="71" t="s">
        <v>3047</v>
      </c>
      <c r="G370" s="71" t="s">
        <v>3048</v>
      </c>
      <c r="H370" s="71" t="s">
        <v>568</v>
      </c>
      <c r="I370" s="71" t="s">
        <v>2604</v>
      </c>
      <c r="J370" s="71" t="s">
        <v>774</v>
      </c>
      <c r="K370" s="71" t="s">
        <v>3049</v>
      </c>
      <c r="L370" s="71" t="s">
        <v>2604</v>
      </c>
      <c r="M370" s="71" t="s">
        <v>2914</v>
      </c>
      <c r="N370" s="71" t="s">
        <v>3050</v>
      </c>
      <c r="O370" s="71" t="s">
        <v>2640</v>
      </c>
      <c r="P370" s="71" t="s">
        <v>2604</v>
      </c>
      <c r="Q370" s="71" t="s">
        <v>3051</v>
      </c>
      <c r="R370" s="71" t="s">
        <v>2604</v>
      </c>
      <c r="S370" s="71" t="s">
        <v>2604</v>
      </c>
      <c r="T370" s="71" t="s">
        <v>2604</v>
      </c>
      <c r="U370" s="71" t="s">
        <v>2604</v>
      </c>
      <c r="V370" s="71" t="s">
        <v>2618</v>
      </c>
    </row>
    <row r="371" spans="1:22">
      <c r="A371" s="71" t="s">
        <v>2659</v>
      </c>
      <c r="B371" s="71" t="s">
        <v>56</v>
      </c>
      <c r="C371" s="72">
        <v>45924.816488009259</v>
      </c>
      <c r="D371" s="72">
        <v>45924.816488009259</v>
      </c>
      <c r="E371" s="71" t="s">
        <v>473</v>
      </c>
      <c r="F371" s="71" t="s">
        <v>836</v>
      </c>
      <c r="G371" s="71" t="s">
        <v>3074</v>
      </c>
      <c r="H371" s="71" t="s">
        <v>835</v>
      </c>
      <c r="I371" s="71" t="s">
        <v>2604</v>
      </c>
      <c r="J371" s="71" t="s">
        <v>813</v>
      </c>
      <c r="K371" s="71" t="s">
        <v>2648</v>
      </c>
      <c r="L371" s="71" t="s">
        <v>2649</v>
      </c>
      <c r="M371" s="71" t="s">
        <v>2726</v>
      </c>
      <c r="N371" s="71" t="s">
        <v>2726</v>
      </c>
      <c r="O371" s="71" t="s">
        <v>2640</v>
      </c>
      <c r="P371" s="71" t="s">
        <v>2604</v>
      </c>
      <c r="Q371" s="71" t="s">
        <v>3075</v>
      </c>
      <c r="R371" s="71" t="s">
        <v>2604</v>
      </c>
      <c r="S371" s="71" t="s">
        <v>2604</v>
      </c>
      <c r="T371" s="71" t="s">
        <v>2604</v>
      </c>
      <c r="U371" s="71" t="s">
        <v>2604</v>
      </c>
      <c r="V371" s="71" t="s">
        <v>2664</v>
      </c>
    </row>
    <row r="372" spans="1:22">
      <c r="A372" s="71" t="s">
        <v>2659</v>
      </c>
      <c r="B372" s="71" t="s">
        <v>56</v>
      </c>
      <c r="C372" s="72">
        <v>46044.554906261576</v>
      </c>
      <c r="D372" s="72">
        <v>46044.554906261576</v>
      </c>
      <c r="E372" s="71" t="s">
        <v>380</v>
      </c>
      <c r="F372" s="71" t="s">
        <v>1049</v>
      </c>
      <c r="G372" s="71" t="s">
        <v>1050</v>
      </c>
      <c r="H372" s="71" t="s">
        <v>1048</v>
      </c>
      <c r="I372" s="71" t="s">
        <v>2604</v>
      </c>
      <c r="J372" s="71" t="s">
        <v>813</v>
      </c>
      <c r="K372" s="71" t="s">
        <v>2648</v>
      </c>
      <c r="L372" s="71" t="s">
        <v>2649</v>
      </c>
      <c r="M372" s="71" t="s">
        <v>2726</v>
      </c>
      <c r="N372" s="71" t="s">
        <v>2726</v>
      </c>
      <c r="O372" s="71" t="s">
        <v>2640</v>
      </c>
      <c r="P372" s="71" t="s">
        <v>2604</v>
      </c>
      <c r="Q372" s="71" t="s">
        <v>3169</v>
      </c>
      <c r="R372" s="71" t="s">
        <v>2604</v>
      </c>
      <c r="S372" s="71" t="s">
        <v>2604</v>
      </c>
      <c r="T372" s="71" t="s">
        <v>2604</v>
      </c>
      <c r="U372" s="71" t="s">
        <v>2604</v>
      </c>
      <c r="V372" s="71" t="s">
        <v>2664</v>
      </c>
    </row>
    <row r="373" spans="1:22">
      <c r="A373" s="71" t="s">
        <v>2659</v>
      </c>
      <c r="B373" s="71" t="s">
        <v>2646</v>
      </c>
      <c r="C373" s="72">
        <v>45765.62110016204</v>
      </c>
      <c r="D373" s="72">
        <v>45765.62110016204</v>
      </c>
      <c r="E373" s="71" t="s">
        <v>365</v>
      </c>
      <c r="F373" s="71" t="s">
        <v>426</v>
      </c>
      <c r="G373" s="71" t="s">
        <v>427</v>
      </c>
      <c r="H373" s="71" t="s">
        <v>425</v>
      </c>
      <c r="I373" s="71" t="s">
        <v>2604</v>
      </c>
      <c r="J373" s="71" t="s">
        <v>752</v>
      </c>
      <c r="K373" s="71" t="s">
        <v>2723</v>
      </c>
      <c r="L373" s="71" t="s">
        <v>2665</v>
      </c>
      <c r="M373" s="71" t="s">
        <v>2766</v>
      </c>
      <c r="N373" s="71" t="s">
        <v>2766</v>
      </c>
      <c r="O373" s="71" t="s">
        <v>2692</v>
      </c>
      <c r="P373" s="71" t="s">
        <v>2604</v>
      </c>
      <c r="Q373" s="71" t="s">
        <v>2767</v>
      </c>
      <c r="R373" s="71" t="s">
        <v>2604</v>
      </c>
      <c r="S373" s="71" t="s">
        <v>2604</v>
      </c>
      <c r="T373" s="71" t="s">
        <v>2604</v>
      </c>
      <c r="U373" s="71" t="s">
        <v>2604</v>
      </c>
      <c r="V373" s="71" t="s">
        <v>2655</v>
      </c>
    </row>
    <row r="374" spans="1:22">
      <c r="A374" s="71" t="s">
        <v>2659</v>
      </c>
      <c r="B374" s="71" t="s">
        <v>56</v>
      </c>
      <c r="C374" s="72">
        <v>45925.784411875</v>
      </c>
      <c r="D374" s="72">
        <v>45925.784411875</v>
      </c>
      <c r="E374" s="71" t="s">
        <v>365</v>
      </c>
      <c r="F374" s="71" t="s">
        <v>843</v>
      </c>
      <c r="G374" s="71" t="s">
        <v>844</v>
      </c>
      <c r="H374" s="71" t="s">
        <v>842</v>
      </c>
      <c r="I374" s="71" t="s">
        <v>2604</v>
      </c>
      <c r="J374" s="71" t="s">
        <v>744</v>
      </c>
      <c r="K374" s="71" t="s">
        <v>2665</v>
      </c>
      <c r="L374" s="71" t="s">
        <v>2666</v>
      </c>
      <c r="M374" s="71" t="s">
        <v>3022</v>
      </c>
      <c r="N374" s="71" t="s">
        <v>3170</v>
      </c>
      <c r="O374" s="71" t="s">
        <v>2640</v>
      </c>
      <c r="P374" s="71" t="s">
        <v>2604</v>
      </c>
      <c r="Q374" s="71" t="s">
        <v>3171</v>
      </c>
      <c r="R374" s="71" t="s">
        <v>2604</v>
      </c>
      <c r="S374" s="71" t="s">
        <v>2604</v>
      </c>
      <c r="T374" s="71" t="s">
        <v>2604</v>
      </c>
      <c r="U374" s="71" t="s">
        <v>2604</v>
      </c>
      <c r="V374" s="71" t="s">
        <v>2604</v>
      </c>
    </row>
    <row r="375" spans="1:22">
      <c r="A375" s="71" t="s">
        <v>2659</v>
      </c>
      <c r="B375" s="71" t="s">
        <v>56</v>
      </c>
      <c r="C375" s="72">
        <v>45945.645837546297</v>
      </c>
      <c r="D375" s="72">
        <v>45945.645837546297</v>
      </c>
      <c r="E375" s="71" t="s">
        <v>365</v>
      </c>
      <c r="F375" s="71" t="s">
        <v>882</v>
      </c>
      <c r="G375" s="71" t="s">
        <v>883</v>
      </c>
      <c r="H375" s="71" t="s">
        <v>881</v>
      </c>
      <c r="I375" s="71" t="s">
        <v>2604</v>
      </c>
      <c r="J375" s="71" t="s">
        <v>813</v>
      </c>
      <c r="K375" s="71" t="s">
        <v>2648</v>
      </c>
      <c r="L375" s="71" t="s">
        <v>2649</v>
      </c>
      <c r="M375" s="71" t="s">
        <v>2726</v>
      </c>
      <c r="N375" s="71" t="s">
        <v>2726</v>
      </c>
      <c r="O375" s="71" t="s">
        <v>2640</v>
      </c>
      <c r="P375" s="71" t="s">
        <v>2604</v>
      </c>
      <c r="Q375" s="71" t="s">
        <v>3101</v>
      </c>
      <c r="R375" s="71" t="s">
        <v>2604</v>
      </c>
      <c r="S375" s="71" t="s">
        <v>2604</v>
      </c>
      <c r="T375" s="71" t="s">
        <v>2604</v>
      </c>
      <c r="U375" s="71" t="s">
        <v>2604</v>
      </c>
      <c r="V375" s="71" t="s">
        <v>2664</v>
      </c>
    </row>
    <row r="376" spans="1:22">
      <c r="A376" s="71" t="s">
        <v>2659</v>
      </c>
      <c r="B376" s="71" t="s">
        <v>2646</v>
      </c>
      <c r="C376" s="72">
        <v>45779.436436458331</v>
      </c>
      <c r="D376" s="72">
        <v>45779.436436458331</v>
      </c>
      <c r="E376" s="71" t="s">
        <v>365</v>
      </c>
      <c r="F376" s="71" t="s">
        <v>1266</v>
      </c>
      <c r="G376" s="71" t="s">
        <v>2761</v>
      </c>
      <c r="H376" s="71" t="s">
        <v>447</v>
      </c>
      <c r="I376" s="71" t="s">
        <v>2604</v>
      </c>
      <c r="J376" s="71" t="s">
        <v>752</v>
      </c>
      <c r="K376" s="71" t="s">
        <v>2723</v>
      </c>
      <c r="L376" s="71" t="s">
        <v>2665</v>
      </c>
      <c r="M376" s="71" t="s">
        <v>2762</v>
      </c>
      <c r="N376" s="71" t="s">
        <v>2763</v>
      </c>
      <c r="O376" s="71" t="s">
        <v>2692</v>
      </c>
      <c r="P376" s="71" t="s">
        <v>2604</v>
      </c>
      <c r="Q376" s="71" t="s">
        <v>2764</v>
      </c>
      <c r="R376" s="71" t="s">
        <v>2604</v>
      </c>
      <c r="S376" s="71" t="s">
        <v>2604</v>
      </c>
      <c r="T376" s="71" t="s">
        <v>2604</v>
      </c>
      <c r="U376" s="71" t="s">
        <v>2604</v>
      </c>
      <c r="V376" s="71" t="s">
        <v>2618</v>
      </c>
    </row>
    <row r="377" spans="1:22">
      <c r="A377" s="71" t="s">
        <v>2659</v>
      </c>
      <c r="B377" s="71" t="s">
        <v>2646</v>
      </c>
      <c r="C377" s="72">
        <v>45786.479872372685</v>
      </c>
      <c r="D377" s="72">
        <v>45786.479872372685</v>
      </c>
      <c r="E377" s="71" t="s">
        <v>365</v>
      </c>
      <c r="F377" s="71" t="s">
        <v>455</v>
      </c>
      <c r="G377" s="71" t="s">
        <v>456</v>
      </c>
      <c r="H377" s="71" t="s">
        <v>454</v>
      </c>
      <c r="I377" s="71" t="s">
        <v>2604</v>
      </c>
      <c r="J377" s="71" t="s">
        <v>813</v>
      </c>
      <c r="K377" s="71" t="s">
        <v>2648</v>
      </c>
      <c r="L377" s="71" t="s">
        <v>2649</v>
      </c>
      <c r="M377" s="71" t="s">
        <v>2650</v>
      </c>
      <c r="N377" s="71" t="s">
        <v>3172</v>
      </c>
      <c r="O377" s="71" t="s">
        <v>2692</v>
      </c>
      <c r="P377" s="71" t="s">
        <v>2604</v>
      </c>
      <c r="Q377" s="71" t="s">
        <v>3173</v>
      </c>
      <c r="R377" s="71" t="s">
        <v>2604</v>
      </c>
      <c r="S377" s="71" t="s">
        <v>2604</v>
      </c>
      <c r="T377" s="71" t="s">
        <v>2604</v>
      </c>
      <c r="U377" s="71" t="s">
        <v>2604</v>
      </c>
      <c r="V377" s="71" t="s">
        <v>2655</v>
      </c>
    </row>
    <row r="378" spans="1:22">
      <c r="A378" s="71" t="s">
        <v>2659</v>
      </c>
      <c r="B378" s="71" t="s">
        <v>724</v>
      </c>
      <c r="C378" s="72">
        <v>45897.554412488425</v>
      </c>
      <c r="D378" s="72">
        <v>45897.554412488425</v>
      </c>
      <c r="E378" s="71" t="s">
        <v>365</v>
      </c>
      <c r="F378" s="71" t="s">
        <v>64</v>
      </c>
      <c r="G378" s="71" t="s">
        <v>3136</v>
      </c>
      <c r="H378" s="71" t="s">
        <v>63</v>
      </c>
      <c r="I378" s="71" t="s">
        <v>2604</v>
      </c>
      <c r="J378" s="71" t="s">
        <v>747</v>
      </c>
      <c r="K378" s="71" t="s">
        <v>2768</v>
      </c>
      <c r="L378" s="71" t="s">
        <v>3137</v>
      </c>
      <c r="M378" s="71" t="s">
        <v>3138</v>
      </c>
      <c r="N378" s="71" t="s">
        <v>3138</v>
      </c>
      <c r="O378" s="71" t="s">
        <v>2640</v>
      </c>
      <c r="P378" s="71" t="s">
        <v>3139</v>
      </c>
      <c r="Q378" s="71" t="s">
        <v>3140</v>
      </c>
      <c r="R378" s="71" t="s">
        <v>2604</v>
      </c>
      <c r="S378" s="71" t="s">
        <v>2604</v>
      </c>
      <c r="T378" s="71" t="s">
        <v>2604</v>
      </c>
      <c r="U378" s="71" t="s">
        <v>2604</v>
      </c>
      <c r="V378" s="71" t="s">
        <v>2655</v>
      </c>
    </row>
    <row r="379" spans="1:22">
      <c r="A379" s="71" t="s">
        <v>2659</v>
      </c>
      <c r="B379" s="71" t="s">
        <v>2646</v>
      </c>
      <c r="C379" s="72">
        <v>45812.500758009257</v>
      </c>
      <c r="D379" s="72">
        <v>45812.500758009257</v>
      </c>
      <c r="E379" s="71" t="s">
        <v>365</v>
      </c>
      <c r="F379" s="71" t="s">
        <v>491</v>
      </c>
      <c r="G379" s="71" t="s">
        <v>492</v>
      </c>
      <c r="H379" s="71" t="s">
        <v>490</v>
      </c>
      <c r="I379" s="71" t="s">
        <v>2604</v>
      </c>
      <c r="J379" s="71" t="s">
        <v>752</v>
      </c>
      <c r="K379" s="71" t="s">
        <v>2723</v>
      </c>
      <c r="L379" s="71" t="s">
        <v>2665</v>
      </c>
      <c r="M379" s="71" t="s">
        <v>3174</v>
      </c>
      <c r="N379" s="71" t="s">
        <v>3174</v>
      </c>
      <c r="O379" s="71" t="s">
        <v>2692</v>
      </c>
      <c r="P379" s="71" t="s">
        <v>2604</v>
      </c>
      <c r="Q379" s="71" t="s">
        <v>3175</v>
      </c>
      <c r="R379" s="71" t="s">
        <v>2604</v>
      </c>
      <c r="S379" s="71" t="s">
        <v>2604</v>
      </c>
      <c r="T379" s="71" t="s">
        <v>2604</v>
      </c>
      <c r="U379" s="71" t="s">
        <v>2604</v>
      </c>
      <c r="V379" s="71" t="s">
        <v>2635</v>
      </c>
    </row>
    <row r="380" spans="1:22">
      <c r="A380" s="71" t="s">
        <v>2659</v>
      </c>
      <c r="B380" s="71" t="s">
        <v>2646</v>
      </c>
      <c r="C380" s="72">
        <v>45819.537054733795</v>
      </c>
      <c r="D380" s="72">
        <v>45819.537054733795</v>
      </c>
      <c r="E380" s="71" t="s">
        <v>365</v>
      </c>
      <c r="F380" s="71" t="s">
        <v>511</v>
      </c>
      <c r="G380" s="71" t="s">
        <v>512</v>
      </c>
      <c r="H380" s="71" t="s">
        <v>510</v>
      </c>
      <c r="I380" s="71" t="s">
        <v>2604</v>
      </c>
      <c r="J380" s="71" t="s">
        <v>752</v>
      </c>
      <c r="K380" s="71" t="s">
        <v>2723</v>
      </c>
      <c r="L380" s="71" t="s">
        <v>2665</v>
      </c>
      <c r="M380" s="71" t="s">
        <v>2950</v>
      </c>
      <c r="N380" s="71" t="s">
        <v>2951</v>
      </c>
      <c r="O380" s="71" t="s">
        <v>2692</v>
      </c>
      <c r="P380" s="71" t="s">
        <v>2604</v>
      </c>
      <c r="Q380" s="71" t="s">
        <v>2952</v>
      </c>
      <c r="R380" s="71" t="s">
        <v>2604</v>
      </c>
      <c r="S380" s="71" t="s">
        <v>2604</v>
      </c>
      <c r="T380" s="71" t="s">
        <v>2604</v>
      </c>
      <c r="U380" s="71" t="s">
        <v>2604</v>
      </c>
      <c r="V380" s="71" t="s">
        <v>2635</v>
      </c>
    </row>
    <row r="381" spans="1:22">
      <c r="A381" s="71" t="s">
        <v>2659</v>
      </c>
      <c r="B381" s="71" t="s">
        <v>2646</v>
      </c>
      <c r="C381" s="72">
        <v>45796.596171620367</v>
      </c>
      <c r="D381" s="72">
        <v>45796.596171620367</v>
      </c>
      <c r="E381" s="71" t="s">
        <v>365</v>
      </c>
      <c r="F381" s="71" t="s">
        <v>468</v>
      </c>
      <c r="G381" s="71" t="s">
        <v>469</v>
      </c>
      <c r="H381" s="71" t="s">
        <v>467</v>
      </c>
      <c r="I381" s="71" t="s">
        <v>2604</v>
      </c>
      <c r="J381" s="71" t="s">
        <v>774</v>
      </c>
      <c r="K381" s="71" t="s">
        <v>2670</v>
      </c>
      <c r="L381" s="71" t="s">
        <v>2604</v>
      </c>
      <c r="M381" s="71" t="s">
        <v>2671</v>
      </c>
      <c r="N381" s="71" t="s">
        <v>2671</v>
      </c>
      <c r="O381" s="71" t="s">
        <v>2692</v>
      </c>
      <c r="P381" s="71" t="s">
        <v>2604</v>
      </c>
      <c r="Q381" s="71" t="s">
        <v>3176</v>
      </c>
      <c r="R381" s="71" t="s">
        <v>2604</v>
      </c>
      <c r="S381" s="71" t="s">
        <v>2604</v>
      </c>
      <c r="T381" s="71" t="s">
        <v>2604</v>
      </c>
      <c r="U381" s="71" t="s">
        <v>2604</v>
      </c>
      <c r="V381" s="71" t="s">
        <v>2658</v>
      </c>
    </row>
    <row r="382" spans="1:22">
      <c r="A382" s="71" t="s">
        <v>2659</v>
      </c>
      <c r="B382" s="71" t="s">
        <v>659</v>
      </c>
      <c r="C382" s="72">
        <v>46058.681325150465</v>
      </c>
      <c r="D382" s="72">
        <v>46058.681325150465</v>
      </c>
      <c r="E382" s="71" t="s">
        <v>365</v>
      </c>
      <c r="F382" s="71" t="s">
        <v>1080</v>
      </c>
      <c r="G382" s="71" t="s">
        <v>1081</v>
      </c>
      <c r="H382" s="71" t="s">
        <v>1079</v>
      </c>
      <c r="I382" s="71" t="s">
        <v>2604</v>
      </c>
      <c r="J382" s="71" t="s">
        <v>747</v>
      </c>
      <c r="K382" s="71" t="s">
        <v>2768</v>
      </c>
      <c r="L382" s="71" t="s">
        <v>2769</v>
      </c>
      <c r="M382" s="71" t="s">
        <v>3122</v>
      </c>
      <c r="N382" s="71" t="s">
        <v>3123</v>
      </c>
      <c r="O382" s="71" t="s">
        <v>2640</v>
      </c>
      <c r="P382" s="71" t="s">
        <v>2604</v>
      </c>
      <c r="Q382" s="71" t="s">
        <v>3124</v>
      </c>
      <c r="R382" s="71" t="s">
        <v>2604</v>
      </c>
      <c r="S382" s="71" t="s">
        <v>2604</v>
      </c>
      <c r="T382" s="71" t="s">
        <v>2604</v>
      </c>
      <c r="U382" s="71" t="s">
        <v>2604</v>
      </c>
      <c r="V382" s="71" t="s">
        <v>2604</v>
      </c>
    </row>
    <row r="383" spans="1:22">
      <c r="A383" s="71" t="s">
        <v>2659</v>
      </c>
      <c r="B383" s="71" t="s">
        <v>84</v>
      </c>
      <c r="C383" s="72">
        <v>45909.432285208335</v>
      </c>
      <c r="D383" s="72">
        <v>45909.432285208335</v>
      </c>
      <c r="E383" s="71" t="s">
        <v>365</v>
      </c>
      <c r="F383" s="71" t="s">
        <v>791</v>
      </c>
      <c r="G383" s="71" t="s">
        <v>2947</v>
      </c>
      <c r="H383" s="71" t="s">
        <v>790</v>
      </c>
      <c r="I383" s="71" t="s">
        <v>2604</v>
      </c>
      <c r="J383" s="71" t="s">
        <v>744</v>
      </c>
      <c r="K383" s="71" t="s">
        <v>2665</v>
      </c>
      <c r="L383" s="71" t="s">
        <v>2821</v>
      </c>
      <c r="M383" s="71" t="s">
        <v>2671</v>
      </c>
      <c r="N383" s="71" t="s">
        <v>2948</v>
      </c>
      <c r="O383" s="71" t="s">
        <v>2640</v>
      </c>
      <c r="P383" s="71" t="s">
        <v>2604</v>
      </c>
      <c r="Q383" s="71" t="s">
        <v>2949</v>
      </c>
      <c r="R383" s="71" t="s">
        <v>2604</v>
      </c>
      <c r="S383" s="71" t="s">
        <v>2604</v>
      </c>
      <c r="T383" s="71" t="s">
        <v>2604</v>
      </c>
      <c r="U383" s="71" t="s">
        <v>2604</v>
      </c>
      <c r="V383" s="71" t="s">
        <v>2618</v>
      </c>
    </row>
    <row r="384" spans="1:22">
      <c r="A384" s="71" t="s">
        <v>2659</v>
      </c>
      <c r="B384" s="71" t="s">
        <v>51</v>
      </c>
      <c r="C384" s="72">
        <v>45845.460257245373</v>
      </c>
      <c r="D384" s="72">
        <v>45845.460257245373</v>
      </c>
      <c r="E384" s="71" t="s">
        <v>365</v>
      </c>
      <c r="F384" s="71" t="s">
        <v>3177</v>
      </c>
      <c r="G384" s="71" t="s">
        <v>544</v>
      </c>
      <c r="H384" s="71" t="s">
        <v>542</v>
      </c>
      <c r="I384" s="71" t="s">
        <v>2604</v>
      </c>
      <c r="J384" s="71" t="s">
        <v>769</v>
      </c>
      <c r="K384" s="71" t="s">
        <v>2773</v>
      </c>
      <c r="L384" s="71" t="s">
        <v>2670</v>
      </c>
      <c r="M384" s="71" t="s">
        <v>3178</v>
      </c>
      <c r="N384" s="71" t="s">
        <v>3012</v>
      </c>
      <c r="O384" s="71" t="s">
        <v>2640</v>
      </c>
      <c r="P384" s="71" t="s">
        <v>2604</v>
      </c>
      <c r="Q384" s="71" t="s">
        <v>3179</v>
      </c>
      <c r="R384" s="71" t="s">
        <v>2604</v>
      </c>
      <c r="S384" s="71" t="s">
        <v>2604</v>
      </c>
      <c r="T384" s="71" t="s">
        <v>2604</v>
      </c>
      <c r="U384" s="71" t="s">
        <v>2604</v>
      </c>
      <c r="V384" s="71" t="s">
        <v>2635</v>
      </c>
    </row>
    <row r="385" spans="1:22">
      <c r="A385" s="71" t="s">
        <v>2659</v>
      </c>
      <c r="B385" s="71" t="s">
        <v>84</v>
      </c>
      <c r="C385" s="72">
        <v>45951.639300937502</v>
      </c>
      <c r="D385" s="72">
        <v>45951.639300937502</v>
      </c>
      <c r="E385" s="71" t="s">
        <v>365</v>
      </c>
      <c r="F385" s="71" t="s">
        <v>897</v>
      </c>
      <c r="G385" s="71" t="s">
        <v>898</v>
      </c>
      <c r="H385" s="71" t="s">
        <v>896</v>
      </c>
      <c r="I385" s="71" t="s">
        <v>2604</v>
      </c>
      <c r="J385" s="71" t="s">
        <v>744</v>
      </c>
      <c r="K385" s="71" t="s">
        <v>2665</v>
      </c>
      <c r="L385" s="71" t="s">
        <v>2704</v>
      </c>
      <c r="M385" s="71" t="s">
        <v>2671</v>
      </c>
      <c r="N385" s="71" t="s">
        <v>3128</v>
      </c>
      <c r="O385" s="71" t="s">
        <v>2640</v>
      </c>
      <c r="P385" s="71" t="s">
        <v>2604</v>
      </c>
      <c r="Q385" s="71" t="s">
        <v>3129</v>
      </c>
      <c r="R385" s="71" t="s">
        <v>2604</v>
      </c>
      <c r="S385" s="71" t="s">
        <v>2604</v>
      </c>
      <c r="T385" s="71" t="s">
        <v>2604</v>
      </c>
      <c r="U385" s="71" t="s">
        <v>2604</v>
      </c>
      <c r="V385" s="71" t="s">
        <v>2604</v>
      </c>
    </row>
    <row r="386" spans="1:22">
      <c r="A386" s="71" t="s">
        <v>2659</v>
      </c>
      <c r="B386" s="71" t="s">
        <v>56</v>
      </c>
      <c r="C386" s="72">
        <v>45980.766797002318</v>
      </c>
      <c r="D386" s="72">
        <v>45980.766797002318</v>
      </c>
      <c r="E386" s="71" t="s">
        <v>365</v>
      </c>
      <c r="F386" s="71" t="s">
        <v>964</v>
      </c>
      <c r="G386" s="71" t="s">
        <v>965</v>
      </c>
      <c r="H386" s="71" t="s">
        <v>963</v>
      </c>
      <c r="I386" s="71" t="s">
        <v>2604</v>
      </c>
      <c r="J386" s="71" t="s">
        <v>752</v>
      </c>
      <c r="K386" s="71" t="s">
        <v>2675</v>
      </c>
      <c r="L386" s="71" t="s">
        <v>2790</v>
      </c>
      <c r="M386" s="71" t="s">
        <v>3083</v>
      </c>
      <c r="N386" s="71" t="s">
        <v>3084</v>
      </c>
      <c r="O386" s="71" t="s">
        <v>2640</v>
      </c>
      <c r="P386" s="71" t="s">
        <v>2604</v>
      </c>
      <c r="Q386" s="71" t="s">
        <v>3085</v>
      </c>
      <c r="R386" s="71" t="s">
        <v>2604</v>
      </c>
      <c r="S386" s="71" t="s">
        <v>2604</v>
      </c>
      <c r="T386" s="71" t="s">
        <v>2604</v>
      </c>
      <c r="U386" s="71" t="s">
        <v>2604</v>
      </c>
      <c r="V386" s="71" t="s">
        <v>2664</v>
      </c>
    </row>
    <row r="387" spans="1:22">
      <c r="A387" s="71" t="s">
        <v>2659</v>
      </c>
      <c r="B387" s="71" t="s">
        <v>2646</v>
      </c>
      <c r="C387" s="72">
        <v>45828.610380902777</v>
      </c>
      <c r="D387" s="72">
        <v>45828.610380902777</v>
      </c>
      <c r="E387" s="71" t="s">
        <v>365</v>
      </c>
      <c r="F387" s="71" t="s">
        <v>527</v>
      </c>
      <c r="G387" s="71" t="s">
        <v>528</v>
      </c>
      <c r="H387" s="71" t="s">
        <v>526</v>
      </c>
      <c r="I387" s="71" t="s">
        <v>2604</v>
      </c>
      <c r="J387" s="71" t="s">
        <v>744</v>
      </c>
      <c r="K387" s="71" t="s">
        <v>2665</v>
      </c>
      <c r="L387" s="71" t="s">
        <v>2821</v>
      </c>
      <c r="M387" s="71" t="s">
        <v>2671</v>
      </c>
      <c r="N387" s="71" t="s">
        <v>3057</v>
      </c>
      <c r="O387" s="71" t="s">
        <v>2692</v>
      </c>
      <c r="P387" s="71" t="s">
        <v>2604</v>
      </c>
      <c r="Q387" s="71" t="s">
        <v>3058</v>
      </c>
      <c r="R387" s="71" t="s">
        <v>2604</v>
      </c>
      <c r="S387" s="71" t="s">
        <v>2604</v>
      </c>
      <c r="T387" s="71" t="s">
        <v>2604</v>
      </c>
      <c r="U387" s="71" t="s">
        <v>2604</v>
      </c>
      <c r="V387" s="71" t="s">
        <v>2658</v>
      </c>
    </row>
    <row r="388" spans="1:22">
      <c r="A388" s="71" t="s">
        <v>2659</v>
      </c>
      <c r="B388" s="71" t="s">
        <v>84</v>
      </c>
      <c r="C388" s="72">
        <v>45958.491422581021</v>
      </c>
      <c r="D388" s="72">
        <v>45958.491422581021</v>
      </c>
      <c r="E388" s="71" t="s">
        <v>365</v>
      </c>
      <c r="F388" s="71" t="s">
        <v>907</v>
      </c>
      <c r="G388" s="71" t="s">
        <v>908</v>
      </c>
      <c r="H388" s="71" t="s">
        <v>906</v>
      </c>
      <c r="I388" s="71" t="s">
        <v>2604</v>
      </c>
      <c r="J388" s="71" t="s">
        <v>752</v>
      </c>
      <c r="K388" s="71" t="s">
        <v>2675</v>
      </c>
      <c r="L388" s="71" t="s">
        <v>2790</v>
      </c>
      <c r="M388" s="71" t="s">
        <v>3180</v>
      </c>
      <c r="N388" s="71" t="s">
        <v>2861</v>
      </c>
      <c r="O388" s="71" t="s">
        <v>2640</v>
      </c>
      <c r="P388" s="71" t="s">
        <v>2604</v>
      </c>
      <c r="Q388" s="71" t="s">
        <v>3181</v>
      </c>
      <c r="R388" s="71" t="s">
        <v>2604</v>
      </c>
      <c r="S388" s="71" t="s">
        <v>2604</v>
      </c>
      <c r="T388" s="71" t="s">
        <v>2604</v>
      </c>
      <c r="U388" s="71" t="s">
        <v>2604</v>
      </c>
      <c r="V388" s="71" t="s">
        <v>2635</v>
      </c>
    </row>
    <row r="389" spans="1:22">
      <c r="A389" s="71" t="s">
        <v>2659</v>
      </c>
      <c r="B389" s="71" t="s">
        <v>56</v>
      </c>
      <c r="C389" s="72">
        <v>45854.417784583333</v>
      </c>
      <c r="D389" s="72">
        <v>45854.417784583333</v>
      </c>
      <c r="E389" s="71" t="s">
        <v>380</v>
      </c>
      <c r="F389" s="71" t="s">
        <v>3062</v>
      </c>
      <c r="G389" s="71" t="s">
        <v>3063</v>
      </c>
      <c r="H389" s="71" t="s">
        <v>565</v>
      </c>
      <c r="I389" s="71" t="s">
        <v>2604</v>
      </c>
      <c r="J389" s="71" t="s">
        <v>774</v>
      </c>
      <c r="K389" s="71" t="s">
        <v>2670</v>
      </c>
      <c r="L389" s="71" t="s">
        <v>2604</v>
      </c>
      <c r="M389" s="71" t="s">
        <v>2671</v>
      </c>
      <c r="N389" s="71" t="s">
        <v>3064</v>
      </c>
      <c r="O389" s="71" t="s">
        <v>2640</v>
      </c>
      <c r="P389" s="71" t="s">
        <v>2604</v>
      </c>
      <c r="Q389" s="71" t="s">
        <v>3065</v>
      </c>
      <c r="R389" s="71" t="s">
        <v>2604</v>
      </c>
      <c r="S389" s="71" t="s">
        <v>2604</v>
      </c>
      <c r="T389" s="71" t="s">
        <v>2604</v>
      </c>
      <c r="U389" s="71" t="s">
        <v>2604</v>
      </c>
      <c r="V389" s="71" t="s">
        <v>2664</v>
      </c>
    </row>
    <row r="390" spans="1:22">
      <c r="A390" s="71" t="s">
        <v>2659</v>
      </c>
      <c r="B390" s="71" t="s">
        <v>84</v>
      </c>
      <c r="C390" s="72">
        <v>45889.569269178239</v>
      </c>
      <c r="D390" s="72">
        <v>45889.569269178239</v>
      </c>
      <c r="E390" s="71" t="s">
        <v>365</v>
      </c>
      <c r="F390" s="71" t="s">
        <v>710</v>
      </c>
      <c r="G390" s="71" t="s">
        <v>711</v>
      </c>
      <c r="H390" s="71" t="s">
        <v>709</v>
      </c>
      <c r="I390" s="71" t="s">
        <v>2604</v>
      </c>
      <c r="J390" s="71" t="s">
        <v>752</v>
      </c>
      <c r="K390" s="71" t="s">
        <v>2675</v>
      </c>
      <c r="L390" s="71" t="s">
        <v>2676</v>
      </c>
      <c r="M390" s="71" t="s">
        <v>3182</v>
      </c>
      <c r="N390" s="71" t="s">
        <v>3183</v>
      </c>
      <c r="O390" s="71" t="s">
        <v>2640</v>
      </c>
      <c r="P390" s="71" t="s">
        <v>2604</v>
      </c>
      <c r="Q390" s="71" t="s">
        <v>3184</v>
      </c>
      <c r="R390" s="71" t="s">
        <v>2604</v>
      </c>
      <c r="S390" s="71" t="s">
        <v>2604</v>
      </c>
      <c r="T390" s="71" t="s">
        <v>2604</v>
      </c>
      <c r="U390" s="71" t="s">
        <v>2604</v>
      </c>
      <c r="V390" s="71" t="s">
        <v>2635</v>
      </c>
    </row>
    <row r="391" spans="1:22">
      <c r="A391" s="71" t="s">
        <v>2659</v>
      </c>
      <c r="B391" s="71" t="s">
        <v>51</v>
      </c>
      <c r="C391" s="72">
        <v>45849.57217890046</v>
      </c>
      <c r="D391" s="72">
        <v>45849.57217890046</v>
      </c>
      <c r="E391" s="71" t="s">
        <v>135</v>
      </c>
      <c r="F391" s="71" t="s">
        <v>2870</v>
      </c>
      <c r="G391" s="71" t="s">
        <v>2871</v>
      </c>
      <c r="H391" s="71" t="s">
        <v>548</v>
      </c>
      <c r="I391" s="71" t="s">
        <v>2604</v>
      </c>
      <c r="J391" s="71" t="s">
        <v>744</v>
      </c>
      <c r="K391" s="71" t="s">
        <v>2665</v>
      </c>
      <c r="L391" s="71" t="s">
        <v>2704</v>
      </c>
      <c r="M391" s="71" t="s">
        <v>2671</v>
      </c>
      <c r="N391" s="71" t="s">
        <v>2671</v>
      </c>
      <c r="O391" s="71" t="s">
        <v>2640</v>
      </c>
      <c r="P391" s="71" t="s">
        <v>2604</v>
      </c>
      <c r="Q391" s="71" t="s">
        <v>2872</v>
      </c>
      <c r="R391" s="71" t="s">
        <v>2604</v>
      </c>
      <c r="S391" s="71" t="s">
        <v>2604</v>
      </c>
      <c r="T391" s="71" t="s">
        <v>2604</v>
      </c>
      <c r="U391" s="71" t="s">
        <v>2604</v>
      </c>
      <c r="V391" s="71" t="s">
        <v>2635</v>
      </c>
    </row>
    <row r="392" spans="1:22">
      <c r="A392" s="71" t="s">
        <v>2659</v>
      </c>
      <c r="B392" s="71" t="s">
        <v>56</v>
      </c>
      <c r="C392" s="72">
        <v>45991.663798877315</v>
      </c>
      <c r="D392" s="72">
        <v>45991.663798877315</v>
      </c>
      <c r="E392" s="71" t="s">
        <v>365</v>
      </c>
      <c r="F392" s="71" t="s">
        <v>985</v>
      </c>
      <c r="G392" s="71" t="s">
        <v>986</v>
      </c>
      <c r="H392" s="71" t="s">
        <v>984</v>
      </c>
      <c r="I392" s="71" t="s">
        <v>2604</v>
      </c>
      <c r="J392" s="71" t="s">
        <v>813</v>
      </c>
      <c r="K392" s="71" t="s">
        <v>2648</v>
      </c>
      <c r="L392" s="71" t="s">
        <v>2649</v>
      </c>
      <c r="M392" s="71" t="s">
        <v>2726</v>
      </c>
      <c r="N392" s="71" t="s">
        <v>2726</v>
      </c>
      <c r="O392" s="71" t="s">
        <v>2640</v>
      </c>
      <c r="P392" s="71" t="s">
        <v>2604</v>
      </c>
      <c r="Q392" s="71" t="s">
        <v>3185</v>
      </c>
      <c r="R392" s="71" t="s">
        <v>2604</v>
      </c>
      <c r="S392" s="71" t="s">
        <v>2604</v>
      </c>
      <c r="T392" s="71" t="s">
        <v>2604</v>
      </c>
      <c r="U392" s="71" t="s">
        <v>2604</v>
      </c>
      <c r="V392" s="71" t="s">
        <v>2635</v>
      </c>
    </row>
    <row r="393" spans="1:22">
      <c r="A393" s="71" t="s">
        <v>2659</v>
      </c>
      <c r="B393" s="71" t="s">
        <v>84</v>
      </c>
      <c r="C393" s="72">
        <v>45989.413993564813</v>
      </c>
      <c r="D393" s="72">
        <v>45989.413993564813</v>
      </c>
      <c r="E393" s="71" t="s">
        <v>473</v>
      </c>
      <c r="F393" s="71" t="s">
        <v>3186</v>
      </c>
      <c r="G393" s="71" t="s">
        <v>982</v>
      </c>
      <c r="H393" s="71" t="s">
        <v>980</v>
      </c>
      <c r="I393" s="71" t="s">
        <v>2604</v>
      </c>
      <c r="J393" s="71" t="s">
        <v>744</v>
      </c>
      <c r="K393" s="71" t="s">
        <v>2665</v>
      </c>
      <c r="L393" s="71" t="s">
        <v>2666</v>
      </c>
      <c r="M393" s="71" t="s">
        <v>2671</v>
      </c>
      <c r="N393" s="71" t="s">
        <v>3187</v>
      </c>
      <c r="O393" s="71" t="s">
        <v>2640</v>
      </c>
      <c r="P393" s="71" t="s">
        <v>2604</v>
      </c>
      <c r="Q393" s="71" t="s">
        <v>3188</v>
      </c>
      <c r="R393" s="71" t="s">
        <v>2604</v>
      </c>
      <c r="S393" s="71" t="s">
        <v>2604</v>
      </c>
      <c r="T393" s="71" t="s">
        <v>2604</v>
      </c>
      <c r="U393" s="71" t="s">
        <v>2604</v>
      </c>
      <c r="V393" s="71" t="s">
        <v>2604</v>
      </c>
    </row>
    <row r="394" spans="1:22">
      <c r="A394" s="71" t="s">
        <v>2659</v>
      </c>
      <c r="B394" s="71" t="s">
        <v>56</v>
      </c>
      <c r="C394" s="72">
        <v>45877.369801064815</v>
      </c>
      <c r="D394" s="72">
        <v>45877.369801064815</v>
      </c>
      <c r="E394" s="71" t="s">
        <v>365</v>
      </c>
      <c r="F394" s="71" t="s">
        <v>680</v>
      </c>
      <c r="G394" s="71" t="s">
        <v>681</v>
      </c>
      <c r="H394" s="71" t="s">
        <v>679</v>
      </c>
      <c r="I394" s="71" t="s">
        <v>2604</v>
      </c>
      <c r="J394" s="71" t="s">
        <v>774</v>
      </c>
      <c r="K394" s="71" t="s">
        <v>2670</v>
      </c>
      <c r="L394" s="71" t="s">
        <v>2604</v>
      </c>
      <c r="M394" s="71" t="s">
        <v>2671</v>
      </c>
      <c r="N394" s="71" t="s">
        <v>2726</v>
      </c>
      <c r="O394" s="71" t="s">
        <v>2640</v>
      </c>
      <c r="P394" s="71" t="s">
        <v>2604</v>
      </c>
      <c r="Q394" s="71" t="s">
        <v>3189</v>
      </c>
      <c r="R394" s="71" t="s">
        <v>2604</v>
      </c>
      <c r="S394" s="71" t="s">
        <v>2604</v>
      </c>
      <c r="T394" s="71" t="s">
        <v>2604</v>
      </c>
      <c r="U394" s="71" t="s">
        <v>2604</v>
      </c>
      <c r="V394" s="71" t="s">
        <v>2664</v>
      </c>
    </row>
    <row r="395" spans="1:22">
      <c r="A395" s="71" t="s">
        <v>2659</v>
      </c>
      <c r="B395" s="71" t="s">
        <v>51</v>
      </c>
      <c r="C395" s="72">
        <v>45864.570643472223</v>
      </c>
      <c r="D395" s="72">
        <v>45864.570643472223</v>
      </c>
      <c r="E395" s="71" t="s">
        <v>380</v>
      </c>
      <c r="F395" s="71" t="s">
        <v>2785</v>
      </c>
      <c r="G395" s="71" t="s">
        <v>637</v>
      </c>
      <c r="H395" s="71" t="s">
        <v>635</v>
      </c>
      <c r="I395" s="71" t="s">
        <v>2604</v>
      </c>
      <c r="J395" s="71" t="s">
        <v>774</v>
      </c>
      <c r="K395" s="71" t="s">
        <v>2670</v>
      </c>
      <c r="L395" s="71" t="s">
        <v>2604</v>
      </c>
      <c r="M395" s="71" t="s">
        <v>2671</v>
      </c>
      <c r="N395" s="71" t="s">
        <v>2726</v>
      </c>
      <c r="O395" s="71" t="s">
        <v>2640</v>
      </c>
      <c r="P395" s="71" t="s">
        <v>2604</v>
      </c>
      <c r="Q395" s="71" t="s">
        <v>2786</v>
      </c>
      <c r="R395" s="71" t="s">
        <v>2604</v>
      </c>
      <c r="S395" s="71" t="s">
        <v>2604</v>
      </c>
      <c r="T395" s="71" t="s">
        <v>2604</v>
      </c>
      <c r="U395" s="71" t="s">
        <v>2604</v>
      </c>
      <c r="V395" s="71" t="s">
        <v>2635</v>
      </c>
    </row>
    <row r="396" spans="1:22">
      <c r="A396" s="71" t="s">
        <v>2659</v>
      </c>
      <c r="B396" s="71" t="s">
        <v>56</v>
      </c>
      <c r="C396" s="72">
        <v>45917.498420682874</v>
      </c>
      <c r="D396" s="72">
        <v>45917.498420682874</v>
      </c>
      <c r="E396" s="71" t="s">
        <v>473</v>
      </c>
      <c r="F396" s="71" t="s">
        <v>811</v>
      </c>
      <c r="G396" s="71" t="s">
        <v>812</v>
      </c>
      <c r="H396" s="71" t="s">
        <v>810</v>
      </c>
      <c r="I396" s="71" t="s">
        <v>2604</v>
      </c>
      <c r="J396" s="71" t="s">
        <v>813</v>
      </c>
      <c r="K396" s="71" t="s">
        <v>2648</v>
      </c>
      <c r="L396" s="71" t="s">
        <v>2649</v>
      </c>
      <c r="M396" s="71" t="s">
        <v>2726</v>
      </c>
      <c r="N396" s="71" t="s">
        <v>2726</v>
      </c>
      <c r="O396" s="71" t="s">
        <v>2640</v>
      </c>
      <c r="P396" s="71" t="s">
        <v>2604</v>
      </c>
      <c r="Q396" s="71" t="s">
        <v>2965</v>
      </c>
      <c r="R396" s="71" t="s">
        <v>2604</v>
      </c>
      <c r="S396" s="71" t="s">
        <v>2604</v>
      </c>
      <c r="T396" s="71" t="s">
        <v>2604</v>
      </c>
      <c r="U396" s="71" t="s">
        <v>2604</v>
      </c>
      <c r="V396" s="71" t="s">
        <v>2664</v>
      </c>
    </row>
    <row r="397" spans="1:22">
      <c r="A397" s="71" t="s">
        <v>2659</v>
      </c>
      <c r="B397" s="71" t="s">
        <v>84</v>
      </c>
      <c r="C397" s="72">
        <v>46006.411596863429</v>
      </c>
      <c r="D397" s="72">
        <v>46006.411596863429</v>
      </c>
      <c r="E397" s="71" t="s">
        <v>365</v>
      </c>
      <c r="F397" s="71" t="s">
        <v>998</v>
      </c>
      <c r="G397" s="71" t="s">
        <v>3109</v>
      </c>
      <c r="H397" s="71" t="s">
        <v>997</v>
      </c>
      <c r="I397" s="71" t="s">
        <v>2604</v>
      </c>
      <c r="J397" s="71" t="s">
        <v>744</v>
      </c>
      <c r="K397" s="71" t="s">
        <v>2665</v>
      </c>
      <c r="L397" s="71" t="s">
        <v>2821</v>
      </c>
      <c r="M397" s="71" t="s">
        <v>2671</v>
      </c>
      <c r="N397" s="71" t="s">
        <v>3110</v>
      </c>
      <c r="O397" s="71" t="s">
        <v>2640</v>
      </c>
      <c r="P397" s="71" t="s">
        <v>2604</v>
      </c>
      <c r="Q397" s="71" t="s">
        <v>3111</v>
      </c>
      <c r="R397" s="71" t="s">
        <v>2604</v>
      </c>
      <c r="S397" s="71" t="s">
        <v>2604</v>
      </c>
      <c r="T397" s="71" t="s">
        <v>2604</v>
      </c>
      <c r="U397" s="71" t="s">
        <v>2604</v>
      </c>
      <c r="V397" s="71" t="s">
        <v>2635</v>
      </c>
    </row>
    <row r="398" spans="1:22">
      <c r="A398" s="71" t="s">
        <v>2659</v>
      </c>
      <c r="B398" s="71" t="s">
        <v>56</v>
      </c>
      <c r="C398" s="72">
        <v>45866.354510763886</v>
      </c>
      <c r="D398" s="72">
        <v>45866.354510763886</v>
      </c>
      <c r="E398" s="71" t="s">
        <v>365</v>
      </c>
      <c r="F398" s="71" t="s">
        <v>3086</v>
      </c>
      <c r="G398" s="71" t="s">
        <v>3087</v>
      </c>
      <c r="H398" s="71" t="s">
        <v>638</v>
      </c>
      <c r="I398" s="71" t="s">
        <v>2604</v>
      </c>
      <c r="J398" s="71" t="s">
        <v>774</v>
      </c>
      <c r="K398" s="71" t="s">
        <v>2670</v>
      </c>
      <c r="L398" s="71" t="s">
        <v>2604</v>
      </c>
      <c r="M398" s="71" t="s">
        <v>2671</v>
      </c>
      <c r="N398" s="71" t="s">
        <v>2814</v>
      </c>
      <c r="O398" s="71" t="s">
        <v>2604</v>
      </c>
      <c r="P398" s="71" t="s">
        <v>2604</v>
      </c>
      <c r="Q398" s="71" t="s">
        <v>3088</v>
      </c>
      <c r="R398" s="71" t="s">
        <v>2604</v>
      </c>
      <c r="S398" s="71" t="s">
        <v>2604</v>
      </c>
      <c r="T398" s="71" t="s">
        <v>2604</v>
      </c>
      <c r="U398" s="71" t="s">
        <v>2604</v>
      </c>
      <c r="V398" s="71" t="s">
        <v>2657</v>
      </c>
    </row>
    <row r="399" spans="1:22">
      <c r="A399" s="71" t="s">
        <v>2659</v>
      </c>
      <c r="B399" s="71" t="s">
        <v>2646</v>
      </c>
      <c r="C399" s="72">
        <v>45764.807239444446</v>
      </c>
      <c r="D399" s="72">
        <v>45764.807239444446</v>
      </c>
      <c r="E399" s="71" t="s">
        <v>135</v>
      </c>
      <c r="F399" s="71" t="s">
        <v>422</v>
      </c>
      <c r="G399" s="71" t="s">
        <v>2982</v>
      </c>
      <c r="H399" s="71" t="s">
        <v>421</v>
      </c>
      <c r="I399" s="71" t="s">
        <v>2604</v>
      </c>
      <c r="J399" s="71" t="s">
        <v>1140</v>
      </c>
      <c r="K399" s="71" t="s">
        <v>2983</v>
      </c>
      <c r="L399" s="71" t="s">
        <v>2604</v>
      </c>
      <c r="M399" s="71" t="s">
        <v>2984</v>
      </c>
      <c r="N399" s="71" t="s">
        <v>2985</v>
      </c>
      <c r="O399" s="71" t="s">
        <v>2692</v>
      </c>
      <c r="P399" s="71" t="s">
        <v>2986</v>
      </c>
      <c r="Q399" s="71" t="s">
        <v>2987</v>
      </c>
      <c r="R399" s="71" t="s">
        <v>2604</v>
      </c>
      <c r="S399" s="71" t="s">
        <v>2604</v>
      </c>
      <c r="T399" s="71" t="s">
        <v>2604</v>
      </c>
      <c r="U399" s="71" t="s">
        <v>2604</v>
      </c>
      <c r="V399" s="71" t="s">
        <v>2658</v>
      </c>
    </row>
    <row r="400" spans="1:22">
      <c r="A400" s="71" t="s">
        <v>2659</v>
      </c>
      <c r="B400" s="71" t="s">
        <v>56</v>
      </c>
      <c r="C400" s="72">
        <v>46014.722542083335</v>
      </c>
      <c r="D400" s="72">
        <v>46014.722542083335</v>
      </c>
      <c r="E400" s="71" t="s">
        <v>365</v>
      </c>
      <c r="F400" s="71" t="s">
        <v>1020</v>
      </c>
      <c r="G400" s="71" t="s">
        <v>1021</v>
      </c>
      <c r="H400" s="71" t="s">
        <v>1019</v>
      </c>
      <c r="I400" s="71" t="s">
        <v>2604</v>
      </c>
      <c r="J400" s="71" t="s">
        <v>752</v>
      </c>
      <c r="K400" s="71" t="s">
        <v>2675</v>
      </c>
      <c r="L400" s="71" t="s">
        <v>2790</v>
      </c>
      <c r="M400" s="71" t="s">
        <v>2898</v>
      </c>
      <c r="N400" s="71" t="s">
        <v>2899</v>
      </c>
      <c r="O400" s="71" t="s">
        <v>2640</v>
      </c>
      <c r="P400" s="71" t="s">
        <v>2604</v>
      </c>
      <c r="Q400" s="71" t="s">
        <v>2900</v>
      </c>
      <c r="R400" s="71" t="s">
        <v>2604</v>
      </c>
      <c r="S400" s="71" t="s">
        <v>2604</v>
      </c>
      <c r="T400" s="71" t="s">
        <v>2604</v>
      </c>
      <c r="U400" s="71" t="s">
        <v>2604</v>
      </c>
      <c r="V400" s="71" t="s">
        <v>2635</v>
      </c>
    </row>
    <row r="401" spans="1:22">
      <c r="A401" s="71" t="s">
        <v>2659</v>
      </c>
      <c r="B401" s="71" t="s">
        <v>84</v>
      </c>
      <c r="C401" s="72">
        <v>45962.539066701385</v>
      </c>
      <c r="D401" s="72">
        <v>45962.539066701385</v>
      </c>
      <c r="E401" s="71" t="s">
        <v>365</v>
      </c>
      <c r="F401" s="71" t="s">
        <v>918</v>
      </c>
      <c r="G401" s="71" t="s">
        <v>919</v>
      </c>
      <c r="H401" s="71" t="s">
        <v>917</v>
      </c>
      <c r="I401" s="71" t="s">
        <v>2604</v>
      </c>
      <c r="J401" s="71" t="s">
        <v>744</v>
      </c>
      <c r="K401" s="71" t="s">
        <v>2665</v>
      </c>
      <c r="L401" s="71" t="s">
        <v>2821</v>
      </c>
      <c r="M401" s="71" t="s">
        <v>2671</v>
      </c>
      <c r="N401" s="71" t="s">
        <v>3190</v>
      </c>
      <c r="O401" s="71" t="s">
        <v>2640</v>
      </c>
      <c r="P401" s="71" t="s">
        <v>2604</v>
      </c>
      <c r="Q401" s="71" t="s">
        <v>3191</v>
      </c>
      <c r="R401" s="71" t="s">
        <v>2604</v>
      </c>
      <c r="S401" s="71" t="s">
        <v>2604</v>
      </c>
      <c r="T401" s="71" t="s">
        <v>2604</v>
      </c>
      <c r="U401" s="71" t="s">
        <v>2604</v>
      </c>
      <c r="V401" s="71" t="s">
        <v>2635</v>
      </c>
    </row>
    <row r="402" spans="1:22">
      <c r="A402" s="71" t="s">
        <v>2659</v>
      </c>
      <c r="B402" s="71" t="s">
        <v>56</v>
      </c>
      <c r="C402" s="72">
        <v>45841.883658090279</v>
      </c>
      <c r="D402" s="72">
        <v>45841.883658090279</v>
      </c>
      <c r="E402" s="71" t="s">
        <v>365</v>
      </c>
      <c r="F402" s="71" t="s">
        <v>537</v>
      </c>
      <c r="G402" s="71" t="s">
        <v>538</v>
      </c>
      <c r="H402" s="71" t="s">
        <v>536</v>
      </c>
      <c r="I402" s="71" t="s">
        <v>2604</v>
      </c>
      <c r="J402" s="71" t="s">
        <v>752</v>
      </c>
      <c r="K402" s="71" t="s">
        <v>2723</v>
      </c>
      <c r="L402" s="71" t="s">
        <v>2665</v>
      </c>
      <c r="M402" s="71" t="s">
        <v>2892</v>
      </c>
      <c r="N402" s="71" t="s">
        <v>2893</v>
      </c>
      <c r="O402" s="71" t="s">
        <v>2640</v>
      </c>
      <c r="P402" s="71" t="s">
        <v>2604</v>
      </c>
      <c r="Q402" s="71" t="s">
        <v>2894</v>
      </c>
      <c r="R402" s="71" t="s">
        <v>2604</v>
      </c>
      <c r="S402" s="71" t="s">
        <v>2604</v>
      </c>
      <c r="T402" s="71" t="s">
        <v>2604</v>
      </c>
      <c r="U402" s="71" t="s">
        <v>2604</v>
      </c>
      <c r="V402" s="71" t="s">
        <v>2664</v>
      </c>
    </row>
    <row r="403" spans="1:22">
      <c r="A403" s="71" t="s">
        <v>2659</v>
      </c>
      <c r="B403" s="71" t="s">
        <v>56</v>
      </c>
      <c r="C403" s="72">
        <v>46083.583052546295</v>
      </c>
      <c r="D403" s="72">
        <v>46083.583052546295</v>
      </c>
      <c r="E403" s="71" t="s">
        <v>365</v>
      </c>
      <c r="F403" s="71" t="s">
        <v>1118</v>
      </c>
      <c r="G403" s="71" t="s">
        <v>1119</v>
      </c>
      <c r="H403" s="71" t="s">
        <v>1117</v>
      </c>
      <c r="I403" s="71" t="s">
        <v>2604</v>
      </c>
      <c r="J403" s="71" t="s">
        <v>744</v>
      </c>
      <c r="K403" s="71" t="s">
        <v>2665</v>
      </c>
      <c r="L403" s="71" t="s">
        <v>2821</v>
      </c>
      <c r="M403" s="71" t="s">
        <v>2671</v>
      </c>
      <c r="N403" s="71" t="s">
        <v>2990</v>
      </c>
      <c r="O403" s="71" t="s">
        <v>2640</v>
      </c>
      <c r="P403" s="71" t="s">
        <v>2604</v>
      </c>
      <c r="Q403" s="71" t="s">
        <v>2991</v>
      </c>
      <c r="R403" s="71" t="s">
        <v>2604</v>
      </c>
      <c r="S403" s="71" t="s">
        <v>2604</v>
      </c>
      <c r="T403" s="71" t="s">
        <v>2604</v>
      </c>
      <c r="U403" s="71" t="s">
        <v>2604</v>
      </c>
      <c r="V403" s="71" t="s">
        <v>2635</v>
      </c>
    </row>
    <row r="404" spans="1:22">
      <c r="A404" s="71" t="s">
        <v>2659</v>
      </c>
      <c r="B404" s="71" t="s">
        <v>84</v>
      </c>
      <c r="C404" s="72">
        <v>45887.481840983797</v>
      </c>
      <c r="D404" s="72">
        <v>45887.481840983797</v>
      </c>
      <c r="E404" s="71" t="s">
        <v>365</v>
      </c>
      <c r="F404" s="71" t="s">
        <v>698</v>
      </c>
      <c r="G404" s="71" t="s">
        <v>699</v>
      </c>
      <c r="H404" s="71" t="s">
        <v>697</v>
      </c>
      <c r="I404" s="71" t="s">
        <v>2604</v>
      </c>
      <c r="J404" s="71" t="s">
        <v>752</v>
      </c>
      <c r="K404" s="71" t="s">
        <v>2675</v>
      </c>
      <c r="L404" s="71" t="s">
        <v>2676</v>
      </c>
      <c r="M404" s="71" t="s">
        <v>3192</v>
      </c>
      <c r="N404" s="71" t="s">
        <v>3193</v>
      </c>
      <c r="O404" s="71" t="s">
        <v>2640</v>
      </c>
      <c r="P404" s="71" t="s">
        <v>2604</v>
      </c>
      <c r="Q404" s="71" t="s">
        <v>3194</v>
      </c>
      <c r="R404" s="71" t="s">
        <v>2604</v>
      </c>
      <c r="S404" s="71" t="s">
        <v>2604</v>
      </c>
      <c r="T404" s="71" t="s">
        <v>2604</v>
      </c>
      <c r="U404" s="71" t="s">
        <v>2604</v>
      </c>
      <c r="V404" s="71" t="s">
        <v>2635</v>
      </c>
    </row>
    <row r="405" spans="1:22">
      <c r="A405" s="71" t="s">
        <v>2659</v>
      </c>
      <c r="B405" s="71" t="s">
        <v>84</v>
      </c>
      <c r="C405" s="72">
        <v>45856.721680057868</v>
      </c>
      <c r="D405" s="72">
        <v>45856.721680057868</v>
      </c>
      <c r="E405" s="71" t="s">
        <v>365</v>
      </c>
      <c r="F405" s="71" t="s">
        <v>3195</v>
      </c>
      <c r="G405" s="71" t="s">
        <v>3196</v>
      </c>
      <c r="H405" s="71" t="s">
        <v>595</v>
      </c>
      <c r="I405" s="71" t="s">
        <v>2604</v>
      </c>
      <c r="J405" s="71" t="s">
        <v>774</v>
      </c>
      <c r="K405" s="71" t="s">
        <v>2670</v>
      </c>
      <c r="L405" s="71" t="s">
        <v>2604</v>
      </c>
      <c r="M405" s="71" t="s">
        <v>2671</v>
      </c>
      <c r="N405" s="71" t="s">
        <v>3197</v>
      </c>
      <c r="O405" s="71" t="s">
        <v>2640</v>
      </c>
      <c r="P405" s="71" t="s">
        <v>2604</v>
      </c>
      <c r="Q405" s="71" t="s">
        <v>3198</v>
      </c>
      <c r="R405" s="71" t="s">
        <v>2604</v>
      </c>
      <c r="S405" s="71" t="s">
        <v>2604</v>
      </c>
      <c r="T405" s="71" t="s">
        <v>2604</v>
      </c>
      <c r="U405" s="71" t="s">
        <v>2604</v>
      </c>
      <c r="V405" s="71" t="s">
        <v>2618</v>
      </c>
    </row>
    <row r="406" spans="1:22">
      <c r="A406" s="71" t="s">
        <v>2659</v>
      </c>
      <c r="B406" s="71" t="s">
        <v>56</v>
      </c>
      <c r="C406" s="72">
        <v>45951.565612488426</v>
      </c>
      <c r="D406" s="72">
        <v>45951.565612488426</v>
      </c>
      <c r="E406" s="71" t="s">
        <v>365</v>
      </c>
      <c r="F406" s="71" t="s">
        <v>894</v>
      </c>
      <c r="G406" s="71" t="s">
        <v>895</v>
      </c>
      <c r="H406" s="71" t="s">
        <v>893</v>
      </c>
      <c r="I406" s="71" t="s">
        <v>2604</v>
      </c>
      <c r="J406" s="71" t="s">
        <v>769</v>
      </c>
      <c r="K406" s="71" t="s">
        <v>2773</v>
      </c>
      <c r="L406" s="71" t="s">
        <v>2670</v>
      </c>
      <c r="M406" s="71" t="s">
        <v>2774</v>
      </c>
      <c r="N406" s="71" t="s">
        <v>2774</v>
      </c>
      <c r="O406" s="71" t="s">
        <v>2640</v>
      </c>
      <c r="P406" s="71" t="s">
        <v>2604</v>
      </c>
      <c r="Q406" s="71" t="s">
        <v>3164</v>
      </c>
      <c r="R406" s="71" t="s">
        <v>2604</v>
      </c>
      <c r="S406" s="71" t="s">
        <v>2604</v>
      </c>
      <c r="T406" s="71" t="s">
        <v>2604</v>
      </c>
      <c r="U406" s="71" t="s">
        <v>2604</v>
      </c>
      <c r="V406" s="71" t="s">
        <v>2664</v>
      </c>
    </row>
    <row r="407" spans="1:22">
      <c r="A407" s="71" t="s">
        <v>2659</v>
      </c>
      <c r="B407" s="71" t="s">
        <v>56</v>
      </c>
      <c r="C407" s="72">
        <v>45991.663798877315</v>
      </c>
      <c r="D407" s="72">
        <v>45991.663798877315</v>
      </c>
      <c r="E407" s="71" t="s">
        <v>365</v>
      </c>
      <c r="F407" s="71" t="s">
        <v>985</v>
      </c>
      <c r="G407" s="71" t="s">
        <v>986</v>
      </c>
      <c r="H407" s="71" t="s">
        <v>984</v>
      </c>
      <c r="I407" s="71" t="s">
        <v>2604</v>
      </c>
      <c r="J407" s="71" t="s">
        <v>813</v>
      </c>
      <c r="K407" s="71" t="s">
        <v>2648</v>
      </c>
      <c r="L407" s="71" t="s">
        <v>2649</v>
      </c>
      <c r="M407" s="71" t="s">
        <v>2726</v>
      </c>
      <c r="N407" s="71" t="s">
        <v>2726</v>
      </c>
      <c r="O407" s="71" t="s">
        <v>2640</v>
      </c>
      <c r="P407" s="71" t="s">
        <v>2604</v>
      </c>
      <c r="Q407" s="71" t="s">
        <v>3185</v>
      </c>
      <c r="R407" s="71" t="s">
        <v>2604</v>
      </c>
      <c r="S407" s="71" t="s">
        <v>2604</v>
      </c>
      <c r="T407" s="71" t="s">
        <v>2604</v>
      </c>
      <c r="U407" s="71" t="s">
        <v>2604</v>
      </c>
      <c r="V407" s="71" t="s">
        <v>2664</v>
      </c>
    </row>
    <row r="408" spans="1:22">
      <c r="A408" s="71" t="s">
        <v>2659</v>
      </c>
      <c r="B408" s="71" t="s">
        <v>84</v>
      </c>
      <c r="C408" s="72">
        <v>45860.424292361109</v>
      </c>
      <c r="D408" s="72">
        <v>45860.424292361109</v>
      </c>
      <c r="E408" s="71" t="s">
        <v>365</v>
      </c>
      <c r="F408" s="71" t="s">
        <v>2805</v>
      </c>
      <c r="G408" s="71" t="s">
        <v>2806</v>
      </c>
      <c r="H408" s="71" t="s">
        <v>613</v>
      </c>
      <c r="I408" s="71" t="s">
        <v>2604</v>
      </c>
      <c r="J408" s="71" t="s">
        <v>774</v>
      </c>
      <c r="K408" s="71" t="s">
        <v>2670</v>
      </c>
      <c r="L408" s="71" t="s">
        <v>2604</v>
      </c>
      <c r="M408" s="71" t="s">
        <v>2671</v>
      </c>
      <c r="N408" s="71" t="s">
        <v>2671</v>
      </c>
      <c r="O408" s="71" t="s">
        <v>2640</v>
      </c>
      <c r="P408" s="71" t="s">
        <v>2604</v>
      </c>
      <c r="Q408" s="71" t="s">
        <v>2807</v>
      </c>
      <c r="R408" s="71" t="s">
        <v>2604</v>
      </c>
      <c r="S408" s="71" t="s">
        <v>2604</v>
      </c>
      <c r="T408" s="71" t="s">
        <v>2604</v>
      </c>
      <c r="U408" s="71" t="s">
        <v>2604</v>
      </c>
      <c r="V408" s="71" t="s">
        <v>2618</v>
      </c>
    </row>
    <row r="409" spans="1:22">
      <c r="A409" s="71" t="s">
        <v>2659</v>
      </c>
      <c r="B409" s="71" t="s">
        <v>56</v>
      </c>
      <c r="C409" s="72">
        <v>45860.2882503125</v>
      </c>
      <c r="D409" s="72">
        <v>45860.2882503125</v>
      </c>
      <c r="E409" s="71" t="s">
        <v>365</v>
      </c>
      <c r="F409" s="71" t="s">
        <v>608</v>
      </c>
      <c r="G409" s="71" t="s">
        <v>609</v>
      </c>
      <c r="H409" s="71" t="s">
        <v>607</v>
      </c>
      <c r="I409" s="71" t="s">
        <v>2604</v>
      </c>
      <c r="J409" s="71" t="s">
        <v>774</v>
      </c>
      <c r="K409" s="71" t="s">
        <v>2670</v>
      </c>
      <c r="L409" s="71" t="s">
        <v>2604</v>
      </c>
      <c r="M409" s="71" t="s">
        <v>2671</v>
      </c>
      <c r="N409" s="71" t="s">
        <v>2671</v>
      </c>
      <c r="O409" s="71" t="s">
        <v>2640</v>
      </c>
      <c r="P409" s="71" t="s">
        <v>2604</v>
      </c>
      <c r="Q409" s="71" t="s">
        <v>3199</v>
      </c>
      <c r="R409" s="71" t="s">
        <v>2604</v>
      </c>
      <c r="S409" s="71" t="s">
        <v>2604</v>
      </c>
      <c r="T409" s="71" t="s">
        <v>2604</v>
      </c>
      <c r="U409" s="71" t="s">
        <v>2604</v>
      </c>
      <c r="V409" s="71" t="s">
        <v>2664</v>
      </c>
    </row>
    <row r="410" spans="1:22">
      <c r="A410" s="71" t="s">
        <v>2659</v>
      </c>
      <c r="B410" s="71" t="s">
        <v>2646</v>
      </c>
      <c r="C410" s="72">
        <v>45793.740437337961</v>
      </c>
      <c r="D410" s="72">
        <v>45793.740437337961</v>
      </c>
      <c r="E410" s="71" t="s">
        <v>365</v>
      </c>
      <c r="F410" s="71" t="s">
        <v>465</v>
      </c>
      <c r="G410" s="71" t="s">
        <v>466</v>
      </c>
      <c r="H410" s="71" t="s">
        <v>464</v>
      </c>
      <c r="I410" s="71" t="s">
        <v>2604</v>
      </c>
      <c r="J410" s="71" t="s">
        <v>774</v>
      </c>
      <c r="K410" s="71" t="s">
        <v>2670</v>
      </c>
      <c r="L410" s="71" t="s">
        <v>2604</v>
      </c>
      <c r="M410" s="71" t="s">
        <v>2671</v>
      </c>
      <c r="N410" s="71" t="s">
        <v>2755</v>
      </c>
      <c r="O410" s="71" t="s">
        <v>2692</v>
      </c>
      <c r="P410" s="71" t="s">
        <v>2604</v>
      </c>
      <c r="Q410" s="71" t="s">
        <v>2756</v>
      </c>
      <c r="R410" s="71" t="s">
        <v>2604</v>
      </c>
      <c r="S410" s="71" t="s">
        <v>2604</v>
      </c>
      <c r="T410" s="71" t="s">
        <v>2604</v>
      </c>
      <c r="U410" s="71" t="s">
        <v>2604</v>
      </c>
      <c r="V410" s="71" t="s">
        <v>2635</v>
      </c>
    </row>
    <row r="411" spans="1:22">
      <c r="A411" s="71" t="s">
        <v>2659</v>
      </c>
      <c r="B411" s="71" t="s">
        <v>56</v>
      </c>
      <c r="C411" s="72">
        <v>45988.578998773148</v>
      </c>
      <c r="D411" s="72">
        <v>45988.578998773148</v>
      </c>
      <c r="E411" s="71" t="s">
        <v>365</v>
      </c>
      <c r="F411" s="71" t="s">
        <v>975</v>
      </c>
      <c r="G411" s="71" t="s">
        <v>976</v>
      </c>
      <c r="H411" s="71" t="s">
        <v>974</v>
      </c>
      <c r="I411" s="71" t="s">
        <v>2604</v>
      </c>
      <c r="J411" s="71" t="s">
        <v>744</v>
      </c>
      <c r="K411" s="71" t="s">
        <v>2665</v>
      </c>
      <c r="L411" s="71" t="s">
        <v>2666</v>
      </c>
      <c r="M411" s="71" t="s">
        <v>2671</v>
      </c>
      <c r="N411" s="71" t="s">
        <v>2794</v>
      </c>
      <c r="O411" s="71" t="s">
        <v>2640</v>
      </c>
      <c r="P411" s="71" t="s">
        <v>2604</v>
      </c>
      <c r="Q411" s="71" t="s">
        <v>2795</v>
      </c>
      <c r="R411" s="71" t="s">
        <v>2604</v>
      </c>
      <c r="S411" s="71" t="s">
        <v>2604</v>
      </c>
      <c r="T411" s="71" t="s">
        <v>2604</v>
      </c>
      <c r="U411" s="71" t="s">
        <v>2604</v>
      </c>
      <c r="V411" s="71" t="s">
        <v>2604</v>
      </c>
    </row>
    <row r="412" spans="1:22">
      <c r="A412" s="71" t="s">
        <v>2659</v>
      </c>
      <c r="B412" s="71" t="s">
        <v>2646</v>
      </c>
      <c r="C412" s="72">
        <v>45789.537628229169</v>
      </c>
      <c r="D412" s="72">
        <v>45789.537628229169</v>
      </c>
      <c r="E412" s="71" t="s">
        <v>365</v>
      </c>
      <c r="F412" s="71" t="s">
        <v>461</v>
      </c>
      <c r="G412" s="71" t="s">
        <v>462</v>
      </c>
      <c r="H412" s="71" t="s">
        <v>460</v>
      </c>
      <c r="I412" s="71" t="s">
        <v>2604</v>
      </c>
      <c r="J412" s="71" t="s">
        <v>744</v>
      </c>
      <c r="K412" s="71" t="s">
        <v>2665</v>
      </c>
      <c r="L412" s="71" t="s">
        <v>2666</v>
      </c>
      <c r="M412" s="71" t="s">
        <v>2662</v>
      </c>
      <c r="N412" s="71" t="s">
        <v>2861</v>
      </c>
      <c r="O412" s="71" t="s">
        <v>2692</v>
      </c>
      <c r="P412" s="71" t="s">
        <v>2604</v>
      </c>
      <c r="Q412" s="71" t="s">
        <v>3042</v>
      </c>
      <c r="R412" s="71" t="s">
        <v>2604</v>
      </c>
      <c r="S412" s="71" t="s">
        <v>2604</v>
      </c>
      <c r="T412" s="71" t="s">
        <v>2604</v>
      </c>
      <c r="U412" s="71" t="s">
        <v>2604</v>
      </c>
      <c r="V412" s="71" t="s">
        <v>2604</v>
      </c>
    </row>
    <row r="413" spans="1:22">
      <c r="A413" s="71" t="s">
        <v>2659</v>
      </c>
      <c r="B413" s="71" t="s">
        <v>56</v>
      </c>
      <c r="C413" s="72">
        <v>45890.58737011574</v>
      </c>
      <c r="D413" s="72">
        <v>45890.58737011574</v>
      </c>
      <c r="E413" s="71" t="s">
        <v>365</v>
      </c>
      <c r="F413" s="71" t="s">
        <v>713</v>
      </c>
      <c r="G413" s="71" t="s">
        <v>714</v>
      </c>
      <c r="H413" s="71" t="s">
        <v>712</v>
      </c>
      <c r="I413" s="71" t="s">
        <v>2604</v>
      </c>
      <c r="J413" s="71" t="s">
        <v>752</v>
      </c>
      <c r="K413" s="71" t="s">
        <v>2675</v>
      </c>
      <c r="L413" s="71" t="s">
        <v>2712</v>
      </c>
      <c r="M413" s="71" t="s">
        <v>2713</v>
      </c>
      <c r="N413" s="71" t="s">
        <v>2713</v>
      </c>
      <c r="O413" s="71" t="s">
        <v>2640</v>
      </c>
      <c r="P413" s="71" t="s">
        <v>2604</v>
      </c>
      <c r="Q413" s="71" t="s">
        <v>2714</v>
      </c>
      <c r="R413" s="71" t="s">
        <v>2604</v>
      </c>
      <c r="S413" s="71" t="s">
        <v>2604</v>
      </c>
      <c r="T413" s="71" t="s">
        <v>2604</v>
      </c>
      <c r="U413" s="71" t="s">
        <v>2604</v>
      </c>
      <c r="V413" s="71" t="s">
        <v>2604</v>
      </c>
    </row>
    <row r="414" spans="1:22">
      <c r="A414" s="71" t="s">
        <v>2659</v>
      </c>
      <c r="B414" s="71" t="s">
        <v>2646</v>
      </c>
      <c r="C414" s="72">
        <v>45812.500758009257</v>
      </c>
      <c r="D414" s="72">
        <v>45812.500758009257</v>
      </c>
      <c r="E414" s="71" t="s">
        <v>365</v>
      </c>
      <c r="F414" s="71" t="s">
        <v>491</v>
      </c>
      <c r="G414" s="71" t="s">
        <v>492</v>
      </c>
      <c r="H414" s="71" t="s">
        <v>490</v>
      </c>
      <c r="I414" s="71" t="s">
        <v>2604</v>
      </c>
      <c r="J414" s="71" t="s">
        <v>752</v>
      </c>
      <c r="K414" s="71" t="s">
        <v>2723</v>
      </c>
      <c r="L414" s="71" t="s">
        <v>2665</v>
      </c>
      <c r="M414" s="71" t="s">
        <v>3174</v>
      </c>
      <c r="N414" s="71" t="s">
        <v>3174</v>
      </c>
      <c r="O414" s="71" t="s">
        <v>2692</v>
      </c>
      <c r="P414" s="71" t="s">
        <v>2604</v>
      </c>
      <c r="Q414" s="71" t="s">
        <v>3175</v>
      </c>
      <c r="R414" s="71" t="s">
        <v>2604</v>
      </c>
      <c r="S414" s="71" t="s">
        <v>2604</v>
      </c>
      <c r="T414" s="71" t="s">
        <v>2604</v>
      </c>
      <c r="U414" s="71" t="s">
        <v>2604</v>
      </c>
      <c r="V414" s="71" t="s">
        <v>2604</v>
      </c>
    </row>
    <row r="415" spans="1:22">
      <c r="A415" s="71" t="s">
        <v>2659</v>
      </c>
      <c r="B415" s="71" t="s">
        <v>56</v>
      </c>
      <c r="C415" s="72">
        <v>46041.431561157406</v>
      </c>
      <c r="D415" s="72">
        <v>46041.431561157406</v>
      </c>
      <c r="E415" s="71" t="s">
        <v>365</v>
      </c>
      <c r="F415" s="71" t="s">
        <v>1037</v>
      </c>
      <c r="G415" s="71" t="s">
        <v>2944</v>
      </c>
      <c r="H415" s="71" t="s">
        <v>2945</v>
      </c>
      <c r="I415" s="71" t="s">
        <v>2604</v>
      </c>
      <c r="J415" s="71" t="s">
        <v>744</v>
      </c>
      <c r="K415" s="71" t="s">
        <v>2665</v>
      </c>
      <c r="L415" s="71" t="s">
        <v>2666</v>
      </c>
      <c r="M415" s="71" t="s">
        <v>2671</v>
      </c>
      <c r="N415" s="71" t="s">
        <v>2726</v>
      </c>
      <c r="O415" s="71" t="s">
        <v>2640</v>
      </c>
      <c r="P415" s="71" t="s">
        <v>2604</v>
      </c>
      <c r="Q415" s="71" t="s">
        <v>2946</v>
      </c>
      <c r="R415" s="71" t="s">
        <v>2604</v>
      </c>
      <c r="S415" s="71" t="s">
        <v>2604</v>
      </c>
      <c r="T415" s="71" t="s">
        <v>2604</v>
      </c>
      <c r="U415" s="71" t="s">
        <v>2604</v>
      </c>
      <c r="V415" s="71" t="s">
        <v>2604</v>
      </c>
    </row>
    <row r="416" spans="1:22">
      <c r="A416" s="71" t="s">
        <v>2659</v>
      </c>
      <c r="B416" s="71" t="s">
        <v>84</v>
      </c>
      <c r="C416" s="72">
        <v>45999.691890810187</v>
      </c>
      <c r="D416" s="72">
        <v>45999.691890810187</v>
      </c>
      <c r="E416" s="71" t="s">
        <v>380</v>
      </c>
      <c r="F416" s="71" t="s">
        <v>991</v>
      </c>
      <c r="G416" s="71" t="s">
        <v>992</v>
      </c>
      <c r="H416" s="71" t="s">
        <v>990</v>
      </c>
      <c r="I416" s="71" t="s">
        <v>2604</v>
      </c>
      <c r="J416" s="71" t="s">
        <v>744</v>
      </c>
      <c r="K416" s="71" t="s">
        <v>2665</v>
      </c>
      <c r="L416" s="71" t="s">
        <v>2821</v>
      </c>
      <c r="M416" s="71" t="s">
        <v>2671</v>
      </c>
      <c r="N416" s="71" t="s">
        <v>2671</v>
      </c>
      <c r="O416" s="71" t="s">
        <v>2640</v>
      </c>
      <c r="P416" s="71" t="s">
        <v>2604</v>
      </c>
      <c r="Q416" s="71" t="s">
        <v>3200</v>
      </c>
      <c r="R416" s="71" t="s">
        <v>2604</v>
      </c>
      <c r="S416" s="71" t="s">
        <v>2604</v>
      </c>
      <c r="T416" s="71" t="s">
        <v>2604</v>
      </c>
      <c r="U416" s="71" t="s">
        <v>2604</v>
      </c>
      <c r="V416" s="71" t="s">
        <v>2604</v>
      </c>
    </row>
    <row r="417" spans="1:22">
      <c r="A417" s="71" t="s">
        <v>2659</v>
      </c>
      <c r="B417" s="71" t="s">
        <v>659</v>
      </c>
      <c r="C417" s="72">
        <v>45889.492178900466</v>
      </c>
      <c r="D417" s="72">
        <v>45889.492178900466</v>
      </c>
      <c r="E417" s="71" t="s">
        <v>365</v>
      </c>
      <c r="F417" s="71" t="s">
        <v>707</v>
      </c>
      <c r="G417" s="71" t="s">
        <v>3201</v>
      </c>
      <c r="H417" s="71" t="s">
        <v>706</v>
      </c>
      <c r="I417" s="71" t="s">
        <v>2604</v>
      </c>
      <c r="J417" s="71" t="s">
        <v>744</v>
      </c>
      <c r="K417" s="71" t="s">
        <v>2665</v>
      </c>
      <c r="L417" s="71" t="s">
        <v>2821</v>
      </c>
      <c r="M417" s="71" t="s">
        <v>2671</v>
      </c>
      <c r="N417" s="71" t="s">
        <v>2662</v>
      </c>
      <c r="O417" s="71" t="s">
        <v>2604</v>
      </c>
      <c r="P417" s="71" t="s">
        <v>2604</v>
      </c>
      <c r="Q417" s="71" t="s">
        <v>3202</v>
      </c>
      <c r="R417" s="71" t="s">
        <v>2604</v>
      </c>
      <c r="S417" s="71" t="s">
        <v>2604</v>
      </c>
      <c r="T417" s="71" t="s">
        <v>2604</v>
      </c>
      <c r="U417" s="71" t="s">
        <v>2604</v>
      </c>
      <c r="V417" s="71" t="s">
        <v>2604</v>
      </c>
    </row>
    <row r="418" spans="1:22">
      <c r="A418" s="71" t="s">
        <v>2659</v>
      </c>
      <c r="B418" s="71" t="s">
        <v>2646</v>
      </c>
      <c r="C418" s="72">
        <v>45771.491537928239</v>
      </c>
      <c r="D418" s="72">
        <v>45771.491537928239</v>
      </c>
      <c r="E418" s="71" t="s">
        <v>2604</v>
      </c>
      <c r="F418" s="71" t="s">
        <v>61</v>
      </c>
      <c r="G418" s="71" t="s">
        <v>62</v>
      </c>
      <c r="H418" s="71" t="s">
        <v>60</v>
      </c>
      <c r="I418" s="71" t="s">
        <v>2604</v>
      </c>
      <c r="J418" s="71" t="s">
        <v>774</v>
      </c>
      <c r="K418" s="71" t="s">
        <v>3026</v>
      </c>
      <c r="L418" s="71" t="s">
        <v>2604</v>
      </c>
      <c r="M418" s="71" t="s">
        <v>3066</v>
      </c>
      <c r="N418" s="71" t="s">
        <v>3066</v>
      </c>
      <c r="O418" s="71" t="s">
        <v>2692</v>
      </c>
      <c r="P418" s="71" t="s">
        <v>2604</v>
      </c>
      <c r="Q418" s="71" t="s">
        <v>3067</v>
      </c>
      <c r="R418" s="71" t="s">
        <v>2604</v>
      </c>
      <c r="S418" s="71" t="s">
        <v>2604</v>
      </c>
      <c r="T418" s="71" t="s">
        <v>2604</v>
      </c>
      <c r="U418" s="71" t="s">
        <v>2604</v>
      </c>
      <c r="V418" s="71" t="s">
        <v>2604</v>
      </c>
    </row>
    <row r="419" spans="1:22">
      <c r="A419" s="71" t="s">
        <v>2659</v>
      </c>
      <c r="B419" s="71" t="s">
        <v>724</v>
      </c>
      <c r="C419" s="72">
        <v>46030.641658310182</v>
      </c>
      <c r="D419" s="72">
        <v>46030.641658310182</v>
      </c>
      <c r="E419" s="71" t="s">
        <v>365</v>
      </c>
      <c r="F419" s="71" t="s">
        <v>1033</v>
      </c>
      <c r="G419" s="71" t="s">
        <v>3203</v>
      </c>
      <c r="H419" s="71" t="s">
        <v>3204</v>
      </c>
      <c r="I419" s="71" t="s">
        <v>2604</v>
      </c>
      <c r="J419" s="71" t="s">
        <v>752</v>
      </c>
      <c r="K419" s="71" t="s">
        <v>2675</v>
      </c>
      <c r="L419" s="71" t="s">
        <v>2712</v>
      </c>
      <c r="M419" s="71" t="s">
        <v>3021</v>
      </c>
      <c r="N419" s="71" t="s">
        <v>2861</v>
      </c>
      <c r="O419" s="71" t="s">
        <v>2640</v>
      </c>
      <c r="P419" s="71" t="s">
        <v>2604</v>
      </c>
      <c r="Q419" s="71" t="s">
        <v>3205</v>
      </c>
      <c r="R419" s="71" t="s">
        <v>2604</v>
      </c>
      <c r="S419" s="71" t="s">
        <v>2604</v>
      </c>
      <c r="T419" s="71" t="s">
        <v>2604</v>
      </c>
      <c r="U419" s="71" t="s">
        <v>2604</v>
      </c>
      <c r="V419" s="71" t="s">
        <v>2604</v>
      </c>
    </row>
    <row r="420" spans="1:22">
      <c r="A420" s="71" t="s">
        <v>2659</v>
      </c>
      <c r="B420" s="71" t="s">
        <v>84</v>
      </c>
      <c r="C420" s="72">
        <v>45910.56182560185</v>
      </c>
      <c r="D420" s="72">
        <v>45910.56182560185</v>
      </c>
      <c r="E420" s="71" t="s">
        <v>473</v>
      </c>
      <c r="F420" s="71" t="s">
        <v>793</v>
      </c>
      <c r="G420" s="71" t="s">
        <v>3165</v>
      </c>
      <c r="H420" s="71" t="s">
        <v>792</v>
      </c>
      <c r="I420" s="71" t="s">
        <v>2604</v>
      </c>
      <c r="J420" s="71" t="s">
        <v>744</v>
      </c>
      <c r="K420" s="71" t="s">
        <v>2665</v>
      </c>
      <c r="L420" s="71" t="s">
        <v>2704</v>
      </c>
      <c r="M420" s="71" t="s">
        <v>2671</v>
      </c>
      <c r="N420" s="71" t="s">
        <v>2671</v>
      </c>
      <c r="O420" s="71" t="s">
        <v>2640</v>
      </c>
      <c r="P420" s="71" t="s">
        <v>2604</v>
      </c>
      <c r="Q420" s="71" t="s">
        <v>3166</v>
      </c>
      <c r="R420" s="71" t="s">
        <v>2604</v>
      </c>
      <c r="S420" s="71" t="s">
        <v>2604</v>
      </c>
      <c r="T420" s="71" t="s">
        <v>2604</v>
      </c>
      <c r="U420" s="71" t="s">
        <v>2604</v>
      </c>
      <c r="V420" s="71" t="s">
        <v>2604</v>
      </c>
    </row>
    <row r="421" spans="1:22">
      <c r="A421" s="71" t="s">
        <v>2659</v>
      </c>
      <c r="B421" s="71" t="s">
        <v>84</v>
      </c>
      <c r="C421" s="72">
        <v>45860.413620185187</v>
      </c>
      <c r="D421" s="72">
        <v>45860.413620185187</v>
      </c>
      <c r="E421" s="71" t="s">
        <v>365</v>
      </c>
      <c r="F421" s="71" t="s">
        <v>611</v>
      </c>
      <c r="G421" s="71" t="s">
        <v>612</v>
      </c>
      <c r="H421" s="71" t="s">
        <v>610</v>
      </c>
      <c r="I421" s="71" t="s">
        <v>2604</v>
      </c>
      <c r="J421" s="71" t="s">
        <v>774</v>
      </c>
      <c r="K421" s="71" t="s">
        <v>2670</v>
      </c>
      <c r="L421" s="71" t="s">
        <v>2604</v>
      </c>
      <c r="M421" s="71" t="s">
        <v>2671</v>
      </c>
      <c r="N421" s="71" t="s">
        <v>2672</v>
      </c>
      <c r="O421" s="71" t="s">
        <v>2640</v>
      </c>
      <c r="P421" s="71" t="s">
        <v>2604</v>
      </c>
      <c r="Q421" s="71" t="s">
        <v>2673</v>
      </c>
      <c r="R421" s="71" t="s">
        <v>2604</v>
      </c>
      <c r="S421" s="71" t="s">
        <v>2604</v>
      </c>
      <c r="T421" s="71" t="s">
        <v>2604</v>
      </c>
      <c r="U421" s="71" t="s">
        <v>2604</v>
      </c>
      <c r="V421" s="71" t="s">
        <v>2604</v>
      </c>
    </row>
    <row r="422" spans="1:22">
      <c r="A422" s="71" t="s">
        <v>2659</v>
      </c>
      <c r="B422" s="71" t="s">
        <v>56</v>
      </c>
      <c r="C422" s="72">
        <v>45863.531127361108</v>
      </c>
      <c r="D422" s="72">
        <v>45863.531127361108</v>
      </c>
      <c r="E422" s="71" t="s">
        <v>365</v>
      </c>
      <c r="F422" s="71" t="s">
        <v>633</v>
      </c>
      <c r="G422" s="71" t="s">
        <v>634</v>
      </c>
      <c r="H422" s="71" t="s">
        <v>632</v>
      </c>
      <c r="I422" s="71" t="s">
        <v>2604</v>
      </c>
      <c r="J422" s="71" t="s">
        <v>744</v>
      </c>
      <c r="K422" s="71" t="s">
        <v>2665</v>
      </c>
      <c r="L422" s="71" t="s">
        <v>2704</v>
      </c>
      <c r="M422" s="71" t="s">
        <v>2671</v>
      </c>
      <c r="N422" s="71" t="s">
        <v>2733</v>
      </c>
      <c r="O422" s="71" t="s">
        <v>2640</v>
      </c>
      <c r="P422" s="71" t="s">
        <v>2604</v>
      </c>
      <c r="Q422" s="71" t="s">
        <v>2734</v>
      </c>
      <c r="R422" s="71" t="s">
        <v>2604</v>
      </c>
      <c r="S422" s="71" t="s">
        <v>2604</v>
      </c>
      <c r="T422" s="71" t="s">
        <v>2604</v>
      </c>
      <c r="U422" s="71" t="s">
        <v>2604</v>
      </c>
      <c r="V422" s="71" t="s">
        <v>2604</v>
      </c>
    </row>
    <row r="423" spans="1:22">
      <c r="A423" s="71" t="s">
        <v>2659</v>
      </c>
      <c r="B423" s="71" t="s">
        <v>56</v>
      </c>
      <c r="C423" s="72">
        <v>46009.656195578704</v>
      </c>
      <c r="D423" s="72">
        <v>46009.656195578704</v>
      </c>
      <c r="E423" s="71" t="s">
        <v>135</v>
      </c>
      <c r="F423" s="71" t="s">
        <v>1014</v>
      </c>
      <c r="G423" s="71" t="s">
        <v>1015</v>
      </c>
      <c r="H423" s="71" t="s">
        <v>1013</v>
      </c>
      <c r="I423" s="71" t="s">
        <v>2604</v>
      </c>
      <c r="J423" s="71" t="s">
        <v>813</v>
      </c>
      <c r="K423" s="71" t="s">
        <v>2648</v>
      </c>
      <c r="L423" s="71" t="s">
        <v>2649</v>
      </c>
      <c r="M423" s="71" t="s">
        <v>2726</v>
      </c>
      <c r="N423" s="71" t="s">
        <v>2726</v>
      </c>
      <c r="O423" s="71" t="s">
        <v>2640</v>
      </c>
      <c r="P423" s="71" t="s">
        <v>2604</v>
      </c>
      <c r="Q423" s="71" t="s">
        <v>3133</v>
      </c>
      <c r="R423" s="71" t="s">
        <v>2604</v>
      </c>
      <c r="S423" s="71" t="s">
        <v>2604</v>
      </c>
      <c r="T423" s="71" t="s">
        <v>2604</v>
      </c>
      <c r="U423" s="71" t="s">
        <v>2604</v>
      </c>
      <c r="V423" s="71" t="s">
        <v>2604</v>
      </c>
    </row>
    <row r="424" spans="1:22">
      <c r="A424" s="71" t="s">
        <v>2659</v>
      </c>
      <c r="B424" s="71" t="s">
        <v>84</v>
      </c>
      <c r="C424" s="72">
        <v>45980.604882372689</v>
      </c>
      <c r="D424" s="72">
        <v>45980.604882372689</v>
      </c>
      <c r="E424" s="71" t="s">
        <v>473</v>
      </c>
      <c r="F424" s="71" t="s">
        <v>961</v>
      </c>
      <c r="G424" s="71" t="s">
        <v>2913</v>
      </c>
      <c r="H424" s="71" t="s">
        <v>960</v>
      </c>
      <c r="I424" s="71" t="s">
        <v>2604</v>
      </c>
      <c r="J424" s="71" t="s">
        <v>774</v>
      </c>
      <c r="K424" s="71" t="s">
        <v>2670</v>
      </c>
      <c r="L424" s="71" t="s">
        <v>2604</v>
      </c>
      <c r="M424" s="71" t="s">
        <v>2671</v>
      </c>
      <c r="N424" s="71" t="s">
        <v>2914</v>
      </c>
      <c r="O424" s="71" t="s">
        <v>2640</v>
      </c>
      <c r="P424" s="71" t="s">
        <v>2604</v>
      </c>
      <c r="Q424" s="71" t="s">
        <v>2915</v>
      </c>
      <c r="R424" s="71" t="s">
        <v>2604</v>
      </c>
      <c r="S424" s="71" t="s">
        <v>2604</v>
      </c>
      <c r="T424" s="71" t="s">
        <v>2604</v>
      </c>
      <c r="U424" s="71" t="s">
        <v>2604</v>
      </c>
      <c r="V424" s="71" t="s">
        <v>2604</v>
      </c>
    </row>
    <row r="425" spans="1:22">
      <c r="A425" s="71" t="s">
        <v>2659</v>
      </c>
      <c r="B425" s="71" t="s">
        <v>84</v>
      </c>
      <c r="C425" s="72">
        <v>45909.432285208335</v>
      </c>
      <c r="D425" s="72">
        <v>45909.432285208335</v>
      </c>
      <c r="E425" s="71" t="s">
        <v>365</v>
      </c>
      <c r="F425" s="71" t="s">
        <v>791</v>
      </c>
      <c r="G425" s="71" t="s">
        <v>2947</v>
      </c>
      <c r="H425" s="71" t="s">
        <v>790</v>
      </c>
      <c r="I425" s="71" t="s">
        <v>2604</v>
      </c>
      <c r="J425" s="71" t="s">
        <v>744</v>
      </c>
      <c r="K425" s="71" t="s">
        <v>2665</v>
      </c>
      <c r="L425" s="71" t="s">
        <v>2821</v>
      </c>
      <c r="M425" s="71" t="s">
        <v>2671</v>
      </c>
      <c r="N425" s="71" t="s">
        <v>2948</v>
      </c>
      <c r="O425" s="71" t="s">
        <v>2640</v>
      </c>
      <c r="P425" s="71" t="s">
        <v>2604</v>
      </c>
      <c r="Q425" s="71" t="s">
        <v>2949</v>
      </c>
      <c r="R425" s="71" t="s">
        <v>2604</v>
      </c>
      <c r="S425" s="71" t="s">
        <v>2604</v>
      </c>
      <c r="T425" s="71" t="s">
        <v>2604</v>
      </c>
      <c r="U425" s="71" t="s">
        <v>2604</v>
      </c>
      <c r="V425" s="71" t="s">
        <v>2604</v>
      </c>
    </row>
    <row r="426" spans="1:22">
      <c r="A426" s="71" t="s">
        <v>2659</v>
      </c>
      <c r="B426" s="71" t="s">
        <v>84</v>
      </c>
      <c r="C426" s="72">
        <v>45910.577502743057</v>
      </c>
      <c r="D426" s="72">
        <v>45910.577502743057</v>
      </c>
      <c r="E426" s="71" t="s">
        <v>365</v>
      </c>
      <c r="F426" s="71" t="s">
        <v>796</v>
      </c>
      <c r="G426" s="71" t="s">
        <v>797</v>
      </c>
      <c r="H426" s="71" t="s">
        <v>795</v>
      </c>
      <c r="I426" s="71" t="s">
        <v>2604</v>
      </c>
      <c r="J426" s="71" t="s">
        <v>752</v>
      </c>
      <c r="K426" s="71" t="s">
        <v>2675</v>
      </c>
      <c r="L426" s="71" t="s">
        <v>2712</v>
      </c>
      <c r="M426" s="71" t="s">
        <v>3005</v>
      </c>
      <c r="N426" s="71" t="s">
        <v>3006</v>
      </c>
      <c r="O426" s="71" t="s">
        <v>2640</v>
      </c>
      <c r="P426" s="71" t="s">
        <v>2604</v>
      </c>
      <c r="Q426" s="71" t="s">
        <v>3007</v>
      </c>
      <c r="R426" s="71" t="s">
        <v>2604</v>
      </c>
      <c r="S426" s="71" t="s">
        <v>2604</v>
      </c>
      <c r="T426" s="71" t="s">
        <v>2604</v>
      </c>
      <c r="U426" s="71" t="s">
        <v>2604</v>
      </c>
      <c r="V426" s="71" t="s">
        <v>2635</v>
      </c>
    </row>
    <row r="427" spans="1:22">
      <c r="A427" s="71" t="s">
        <v>2659</v>
      </c>
      <c r="B427" s="71" t="s">
        <v>724</v>
      </c>
      <c r="C427" s="72">
        <v>45894.370106851849</v>
      </c>
      <c r="D427" s="72">
        <v>45894.370106851849</v>
      </c>
      <c r="E427" s="71" t="s">
        <v>365</v>
      </c>
      <c r="F427" s="71" t="s">
        <v>686</v>
      </c>
      <c r="G427" s="71" t="s">
        <v>726</v>
      </c>
      <c r="H427" s="71" t="s">
        <v>725</v>
      </c>
      <c r="I427" s="71" t="s">
        <v>2604</v>
      </c>
      <c r="J427" s="71" t="s">
        <v>744</v>
      </c>
      <c r="K427" s="71" t="s">
        <v>2665</v>
      </c>
      <c r="L427" s="71" t="s">
        <v>2666</v>
      </c>
      <c r="M427" s="71" t="s">
        <v>2671</v>
      </c>
      <c r="N427" s="71" t="s">
        <v>2960</v>
      </c>
      <c r="O427" s="71" t="s">
        <v>2640</v>
      </c>
      <c r="P427" s="71" t="s">
        <v>2604</v>
      </c>
      <c r="Q427" s="71" t="s">
        <v>2961</v>
      </c>
      <c r="R427" s="71" t="s">
        <v>2604</v>
      </c>
      <c r="S427" s="71" t="s">
        <v>2604</v>
      </c>
      <c r="T427" s="71" t="s">
        <v>2604</v>
      </c>
      <c r="U427" s="71" t="s">
        <v>2604</v>
      </c>
      <c r="V427" s="71" t="s">
        <v>2604</v>
      </c>
    </row>
    <row r="428" spans="1:22">
      <c r="A428" s="71" t="s">
        <v>2659</v>
      </c>
      <c r="B428" s="71" t="s">
        <v>2646</v>
      </c>
      <c r="C428" s="72">
        <v>45824.613438009263</v>
      </c>
      <c r="D428" s="72">
        <v>45824.613438009263</v>
      </c>
      <c r="E428" s="71" t="s">
        <v>135</v>
      </c>
      <c r="F428" s="71" t="s">
        <v>517</v>
      </c>
      <c r="G428" s="71" t="s">
        <v>3206</v>
      </c>
      <c r="H428" s="71" t="s">
        <v>516</v>
      </c>
      <c r="I428" s="71" t="s">
        <v>2604</v>
      </c>
      <c r="J428" s="71" t="s">
        <v>774</v>
      </c>
      <c r="K428" s="71" t="s">
        <v>3207</v>
      </c>
      <c r="L428" s="71" t="s">
        <v>2604</v>
      </c>
      <c r="M428" s="71" t="s">
        <v>2848</v>
      </c>
      <c r="N428" s="71" t="s">
        <v>2763</v>
      </c>
      <c r="O428" s="71" t="s">
        <v>2692</v>
      </c>
      <c r="P428" s="71" t="s">
        <v>2604</v>
      </c>
      <c r="Q428" s="71" t="s">
        <v>3208</v>
      </c>
      <c r="R428" s="71" t="s">
        <v>2604</v>
      </c>
      <c r="S428" s="71" t="s">
        <v>2604</v>
      </c>
      <c r="T428" s="71" t="s">
        <v>2604</v>
      </c>
      <c r="U428" s="71" t="s">
        <v>2604</v>
      </c>
      <c r="V428" s="71" t="s">
        <v>2604</v>
      </c>
    </row>
    <row r="429" spans="1:22">
      <c r="A429" s="71" t="s">
        <v>2659</v>
      </c>
      <c r="B429" s="71" t="s">
        <v>56</v>
      </c>
      <c r="C429" s="72">
        <v>45975.286535393519</v>
      </c>
      <c r="D429" s="72">
        <v>45975.286535393519</v>
      </c>
      <c r="E429" s="71" t="s">
        <v>365</v>
      </c>
      <c r="F429" s="71" t="s">
        <v>949</v>
      </c>
      <c r="G429" s="71" t="s">
        <v>950</v>
      </c>
      <c r="H429" s="71" t="s">
        <v>948</v>
      </c>
      <c r="I429" s="71" t="s">
        <v>2604</v>
      </c>
      <c r="J429" s="71" t="s">
        <v>769</v>
      </c>
      <c r="K429" s="71" t="s">
        <v>2773</v>
      </c>
      <c r="L429" s="71" t="s">
        <v>2670</v>
      </c>
      <c r="M429" s="71" t="s">
        <v>2774</v>
      </c>
      <c r="N429" s="71" t="s">
        <v>2774</v>
      </c>
      <c r="O429" s="71" t="s">
        <v>2640</v>
      </c>
      <c r="P429" s="71" t="s">
        <v>2604</v>
      </c>
      <c r="Q429" s="71" t="s">
        <v>3014</v>
      </c>
      <c r="R429" s="71" t="s">
        <v>2604</v>
      </c>
      <c r="S429" s="71" t="s">
        <v>2604</v>
      </c>
      <c r="T429" s="71" t="s">
        <v>2604</v>
      </c>
      <c r="U429" s="71" t="s">
        <v>2604</v>
      </c>
      <c r="V429" s="71" t="s">
        <v>2604</v>
      </c>
    </row>
    <row r="430" spans="1:22">
      <c r="A430" s="71" t="s">
        <v>2659</v>
      </c>
      <c r="B430" s="71" t="s">
        <v>84</v>
      </c>
      <c r="C430" s="72">
        <v>45937.583702361109</v>
      </c>
      <c r="D430" s="72">
        <v>45937.583702361109</v>
      </c>
      <c r="E430" s="71" t="s">
        <v>365</v>
      </c>
      <c r="F430" s="71" t="s">
        <v>857</v>
      </c>
      <c r="G430" s="71" t="s">
        <v>858</v>
      </c>
      <c r="H430" s="71" t="s">
        <v>856</v>
      </c>
      <c r="I430" s="71" t="s">
        <v>2604</v>
      </c>
      <c r="J430" s="71" t="s">
        <v>744</v>
      </c>
      <c r="K430" s="71" t="s">
        <v>2665</v>
      </c>
      <c r="L430" s="71" t="s">
        <v>2666</v>
      </c>
      <c r="M430" s="71" t="s">
        <v>2671</v>
      </c>
      <c r="N430" s="71" t="s">
        <v>3209</v>
      </c>
      <c r="O430" s="71" t="s">
        <v>2640</v>
      </c>
      <c r="P430" s="71" t="s">
        <v>2604</v>
      </c>
      <c r="Q430" s="71" t="s">
        <v>3210</v>
      </c>
      <c r="R430" s="71" t="s">
        <v>2604</v>
      </c>
      <c r="S430" s="71" t="s">
        <v>2604</v>
      </c>
      <c r="T430" s="71" t="s">
        <v>2604</v>
      </c>
      <c r="U430" s="71" t="s">
        <v>2604</v>
      </c>
      <c r="V430" s="71" t="s">
        <v>2604</v>
      </c>
    </row>
    <row r="431" spans="1:22">
      <c r="A431" s="71" t="s">
        <v>2659</v>
      </c>
      <c r="B431" s="71" t="s">
        <v>56</v>
      </c>
      <c r="C431" s="72">
        <v>45877.369801064815</v>
      </c>
      <c r="D431" s="72">
        <v>45877.369801064815</v>
      </c>
      <c r="E431" s="71" t="s">
        <v>365</v>
      </c>
      <c r="F431" s="71" t="s">
        <v>680</v>
      </c>
      <c r="G431" s="71" t="s">
        <v>681</v>
      </c>
      <c r="H431" s="71" t="s">
        <v>679</v>
      </c>
      <c r="I431" s="71" t="s">
        <v>2604</v>
      </c>
      <c r="J431" s="71" t="s">
        <v>774</v>
      </c>
      <c r="K431" s="71" t="s">
        <v>2670</v>
      </c>
      <c r="L431" s="71" t="s">
        <v>2604</v>
      </c>
      <c r="M431" s="71" t="s">
        <v>2671</v>
      </c>
      <c r="N431" s="71" t="s">
        <v>2726</v>
      </c>
      <c r="O431" s="71" t="s">
        <v>2640</v>
      </c>
      <c r="P431" s="71" t="s">
        <v>2604</v>
      </c>
      <c r="Q431" s="71" t="s">
        <v>3189</v>
      </c>
      <c r="R431" s="71" t="s">
        <v>2604</v>
      </c>
      <c r="S431" s="71" t="s">
        <v>2604</v>
      </c>
      <c r="T431" s="71" t="s">
        <v>2604</v>
      </c>
      <c r="U431" s="71" t="s">
        <v>2604</v>
      </c>
      <c r="V431" s="71" t="s">
        <v>2604</v>
      </c>
    </row>
    <row r="432" spans="1:22">
      <c r="A432" s="71" t="s">
        <v>2659</v>
      </c>
      <c r="B432" s="71" t="s">
        <v>84</v>
      </c>
      <c r="C432" s="72">
        <v>45938.476830613428</v>
      </c>
      <c r="D432" s="72">
        <v>45938.476830613428</v>
      </c>
      <c r="E432" s="71" t="s">
        <v>473</v>
      </c>
      <c r="F432" s="71" t="s">
        <v>865</v>
      </c>
      <c r="G432" s="71" t="s">
        <v>866</v>
      </c>
      <c r="H432" s="71" t="s">
        <v>864</v>
      </c>
      <c r="I432" s="71" t="s">
        <v>2604</v>
      </c>
      <c r="J432" s="71" t="s">
        <v>752</v>
      </c>
      <c r="K432" s="71" t="s">
        <v>2675</v>
      </c>
      <c r="L432" s="71" t="s">
        <v>2712</v>
      </c>
      <c r="M432" s="71" t="s">
        <v>2823</v>
      </c>
      <c r="N432" s="71" t="s">
        <v>2824</v>
      </c>
      <c r="O432" s="71" t="s">
        <v>2640</v>
      </c>
      <c r="P432" s="71" t="s">
        <v>2604</v>
      </c>
      <c r="Q432" s="71" t="s">
        <v>2825</v>
      </c>
      <c r="R432" s="71" t="s">
        <v>2604</v>
      </c>
      <c r="S432" s="71" t="s">
        <v>2604</v>
      </c>
      <c r="T432" s="71" t="s">
        <v>2604</v>
      </c>
      <c r="U432" s="71" t="s">
        <v>2604</v>
      </c>
      <c r="V432" s="71" t="s">
        <v>2604</v>
      </c>
    </row>
    <row r="433" spans="1:22">
      <c r="A433" s="71" t="s">
        <v>2659</v>
      </c>
      <c r="B433" s="71" t="s">
        <v>724</v>
      </c>
      <c r="C433" s="72">
        <v>45988.389495717594</v>
      </c>
      <c r="D433" s="72">
        <v>45988.389495717594</v>
      </c>
      <c r="E433" s="71" t="s">
        <v>365</v>
      </c>
      <c r="F433" s="71" t="s">
        <v>970</v>
      </c>
      <c r="G433" s="71" t="s">
        <v>971</v>
      </c>
      <c r="H433" s="71" t="s">
        <v>969</v>
      </c>
      <c r="I433" s="71" t="s">
        <v>2604</v>
      </c>
      <c r="J433" s="71" t="s">
        <v>752</v>
      </c>
      <c r="K433" s="71" t="s">
        <v>2675</v>
      </c>
      <c r="L433" s="71" t="s">
        <v>2790</v>
      </c>
      <c r="M433" s="71" t="s">
        <v>3211</v>
      </c>
      <c r="N433" s="71" t="s">
        <v>2671</v>
      </c>
      <c r="O433" s="71" t="s">
        <v>2640</v>
      </c>
      <c r="P433" s="71" t="s">
        <v>2604</v>
      </c>
      <c r="Q433" s="71" t="s">
        <v>3212</v>
      </c>
      <c r="R433" s="71" t="s">
        <v>2604</v>
      </c>
      <c r="S433" s="71" t="s">
        <v>2604</v>
      </c>
      <c r="T433" s="71" t="s">
        <v>2604</v>
      </c>
      <c r="U433" s="71" t="s">
        <v>2604</v>
      </c>
      <c r="V433" s="71" t="s">
        <v>2604</v>
      </c>
    </row>
    <row r="434" spans="1:22">
      <c r="A434" s="71" t="s">
        <v>2659</v>
      </c>
      <c r="B434" s="71" t="s">
        <v>56</v>
      </c>
      <c r="C434" s="72">
        <v>45995.451786562502</v>
      </c>
      <c r="D434" s="72">
        <v>45995.451786562502</v>
      </c>
      <c r="E434" s="71" t="s">
        <v>365</v>
      </c>
      <c r="F434" s="71" t="s">
        <v>988</v>
      </c>
      <c r="G434" s="71" t="s">
        <v>989</v>
      </c>
      <c r="H434" s="71" t="s">
        <v>987</v>
      </c>
      <c r="I434" s="71" t="s">
        <v>2604</v>
      </c>
      <c r="J434" s="71" t="s">
        <v>744</v>
      </c>
      <c r="K434" s="71" t="s">
        <v>2665</v>
      </c>
      <c r="L434" s="71" t="s">
        <v>2821</v>
      </c>
      <c r="M434" s="71" t="s">
        <v>2671</v>
      </c>
      <c r="N434" s="71" t="s">
        <v>2888</v>
      </c>
      <c r="O434" s="71" t="s">
        <v>2640</v>
      </c>
      <c r="P434" s="71" t="s">
        <v>2604</v>
      </c>
      <c r="Q434" s="71" t="s">
        <v>2889</v>
      </c>
      <c r="R434" s="71" t="s">
        <v>2604</v>
      </c>
      <c r="S434" s="71" t="s">
        <v>2604</v>
      </c>
      <c r="T434" s="71" t="s">
        <v>2604</v>
      </c>
      <c r="U434" s="71" t="s">
        <v>2604</v>
      </c>
      <c r="V434" s="71" t="s">
        <v>2604</v>
      </c>
    </row>
    <row r="435" spans="1:22">
      <c r="A435" s="71" t="s">
        <v>2659</v>
      </c>
      <c r="B435" s="71" t="s">
        <v>84</v>
      </c>
      <c r="C435" s="72">
        <v>45856.404490937501</v>
      </c>
      <c r="D435" s="72">
        <v>45856.404490937501</v>
      </c>
      <c r="E435" s="71" t="s">
        <v>365</v>
      </c>
      <c r="F435" s="71" t="s">
        <v>583</v>
      </c>
      <c r="G435" s="71" t="s">
        <v>584</v>
      </c>
      <c r="H435" s="71" t="s">
        <v>582</v>
      </c>
      <c r="I435" s="71" t="s">
        <v>2604</v>
      </c>
      <c r="J435" s="71" t="s">
        <v>769</v>
      </c>
      <c r="K435" s="71" t="s">
        <v>3213</v>
      </c>
      <c r="L435" s="71" t="s">
        <v>3214</v>
      </c>
      <c r="M435" s="71" t="s">
        <v>2671</v>
      </c>
      <c r="N435" s="71" t="s">
        <v>3215</v>
      </c>
      <c r="O435" s="71" t="s">
        <v>2640</v>
      </c>
      <c r="P435" s="71" t="s">
        <v>2604</v>
      </c>
      <c r="Q435" s="71" t="s">
        <v>3216</v>
      </c>
      <c r="R435" s="71" t="s">
        <v>2604</v>
      </c>
      <c r="S435" s="71" t="s">
        <v>2604</v>
      </c>
      <c r="T435" s="71" t="s">
        <v>2604</v>
      </c>
      <c r="U435" s="71" t="s">
        <v>2604</v>
      </c>
      <c r="V435" s="71" t="s">
        <v>2604</v>
      </c>
    </row>
    <row r="436" spans="1:22">
      <c r="A436" s="71" t="s">
        <v>2659</v>
      </c>
      <c r="B436" s="71" t="s">
        <v>56</v>
      </c>
      <c r="C436" s="72">
        <v>45866.669798726849</v>
      </c>
      <c r="D436" s="72">
        <v>45866.669798726849</v>
      </c>
      <c r="E436" s="71" t="s">
        <v>365</v>
      </c>
      <c r="F436" s="71" t="s">
        <v>3054</v>
      </c>
      <c r="G436" s="71" t="s">
        <v>647</v>
      </c>
      <c r="H436" s="71" t="s">
        <v>645</v>
      </c>
      <c r="I436" s="71" t="s">
        <v>2604</v>
      </c>
      <c r="J436" s="71" t="s">
        <v>744</v>
      </c>
      <c r="K436" s="71" t="s">
        <v>2665</v>
      </c>
      <c r="L436" s="71" t="s">
        <v>2821</v>
      </c>
      <c r="M436" s="71" t="s">
        <v>2671</v>
      </c>
      <c r="N436" s="71" t="s">
        <v>3055</v>
      </c>
      <c r="O436" s="71" t="s">
        <v>2640</v>
      </c>
      <c r="P436" s="71" t="s">
        <v>2604</v>
      </c>
      <c r="Q436" s="71" t="s">
        <v>3056</v>
      </c>
      <c r="R436" s="71" t="s">
        <v>2604</v>
      </c>
      <c r="S436" s="71" t="s">
        <v>2604</v>
      </c>
      <c r="T436" s="71" t="s">
        <v>2604</v>
      </c>
      <c r="U436" s="71" t="s">
        <v>2604</v>
      </c>
      <c r="V436" s="71" t="s">
        <v>2604</v>
      </c>
    </row>
    <row r="437" spans="1:22">
      <c r="A437" s="71" t="s">
        <v>2659</v>
      </c>
      <c r="B437" s="71" t="s">
        <v>56</v>
      </c>
      <c r="C437" s="72">
        <v>45988.640256122686</v>
      </c>
      <c r="D437" s="72">
        <v>45988.640256122686</v>
      </c>
      <c r="E437" s="71" t="s">
        <v>365</v>
      </c>
      <c r="F437" s="71" t="s">
        <v>978</v>
      </c>
      <c r="G437" s="71" t="s">
        <v>979</v>
      </c>
      <c r="H437" s="71" t="s">
        <v>977</v>
      </c>
      <c r="I437" s="71" t="s">
        <v>2604</v>
      </c>
      <c r="J437" s="71" t="s">
        <v>752</v>
      </c>
      <c r="K437" s="71" t="s">
        <v>2675</v>
      </c>
      <c r="L437" s="71" t="s">
        <v>2790</v>
      </c>
      <c r="M437" s="71" t="s">
        <v>2926</v>
      </c>
      <c r="N437" s="71" t="s">
        <v>2671</v>
      </c>
      <c r="O437" s="71" t="s">
        <v>2640</v>
      </c>
      <c r="P437" s="71" t="s">
        <v>2604</v>
      </c>
      <c r="Q437" s="71" t="s">
        <v>2927</v>
      </c>
      <c r="R437" s="71" t="s">
        <v>2604</v>
      </c>
      <c r="S437" s="71" t="s">
        <v>2604</v>
      </c>
      <c r="T437" s="71" t="s">
        <v>2604</v>
      </c>
      <c r="U437" s="71" t="s">
        <v>2604</v>
      </c>
      <c r="V437" s="71" t="s">
        <v>2604</v>
      </c>
    </row>
    <row r="438" spans="1:22">
      <c r="A438" s="71" t="s">
        <v>2659</v>
      </c>
      <c r="B438" s="71" t="s">
        <v>56</v>
      </c>
      <c r="C438" s="72">
        <v>45854.417784583333</v>
      </c>
      <c r="D438" s="72">
        <v>45854.417784583333</v>
      </c>
      <c r="E438" s="71" t="s">
        <v>380</v>
      </c>
      <c r="F438" s="71" t="s">
        <v>3062</v>
      </c>
      <c r="G438" s="71" t="s">
        <v>3063</v>
      </c>
      <c r="H438" s="71" t="s">
        <v>565</v>
      </c>
      <c r="I438" s="71" t="s">
        <v>2604</v>
      </c>
      <c r="J438" s="71" t="s">
        <v>774</v>
      </c>
      <c r="K438" s="71" t="s">
        <v>2670</v>
      </c>
      <c r="L438" s="71" t="s">
        <v>2604</v>
      </c>
      <c r="M438" s="71" t="s">
        <v>2671</v>
      </c>
      <c r="N438" s="71" t="s">
        <v>3064</v>
      </c>
      <c r="O438" s="71" t="s">
        <v>2640</v>
      </c>
      <c r="P438" s="71" t="s">
        <v>2604</v>
      </c>
      <c r="Q438" s="71" t="s">
        <v>3065</v>
      </c>
      <c r="R438" s="71" t="s">
        <v>2604</v>
      </c>
      <c r="S438" s="71" t="s">
        <v>2604</v>
      </c>
      <c r="T438" s="71" t="s">
        <v>2604</v>
      </c>
      <c r="U438" s="71" t="s">
        <v>2604</v>
      </c>
      <c r="V438" s="71" t="s">
        <v>2618</v>
      </c>
    </row>
    <row r="439" spans="1:22">
      <c r="A439" s="71" t="s">
        <v>2659</v>
      </c>
      <c r="B439" s="71" t="s">
        <v>659</v>
      </c>
      <c r="C439" s="72">
        <v>45869.36627111111</v>
      </c>
      <c r="D439" s="72">
        <v>45869.36627111111</v>
      </c>
      <c r="E439" s="71" t="s">
        <v>473</v>
      </c>
      <c r="F439" s="71" t="s">
        <v>2748</v>
      </c>
      <c r="G439" s="71" t="s">
        <v>2749</v>
      </c>
      <c r="H439" s="71" t="s">
        <v>660</v>
      </c>
      <c r="I439" s="71" t="s">
        <v>2604</v>
      </c>
      <c r="J439" s="71" t="s">
        <v>1140</v>
      </c>
      <c r="K439" s="71" t="s">
        <v>2750</v>
      </c>
      <c r="L439" s="71" t="s">
        <v>2604</v>
      </c>
      <c r="M439" s="71" t="s">
        <v>2751</v>
      </c>
      <c r="N439" s="71" t="s">
        <v>2752</v>
      </c>
      <c r="O439" s="71" t="s">
        <v>2640</v>
      </c>
      <c r="P439" s="71" t="s">
        <v>2753</v>
      </c>
      <c r="Q439" s="71" t="s">
        <v>2754</v>
      </c>
      <c r="R439" s="71" t="s">
        <v>2604</v>
      </c>
      <c r="S439" s="71" t="s">
        <v>2604</v>
      </c>
      <c r="T439" s="71" t="s">
        <v>2604</v>
      </c>
      <c r="U439" s="71" t="s">
        <v>2604</v>
      </c>
      <c r="V439" s="71" t="s">
        <v>3217</v>
      </c>
    </row>
    <row r="440" spans="1:22">
      <c r="A440" s="71" t="s">
        <v>2659</v>
      </c>
      <c r="B440" s="71" t="s">
        <v>2646</v>
      </c>
      <c r="C440" s="72">
        <v>45813.288968009256</v>
      </c>
      <c r="D440" s="72">
        <v>45813.288968009256</v>
      </c>
      <c r="E440" s="71" t="s">
        <v>473</v>
      </c>
      <c r="F440" s="71" t="s">
        <v>2816</v>
      </c>
      <c r="G440" s="71" t="s">
        <v>495</v>
      </c>
      <c r="H440" s="71" t="s">
        <v>493</v>
      </c>
      <c r="I440" s="71" t="s">
        <v>2604</v>
      </c>
      <c r="J440" s="71" t="s">
        <v>752</v>
      </c>
      <c r="K440" s="71" t="s">
        <v>2723</v>
      </c>
      <c r="L440" s="71" t="s">
        <v>2665</v>
      </c>
      <c r="M440" s="71" t="s">
        <v>2817</v>
      </c>
      <c r="N440" s="71" t="s">
        <v>2671</v>
      </c>
      <c r="O440" s="71" t="s">
        <v>2612</v>
      </c>
      <c r="P440" s="71" t="s">
        <v>2604</v>
      </c>
      <c r="Q440" s="71" t="s">
        <v>2818</v>
      </c>
      <c r="R440" s="71" t="s">
        <v>2604</v>
      </c>
      <c r="S440" s="71" t="s">
        <v>2604</v>
      </c>
      <c r="T440" s="71" t="s">
        <v>2604</v>
      </c>
      <c r="U440" s="71" t="s">
        <v>2604</v>
      </c>
      <c r="V440" s="71" t="s">
        <v>2657</v>
      </c>
    </row>
    <row r="441" spans="1:22">
      <c r="A441" s="71" t="s">
        <v>2659</v>
      </c>
      <c r="B441" s="71" t="s">
        <v>51</v>
      </c>
      <c r="C441" s="72">
        <v>45864.570643472223</v>
      </c>
      <c r="D441" s="72">
        <v>45864.570643472223</v>
      </c>
      <c r="E441" s="71" t="s">
        <v>380</v>
      </c>
      <c r="F441" s="71" t="s">
        <v>2785</v>
      </c>
      <c r="G441" s="71" t="s">
        <v>637</v>
      </c>
      <c r="H441" s="71" t="s">
        <v>635</v>
      </c>
      <c r="I441" s="71" t="s">
        <v>2604</v>
      </c>
      <c r="J441" s="71" t="s">
        <v>774</v>
      </c>
      <c r="K441" s="71" t="s">
        <v>2670</v>
      </c>
      <c r="L441" s="71" t="s">
        <v>2604</v>
      </c>
      <c r="M441" s="71" t="s">
        <v>2671</v>
      </c>
      <c r="N441" s="71" t="s">
        <v>2726</v>
      </c>
      <c r="O441" s="71" t="s">
        <v>2640</v>
      </c>
      <c r="P441" s="71" t="s">
        <v>2604</v>
      </c>
      <c r="Q441" s="71" t="s">
        <v>2786</v>
      </c>
      <c r="R441" s="71" t="s">
        <v>2604</v>
      </c>
      <c r="S441" s="71" t="s">
        <v>2604</v>
      </c>
      <c r="T441" s="71" t="s">
        <v>2604</v>
      </c>
      <c r="U441" s="71" t="s">
        <v>2604</v>
      </c>
      <c r="V441" s="71" t="s">
        <v>2664</v>
      </c>
    </row>
    <row r="442" spans="1:22">
      <c r="A442" s="71" t="s">
        <v>2659</v>
      </c>
      <c r="B442" s="71" t="s">
        <v>56</v>
      </c>
      <c r="C442" s="72">
        <v>46035.830883530092</v>
      </c>
      <c r="D442" s="72">
        <v>46035.830883530092</v>
      </c>
      <c r="E442" s="71" t="s">
        <v>365</v>
      </c>
      <c r="F442" s="71" t="s">
        <v>3076</v>
      </c>
      <c r="G442" s="71" t="s">
        <v>3077</v>
      </c>
      <c r="H442" s="71" t="s">
        <v>3078</v>
      </c>
      <c r="I442" s="71" t="s">
        <v>2604</v>
      </c>
      <c r="J442" s="71" t="s">
        <v>744</v>
      </c>
      <c r="K442" s="71" t="s">
        <v>2665</v>
      </c>
      <c r="L442" s="71" t="s">
        <v>2666</v>
      </c>
      <c r="M442" s="71" t="s">
        <v>2671</v>
      </c>
      <c r="N442" s="71" t="s">
        <v>3079</v>
      </c>
      <c r="O442" s="71" t="s">
        <v>2640</v>
      </c>
      <c r="P442" s="71" t="s">
        <v>2604</v>
      </c>
      <c r="Q442" s="71" t="s">
        <v>3080</v>
      </c>
      <c r="R442" s="71" t="s">
        <v>2604</v>
      </c>
      <c r="S442" s="71" t="s">
        <v>2604</v>
      </c>
      <c r="T442" s="71" t="s">
        <v>2604</v>
      </c>
      <c r="U442" s="71" t="s">
        <v>2604</v>
      </c>
      <c r="V442" s="71" t="s">
        <v>2635</v>
      </c>
    </row>
    <row r="443" spans="1:22">
      <c r="A443" s="71" t="s">
        <v>2659</v>
      </c>
      <c r="B443" s="71" t="s">
        <v>84</v>
      </c>
      <c r="C443" s="72">
        <v>45908.552274641203</v>
      </c>
      <c r="D443" s="72">
        <v>45908.552274641203</v>
      </c>
      <c r="E443" s="71" t="s">
        <v>365</v>
      </c>
      <c r="F443" s="71" t="s">
        <v>782</v>
      </c>
      <c r="G443" s="71" t="s">
        <v>783</v>
      </c>
      <c r="H443" s="71" t="s">
        <v>781</v>
      </c>
      <c r="I443" s="71" t="s">
        <v>2604</v>
      </c>
      <c r="J443" s="71" t="s">
        <v>774</v>
      </c>
      <c r="K443" s="71" t="s">
        <v>2670</v>
      </c>
      <c r="L443" s="71" t="s">
        <v>2604</v>
      </c>
      <c r="M443" s="71" t="s">
        <v>2671</v>
      </c>
      <c r="N443" s="71" t="s">
        <v>2909</v>
      </c>
      <c r="O443" s="71" t="s">
        <v>2640</v>
      </c>
      <c r="P443" s="71" t="s">
        <v>2604</v>
      </c>
      <c r="Q443" s="71" t="s">
        <v>2910</v>
      </c>
      <c r="R443" s="71" t="s">
        <v>2604</v>
      </c>
      <c r="S443" s="71" t="s">
        <v>2604</v>
      </c>
      <c r="T443" s="71" t="s">
        <v>2604</v>
      </c>
      <c r="U443" s="71" t="s">
        <v>2604</v>
      </c>
      <c r="V443" s="71" t="s">
        <v>2604</v>
      </c>
    </row>
    <row r="444" spans="1:22">
      <c r="A444" s="71" t="s">
        <v>2659</v>
      </c>
      <c r="B444" s="71" t="s">
        <v>56</v>
      </c>
      <c r="C444" s="72">
        <v>45888.647950381943</v>
      </c>
      <c r="D444" s="72">
        <v>45888.647950381943</v>
      </c>
      <c r="E444" s="71" t="s">
        <v>135</v>
      </c>
      <c r="F444" s="71" t="s">
        <v>704</v>
      </c>
      <c r="G444" s="71" t="s">
        <v>2966</v>
      </c>
      <c r="H444" s="71" t="s">
        <v>703</v>
      </c>
      <c r="I444" s="71" t="s">
        <v>2604</v>
      </c>
      <c r="J444" s="71" t="s">
        <v>744</v>
      </c>
      <c r="K444" s="71" t="s">
        <v>2665</v>
      </c>
      <c r="L444" s="71" t="s">
        <v>2821</v>
      </c>
      <c r="M444" s="71" t="s">
        <v>2671</v>
      </c>
      <c r="N444" s="71" t="s">
        <v>2967</v>
      </c>
      <c r="O444" s="71" t="s">
        <v>2640</v>
      </c>
      <c r="P444" s="71" t="s">
        <v>2604</v>
      </c>
      <c r="Q444" s="71" t="s">
        <v>2968</v>
      </c>
      <c r="R444" s="71" t="s">
        <v>2604</v>
      </c>
      <c r="S444" s="71" t="s">
        <v>2604</v>
      </c>
      <c r="T444" s="71" t="s">
        <v>2604</v>
      </c>
      <c r="U444" s="71" t="s">
        <v>2604</v>
      </c>
      <c r="V444" s="71" t="s">
        <v>2618</v>
      </c>
    </row>
    <row r="445" spans="1:22">
      <c r="A445" s="71" t="s">
        <v>2659</v>
      </c>
      <c r="B445" s="71" t="s">
        <v>56</v>
      </c>
      <c r="C445" s="72">
        <v>46090.730494791664</v>
      </c>
      <c r="D445" s="72">
        <v>46090.730494791664</v>
      </c>
      <c r="E445" s="71" t="s">
        <v>365</v>
      </c>
      <c r="F445" s="71" t="s">
        <v>1122</v>
      </c>
      <c r="G445" s="71" t="s">
        <v>1123</v>
      </c>
      <c r="H445" s="71" t="s">
        <v>1121</v>
      </c>
      <c r="I445" s="71" t="s">
        <v>2604</v>
      </c>
      <c r="J445" s="71" t="s">
        <v>744</v>
      </c>
      <c r="K445" s="71" t="s">
        <v>2665</v>
      </c>
      <c r="L445" s="71" t="s">
        <v>2821</v>
      </c>
      <c r="M445" s="71" t="s">
        <v>2928</v>
      </c>
      <c r="N445" s="71" t="s">
        <v>2929</v>
      </c>
      <c r="O445" s="71" t="s">
        <v>2640</v>
      </c>
      <c r="P445" s="71" t="s">
        <v>2604</v>
      </c>
      <c r="Q445" s="71" t="s">
        <v>2930</v>
      </c>
      <c r="R445" s="71" t="s">
        <v>2604</v>
      </c>
      <c r="S445" s="71" t="s">
        <v>2604</v>
      </c>
      <c r="T445" s="71" t="s">
        <v>2604</v>
      </c>
      <c r="U445" s="71" t="s">
        <v>2604</v>
      </c>
      <c r="V445" s="71" t="s">
        <v>2664</v>
      </c>
    </row>
    <row r="446" spans="1:22">
      <c r="A446" s="71" t="s">
        <v>2659</v>
      </c>
      <c r="B446" s="71" t="s">
        <v>56</v>
      </c>
      <c r="C446" s="72">
        <v>45973.648948703703</v>
      </c>
      <c r="D446" s="72">
        <v>45973.648948703703</v>
      </c>
      <c r="E446" s="71" t="s">
        <v>365</v>
      </c>
      <c r="F446" s="71" t="s">
        <v>936</v>
      </c>
      <c r="G446" s="71" t="s">
        <v>937</v>
      </c>
      <c r="H446" s="71" t="s">
        <v>935</v>
      </c>
      <c r="I446" s="71" t="s">
        <v>2604</v>
      </c>
      <c r="J446" s="71" t="s">
        <v>744</v>
      </c>
      <c r="K446" s="71" t="s">
        <v>2665</v>
      </c>
      <c r="L446" s="71" t="s">
        <v>2666</v>
      </c>
      <c r="M446" s="71" t="s">
        <v>2671</v>
      </c>
      <c r="N446" s="71" t="s">
        <v>3012</v>
      </c>
      <c r="O446" s="71" t="s">
        <v>2640</v>
      </c>
      <c r="P446" s="71" t="s">
        <v>2604</v>
      </c>
      <c r="Q446" s="71" t="s">
        <v>3013</v>
      </c>
      <c r="R446" s="71" t="s">
        <v>2604</v>
      </c>
      <c r="S446" s="71" t="s">
        <v>2604</v>
      </c>
      <c r="T446" s="71" t="s">
        <v>2604</v>
      </c>
      <c r="U446" s="71" t="s">
        <v>2604</v>
      </c>
      <c r="V446" s="71" t="s">
        <v>2664</v>
      </c>
    </row>
    <row r="447" spans="1:22">
      <c r="A447" s="71" t="s">
        <v>2659</v>
      </c>
      <c r="B447" s="71" t="s">
        <v>2646</v>
      </c>
      <c r="C447" s="72">
        <v>45771.468429016204</v>
      </c>
      <c r="D447" s="72">
        <v>45771.468429016204</v>
      </c>
      <c r="E447" s="71" t="s">
        <v>365</v>
      </c>
      <c r="F447" s="71" t="s">
        <v>438</v>
      </c>
      <c r="G447" s="71" t="s">
        <v>439</v>
      </c>
      <c r="H447" s="71" t="s">
        <v>437</v>
      </c>
      <c r="I447" s="71" t="s">
        <v>2604</v>
      </c>
      <c r="J447" s="71" t="s">
        <v>752</v>
      </c>
      <c r="K447" s="71" t="s">
        <v>2723</v>
      </c>
      <c r="L447" s="71" t="s">
        <v>2665</v>
      </c>
      <c r="M447" s="71" t="s">
        <v>2969</v>
      </c>
      <c r="N447" s="71" t="s">
        <v>2836</v>
      </c>
      <c r="O447" s="71" t="s">
        <v>2692</v>
      </c>
      <c r="P447" s="71" t="s">
        <v>2604</v>
      </c>
      <c r="Q447" s="71" t="s">
        <v>2970</v>
      </c>
      <c r="R447" s="71" t="s">
        <v>2604</v>
      </c>
      <c r="S447" s="71" t="s">
        <v>2604</v>
      </c>
      <c r="T447" s="71" t="s">
        <v>2604</v>
      </c>
      <c r="U447" s="71" t="s">
        <v>2604</v>
      </c>
      <c r="V447" s="71" t="s">
        <v>2604</v>
      </c>
    </row>
    <row r="448" spans="1:22">
      <c r="A448" s="71" t="s">
        <v>2659</v>
      </c>
      <c r="B448" s="71" t="s">
        <v>56</v>
      </c>
      <c r="C448" s="72">
        <v>45973.648948703703</v>
      </c>
      <c r="D448" s="72">
        <v>45973.648948703703</v>
      </c>
      <c r="E448" s="71" t="s">
        <v>365</v>
      </c>
      <c r="F448" s="71" t="s">
        <v>936</v>
      </c>
      <c r="G448" s="71" t="s">
        <v>937</v>
      </c>
      <c r="H448" s="71" t="s">
        <v>935</v>
      </c>
      <c r="I448" s="71" t="s">
        <v>2604</v>
      </c>
      <c r="J448" s="71" t="s">
        <v>744</v>
      </c>
      <c r="K448" s="71" t="s">
        <v>2665</v>
      </c>
      <c r="L448" s="71" t="s">
        <v>2666</v>
      </c>
      <c r="M448" s="71" t="s">
        <v>2671</v>
      </c>
      <c r="N448" s="71" t="s">
        <v>3012</v>
      </c>
      <c r="O448" s="71" t="s">
        <v>2640</v>
      </c>
      <c r="P448" s="71" t="s">
        <v>2604</v>
      </c>
      <c r="Q448" s="71" t="s">
        <v>3013</v>
      </c>
      <c r="R448" s="71" t="s">
        <v>2604</v>
      </c>
      <c r="S448" s="71" t="s">
        <v>2604</v>
      </c>
      <c r="T448" s="71" t="s">
        <v>2604</v>
      </c>
      <c r="U448" s="71" t="s">
        <v>2604</v>
      </c>
      <c r="V448" s="71" t="s">
        <v>2635</v>
      </c>
    </row>
    <row r="449" spans="1:22">
      <c r="A449" s="71" t="s">
        <v>2659</v>
      </c>
      <c r="B449" s="71" t="s">
        <v>84</v>
      </c>
      <c r="C449" s="72">
        <v>45989.413993564813</v>
      </c>
      <c r="D449" s="72">
        <v>45989.413993564813</v>
      </c>
      <c r="E449" s="71" t="s">
        <v>473</v>
      </c>
      <c r="F449" s="71" t="s">
        <v>3186</v>
      </c>
      <c r="G449" s="71" t="s">
        <v>982</v>
      </c>
      <c r="H449" s="71" t="s">
        <v>980</v>
      </c>
      <c r="I449" s="71" t="s">
        <v>2604</v>
      </c>
      <c r="J449" s="71" t="s">
        <v>744</v>
      </c>
      <c r="K449" s="71" t="s">
        <v>2665</v>
      </c>
      <c r="L449" s="71" t="s">
        <v>2666</v>
      </c>
      <c r="M449" s="71" t="s">
        <v>2671</v>
      </c>
      <c r="N449" s="71" t="s">
        <v>3187</v>
      </c>
      <c r="O449" s="71" t="s">
        <v>2640</v>
      </c>
      <c r="P449" s="71" t="s">
        <v>2604</v>
      </c>
      <c r="Q449" s="71" t="s">
        <v>3188</v>
      </c>
      <c r="R449" s="71" t="s">
        <v>2604</v>
      </c>
      <c r="S449" s="71" t="s">
        <v>2604</v>
      </c>
      <c r="T449" s="71" t="s">
        <v>2604</v>
      </c>
      <c r="U449" s="71" t="s">
        <v>2604</v>
      </c>
      <c r="V449" s="71" t="s">
        <v>2635</v>
      </c>
    </row>
    <row r="450" spans="1:22">
      <c r="A450" s="71" t="s">
        <v>2659</v>
      </c>
      <c r="B450" s="71" t="s">
        <v>2646</v>
      </c>
      <c r="C450" s="72">
        <v>45816.375078055557</v>
      </c>
      <c r="D450" s="72">
        <v>45816.375078055557</v>
      </c>
      <c r="E450" s="71" t="s">
        <v>365</v>
      </c>
      <c r="F450" s="71" t="s">
        <v>504</v>
      </c>
      <c r="G450" s="71" t="s">
        <v>505</v>
      </c>
      <c r="H450" s="71" t="s">
        <v>503</v>
      </c>
      <c r="I450" s="71" t="s">
        <v>2604</v>
      </c>
      <c r="J450" s="71" t="s">
        <v>774</v>
      </c>
      <c r="K450" s="71" t="s">
        <v>2670</v>
      </c>
      <c r="L450" s="71" t="s">
        <v>2604</v>
      </c>
      <c r="M450" s="71" t="s">
        <v>2671</v>
      </c>
      <c r="N450" s="71" t="s">
        <v>3151</v>
      </c>
      <c r="O450" s="71" t="s">
        <v>2692</v>
      </c>
      <c r="P450" s="71" t="s">
        <v>2604</v>
      </c>
      <c r="Q450" s="71" t="s">
        <v>3152</v>
      </c>
      <c r="R450" s="71" t="s">
        <v>2604</v>
      </c>
      <c r="S450" s="71" t="s">
        <v>2604</v>
      </c>
      <c r="T450" s="71" t="s">
        <v>2604</v>
      </c>
      <c r="U450" s="71" t="s">
        <v>2604</v>
      </c>
      <c r="V450" s="71" t="s">
        <v>2658</v>
      </c>
    </row>
    <row r="451" spans="1:22">
      <c r="A451" s="71" t="s">
        <v>2659</v>
      </c>
      <c r="B451" s="71" t="s">
        <v>2646</v>
      </c>
      <c r="C451" s="72">
        <v>45824.613438009263</v>
      </c>
      <c r="D451" s="72">
        <v>45824.613438009263</v>
      </c>
      <c r="E451" s="71" t="s">
        <v>135</v>
      </c>
      <c r="F451" s="71" t="s">
        <v>517</v>
      </c>
      <c r="G451" s="71" t="s">
        <v>3206</v>
      </c>
      <c r="H451" s="71" t="s">
        <v>516</v>
      </c>
      <c r="I451" s="71" t="s">
        <v>2604</v>
      </c>
      <c r="J451" s="71" t="s">
        <v>774</v>
      </c>
      <c r="K451" s="71" t="s">
        <v>3207</v>
      </c>
      <c r="L451" s="71" t="s">
        <v>2604</v>
      </c>
      <c r="M451" s="71" t="s">
        <v>2848</v>
      </c>
      <c r="N451" s="71" t="s">
        <v>2763</v>
      </c>
      <c r="O451" s="71" t="s">
        <v>2692</v>
      </c>
      <c r="P451" s="71" t="s">
        <v>2604</v>
      </c>
      <c r="Q451" s="71" t="s">
        <v>3208</v>
      </c>
      <c r="R451" s="71" t="s">
        <v>2604</v>
      </c>
      <c r="S451" s="71" t="s">
        <v>2604</v>
      </c>
      <c r="T451" s="71" t="s">
        <v>2604</v>
      </c>
      <c r="U451" s="71" t="s">
        <v>2604</v>
      </c>
      <c r="V451" s="71" t="s">
        <v>2618</v>
      </c>
    </row>
    <row r="452" spans="1:22">
      <c r="A452" s="71" t="s">
        <v>2659</v>
      </c>
      <c r="B452" s="71" t="s">
        <v>724</v>
      </c>
      <c r="C452" s="72">
        <v>46066.686810057872</v>
      </c>
      <c r="D452" s="72">
        <v>46066.686810057872</v>
      </c>
      <c r="E452" s="71" t="s">
        <v>365</v>
      </c>
      <c r="F452" s="71" t="s">
        <v>1101</v>
      </c>
      <c r="G452" s="71" t="s">
        <v>1102</v>
      </c>
      <c r="H452" s="71" t="s">
        <v>1100</v>
      </c>
      <c r="I452" s="71" t="s">
        <v>2604</v>
      </c>
      <c r="J452" s="71" t="s">
        <v>774</v>
      </c>
      <c r="K452" s="71" t="s">
        <v>2738</v>
      </c>
      <c r="L452" s="71" t="s">
        <v>2604</v>
      </c>
      <c r="M452" s="71" t="s">
        <v>2739</v>
      </c>
      <c r="N452" s="71" t="s">
        <v>3218</v>
      </c>
      <c r="O452" s="71" t="s">
        <v>2640</v>
      </c>
      <c r="P452" s="71" t="s">
        <v>2604</v>
      </c>
      <c r="Q452" s="71" t="s">
        <v>3219</v>
      </c>
      <c r="R452" s="71" t="s">
        <v>2604</v>
      </c>
      <c r="S452" s="71" t="s">
        <v>2604</v>
      </c>
      <c r="T452" s="71" t="s">
        <v>2604</v>
      </c>
      <c r="U452" s="71" t="s">
        <v>2604</v>
      </c>
      <c r="V452" s="71" t="s">
        <v>2635</v>
      </c>
    </row>
    <row r="453" spans="1:22">
      <c r="A453" s="71" t="s">
        <v>2659</v>
      </c>
      <c r="B453" s="71" t="s">
        <v>56</v>
      </c>
      <c r="C453" s="72">
        <v>45888.480305636571</v>
      </c>
      <c r="D453" s="72">
        <v>45888.480305636571</v>
      </c>
      <c r="E453" s="71" t="s">
        <v>365</v>
      </c>
      <c r="F453" s="71" t="s">
        <v>701</v>
      </c>
      <c r="G453" s="71" t="s">
        <v>702</v>
      </c>
      <c r="H453" s="71" t="s">
        <v>700</v>
      </c>
      <c r="I453" s="71" t="s">
        <v>2604</v>
      </c>
      <c r="J453" s="71" t="s">
        <v>752</v>
      </c>
      <c r="K453" s="71" t="s">
        <v>2680</v>
      </c>
      <c r="L453" s="71" t="s">
        <v>3158</v>
      </c>
      <c r="M453" s="71" t="s">
        <v>3159</v>
      </c>
      <c r="N453" s="71" t="s">
        <v>3160</v>
      </c>
      <c r="O453" s="71" t="s">
        <v>2640</v>
      </c>
      <c r="P453" s="71" t="s">
        <v>2604</v>
      </c>
      <c r="Q453" s="71" t="s">
        <v>3161</v>
      </c>
      <c r="R453" s="71" t="s">
        <v>2604</v>
      </c>
      <c r="S453" s="71" t="s">
        <v>2604</v>
      </c>
      <c r="T453" s="71" t="s">
        <v>2604</v>
      </c>
      <c r="U453" s="71" t="s">
        <v>2604</v>
      </c>
      <c r="V453" s="71" t="s">
        <v>2635</v>
      </c>
    </row>
    <row r="454" spans="1:22">
      <c r="A454" s="71" t="s">
        <v>2659</v>
      </c>
      <c r="B454" s="71" t="s">
        <v>56</v>
      </c>
      <c r="C454" s="72">
        <v>45888.647950381943</v>
      </c>
      <c r="D454" s="72">
        <v>45888.647950381943</v>
      </c>
      <c r="E454" s="71" t="s">
        <v>135</v>
      </c>
      <c r="F454" s="71" t="s">
        <v>704</v>
      </c>
      <c r="G454" s="71" t="s">
        <v>2966</v>
      </c>
      <c r="H454" s="71" t="s">
        <v>703</v>
      </c>
      <c r="I454" s="71" t="s">
        <v>2604</v>
      </c>
      <c r="J454" s="71" t="s">
        <v>744</v>
      </c>
      <c r="K454" s="71" t="s">
        <v>2665</v>
      </c>
      <c r="L454" s="71" t="s">
        <v>2821</v>
      </c>
      <c r="M454" s="71" t="s">
        <v>2671</v>
      </c>
      <c r="N454" s="71" t="s">
        <v>2967</v>
      </c>
      <c r="O454" s="71" t="s">
        <v>2640</v>
      </c>
      <c r="P454" s="71" t="s">
        <v>2604</v>
      </c>
      <c r="Q454" s="71" t="s">
        <v>2968</v>
      </c>
      <c r="R454" s="71" t="s">
        <v>2604</v>
      </c>
      <c r="S454" s="71" t="s">
        <v>2604</v>
      </c>
      <c r="T454" s="71" t="s">
        <v>2604</v>
      </c>
      <c r="U454" s="71" t="s">
        <v>2604</v>
      </c>
      <c r="V454" s="71" t="s">
        <v>2664</v>
      </c>
    </row>
    <row r="455" spans="1:22">
      <c r="A455" s="71" t="s">
        <v>2659</v>
      </c>
      <c r="B455" s="71" t="s">
        <v>2646</v>
      </c>
      <c r="C455" s="72">
        <v>45807.381936527781</v>
      </c>
      <c r="D455" s="72">
        <v>45807.381936527781</v>
      </c>
      <c r="E455" s="71" t="s">
        <v>135</v>
      </c>
      <c r="F455" s="71" t="s">
        <v>2883</v>
      </c>
      <c r="G455" s="71" t="s">
        <v>2884</v>
      </c>
      <c r="H455" s="71" t="s">
        <v>2885</v>
      </c>
      <c r="I455" s="71" t="s">
        <v>2604</v>
      </c>
      <c r="J455" s="71" t="s">
        <v>752</v>
      </c>
      <c r="K455" s="71" t="s">
        <v>2723</v>
      </c>
      <c r="L455" s="71" t="s">
        <v>2665</v>
      </c>
      <c r="M455" s="71" t="s">
        <v>2886</v>
      </c>
      <c r="N455" s="71" t="s">
        <v>2671</v>
      </c>
      <c r="O455" s="71" t="s">
        <v>2692</v>
      </c>
      <c r="P455" s="71" t="s">
        <v>2604</v>
      </c>
      <c r="Q455" s="71" t="s">
        <v>2887</v>
      </c>
      <c r="R455" s="71" t="s">
        <v>2604</v>
      </c>
      <c r="S455" s="71" t="s">
        <v>2604</v>
      </c>
      <c r="T455" s="71" t="s">
        <v>2604</v>
      </c>
      <c r="U455" s="71" t="s">
        <v>2604</v>
      </c>
      <c r="V455" s="71" t="s">
        <v>2655</v>
      </c>
    </row>
    <row r="456" spans="1:22">
      <c r="A456" s="71" t="s">
        <v>2659</v>
      </c>
      <c r="B456" s="71" t="s">
        <v>2646</v>
      </c>
      <c r="C456" s="72">
        <v>45793.740437337961</v>
      </c>
      <c r="D456" s="72">
        <v>45793.740437337961</v>
      </c>
      <c r="E456" s="71" t="s">
        <v>365</v>
      </c>
      <c r="F456" s="71" t="s">
        <v>465</v>
      </c>
      <c r="G456" s="71" t="s">
        <v>466</v>
      </c>
      <c r="H456" s="71" t="s">
        <v>464</v>
      </c>
      <c r="I456" s="71" t="s">
        <v>2604</v>
      </c>
      <c r="J456" s="71" t="s">
        <v>774</v>
      </c>
      <c r="K456" s="71" t="s">
        <v>2670</v>
      </c>
      <c r="L456" s="71" t="s">
        <v>2604</v>
      </c>
      <c r="M456" s="71" t="s">
        <v>2671</v>
      </c>
      <c r="N456" s="71" t="s">
        <v>2755</v>
      </c>
      <c r="O456" s="71" t="s">
        <v>2692</v>
      </c>
      <c r="P456" s="71" t="s">
        <v>2604</v>
      </c>
      <c r="Q456" s="71" t="s">
        <v>2756</v>
      </c>
      <c r="R456" s="71" t="s">
        <v>2604</v>
      </c>
      <c r="S456" s="71" t="s">
        <v>2604</v>
      </c>
      <c r="T456" s="71" t="s">
        <v>2604</v>
      </c>
      <c r="U456" s="71" t="s">
        <v>2604</v>
      </c>
      <c r="V456" s="71" t="s">
        <v>2658</v>
      </c>
    </row>
    <row r="457" spans="1:22">
      <c r="A457" s="71" t="s">
        <v>2659</v>
      </c>
      <c r="B457" s="71" t="s">
        <v>56</v>
      </c>
      <c r="C457" s="72">
        <v>46072.578369687501</v>
      </c>
      <c r="D457" s="72">
        <v>46072.578369687501</v>
      </c>
      <c r="E457" s="71" t="s">
        <v>365</v>
      </c>
      <c r="F457" s="71" t="s">
        <v>2799</v>
      </c>
      <c r="G457" s="71" t="s">
        <v>1109</v>
      </c>
      <c r="H457" s="71" t="s">
        <v>1107</v>
      </c>
      <c r="I457" s="71" t="s">
        <v>2604</v>
      </c>
      <c r="J457" s="71" t="s">
        <v>752</v>
      </c>
      <c r="K457" s="71" t="s">
        <v>2675</v>
      </c>
      <c r="L457" s="71" t="s">
        <v>2712</v>
      </c>
      <c r="M457" s="71" t="s">
        <v>2800</v>
      </c>
      <c r="N457" s="71" t="s">
        <v>2801</v>
      </c>
      <c r="O457" s="71" t="s">
        <v>2640</v>
      </c>
      <c r="P457" s="71" t="s">
        <v>2604</v>
      </c>
      <c r="Q457" s="71" t="s">
        <v>2802</v>
      </c>
      <c r="R457" s="71" t="s">
        <v>2604</v>
      </c>
      <c r="S457" s="71" t="s">
        <v>2604</v>
      </c>
      <c r="T457" s="71" t="s">
        <v>2604</v>
      </c>
      <c r="U457" s="71" t="s">
        <v>2604</v>
      </c>
      <c r="V457" s="71" t="s">
        <v>2635</v>
      </c>
    </row>
    <row r="458" spans="1:22">
      <c r="A458" s="71" t="s">
        <v>2659</v>
      </c>
      <c r="B458" s="71" t="s">
        <v>724</v>
      </c>
      <c r="C458" s="72">
        <v>45894.370106851849</v>
      </c>
      <c r="D458" s="72">
        <v>45894.370106851849</v>
      </c>
      <c r="E458" s="71" t="s">
        <v>365</v>
      </c>
      <c r="F458" s="71" t="s">
        <v>686</v>
      </c>
      <c r="G458" s="71" t="s">
        <v>726</v>
      </c>
      <c r="H458" s="71" t="s">
        <v>725</v>
      </c>
      <c r="I458" s="71" t="s">
        <v>2604</v>
      </c>
      <c r="J458" s="71" t="s">
        <v>744</v>
      </c>
      <c r="K458" s="71" t="s">
        <v>2665</v>
      </c>
      <c r="L458" s="71" t="s">
        <v>2666</v>
      </c>
      <c r="M458" s="71" t="s">
        <v>2671</v>
      </c>
      <c r="N458" s="71" t="s">
        <v>2960</v>
      </c>
      <c r="O458" s="71" t="s">
        <v>2640</v>
      </c>
      <c r="P458" s="71" t="s">
        <v>2604</v>
      </c>
      <c r="Q458" s="71" t="s">
        <v>2961</v>
      </c>
      <c r="R458" s="71" t="s">
        <v>2604</v>
      </c>
      <c r="S458" s="71" t="s">
        <v>2604</v>
      </c>
      <c r="T458" s="71" t="s">
        <v>2604</v>
      </c>
      <c r="U458" s="71" t="s">
        <v>2604</v>
      </c>
      <c r="V458" s="71" t="s">
        <v>2635</v>
      </c>
    </row>
    <row r="459" spans="1:22">
      <c r="A459" s="71" t="s">
        <v>2659</v>
      </c>
      <c r="B459" s="71" t="s">
        <v>84</v>
      </c>
      <c r="C459" s="72">
        <v>45853.451382766201</v>
      </c>
      <c r="D459" s="72">
        <v>45853.451382766201</v>
      </c>
      <c r="E459" s="71" t="s">
        <v>380</v>
      </c>
      <c r="F459" s="71" t="s">
        <v>3035</v>
      </c>
      <c r="G459" s="71" t="s">
        <v>557</v>
      </c>
      <c r="H459" s="71" t="s">
        <v>555</v>
      </c>
      <c r="I459" s="71" t="s">
        <v>2604</v>
      </c>
      <c r="J459" s="71" t="s">
        <v>744</v>
      </c>
      <c r="K459" s="71" t="s">
        <v>2665</v>
      </c>
      <c r="L459" s="71" t="s">
        <v>2821</v>
      </c>
      <c r="M459" s="71" t="s">
        <v>2671</v>
      </c>
      <c r="N459" s="71" t="s">
        <v>3036</v>
      </c>
      <c r="O459" s="71" t="s">
        <v>2640</v>
      </c>
      <c r="P459" s="71" t="s">
        <v>2604</v>
      </c>
      <c r="Q459" s="71" t="s">
        <v>3037</v>
      </c>
      <c r="R459" s="71" t="s">
        <v>2604</v>
      </c>
      <c r="S459" s="71" t="s">
        <v>2604</v>
      </c>
      <c r="T459" s="71" t="s">
        <v>2604</v>
      </c>
      <c r="U459" s="71" t="s">
        <v>2604</v>
      </c>
      <c r="V459" s="71" t="s">
        <v>2635</v>
      </c>
    </row>
    <row r="460" spans="1:22">
      <c r="A460" s="71" t="s">
        <v>2659</v>
      </c>
      <c r="B460" s="71" t="s">
        <v>2646</v>
      </c>
      <c r="C460" s="72">
        <v>45821.441679918978</v>
      </c>
      <c r="D460" s="72">
        <v>45821.441679918978</v>
      </c>
      <c r="E460" s="71" t="s">
        <v>365</v>
      </c>
      <c r="F460" s="71" t="s">
        <v>514</v>
      </c>
      <c r="G460" s="71" t="s">
        <v>2957</v>
      </c>
      <c r="H460" s="71" t="s">
        <v>513</v>
      </c>
      <c r="I460" s="71" t="s">
        <v>2604</v>
      </c>
      <c r="J460" s="71" t="s">
        <v>774</v>
      </c>
      <c r="K460" s="71" t="s">
        <v>2670</v>
      </c>
      <c r="L460" s="71" t="s">
        <v>2604</v>
      </c>
      <c r="M460" s="71" t="s">
        <v>2671</v>
      </c>
      <c r="N460" s="71" t="s">
        <v>2671</v>
      </c>
      <c r="O460" s="71" t="s">
        <v>2604</v>
      </c>
      <c r="P460" s="71" t="s">
        <v>2604</v>
      </c>
      <c r="Q460" s="71" t="s">
        <v>2958</v>
      </c>
      <c r="R460" s="71" t="s">
        <v>2604</v>
      </c>
      <c r="S460" s="71" t="s">
        <v>2604</v>
      </c>
      <c r="T460" s="71" t="s">
        <v>2604</v>
      </c>
      <c r="U460" s="71" t="s">
        <v>2604</v>
      </c>
      <c r="V460" s="71" t="s">
        <v>2658</v>
      </c>
    </row>
    <row r="461" spans="1:22">
      <c r="A461" s="71" t="s">
        <v>2659</v>
      </c>
      <c r="B461" s="71" t="s">
        <v>56</v>
      </c>
      <c r="C461" s="72">
        <v>45866.485631736112</v>
      </c>
      <c r="D461" s="72">
        <v>45866.485631736112</v>
      </c>
      <c r="E461" s="71" t="s">
        <v>473</v>
      </c>
      <c r="F461" s="71" t="s">
        <v>2971</v>
      </c>
      <c r="G461" s="71" t="s">
        <v>2972</v>
      </c>
      <c r="H461" s="71" t="s">
        <v>643</v>
      </c>
      <c r="I461" s="71" t="s">
        <v>2604</v>
      </c>
      <c r="J461" s="71" t="s">
        <v>813</v>
      </c>
      <c r="K461" s="71" t="s">
        <v>2648</v>
      </c>
      <c r="L461" s="71" t="s">
        <v>2649</v>
      </c>
      <c r="M461" s="71" t="s">
        <v>2726</v>
      </c>
      <c r="N461" s="71" t="s">
        <v>2726</v>
      </c>
      <c r="O461" s="71" t="s">
        <v>2640</v>
      </c>
      <c r="P461" s="71" t="s">
        <v>2604</v>
      </c>
      <c r="Q461" s="71" t="s">
        <v>2973</v>
      </c>
      <c r="R461" s="71" t="s">
        <v>2604</v>
      </c>
      <c r="S461" s="71" t="s">
        <v>2604</v>
      </c>
      <c r="T461" s="71" t="s">
        <v>2604</v>
      </c>
      <c r="U461" s="71" t="s">
        <v>2604</v>
      </c>
      <c r="V461" s="71" t="s">
        <v>2635</v>
      </c>
    </row>
    <row r="462" spans="1:22">
      <c r="A462" s="71" t="s">
        <v>2659</v>
      </c>
      <c r="B462" s="71" t="s">
        <v>56</v>
      </c>
      <c r="C462" s="72">
        <v>46062.678909907409</v>
      </c>
      <c r="D462" s="72">
        <v>46062.678909907409</v>
      </c>
      <c r="E462" s="71" t="s">
        <v>380</v>
      </c>
      <c r="F462" s="71" t="s">
        <v>1087</v>
      </c>
      <c r="G462" s="71" t="s">
        <v>1088</v>
      </c>
      <c r="H462" s="71" t="s">
        <v>1086</v>
      </c>
      <c r="I462" s="71" t="s">
        <v>2604</v>
      </c>
      <c r="J462" s="71" t="s">
        <v>774</v>
      </c>
      <c r="K462" s="71" t="s">
        <v>2670</v>
      </c>
      <c r="L462" s="71" t="s">
        <v>2604</v>
      </c>
      <c r="M462" s="71" t="s">
        <v>2671</v>
      </c>
      <c r="N462" s="71" t="s">
        <v>2890</v>
      </c>
      <c r="O462" s="71" t="s">
        <v>2640</v>
      </c>
      <c r="P462" s="71" t="s">
        <v>2604</v>
      </c>
      <c r="Q462" s="71" t="s">
        <v>2891</v>
      </c>
      <c r="R462" s="71" t="s">
        <v>2604</v>
      </c>
      <c r="S462" s="71" t="s">
        <v>2604</v>
      </c>
      <c r="T462" s="71" t="s">
        <v>2604</v>
      </c>
      <c r="U462" s="71" t="s">
        <v>2604</v>
      </c>
      <c r="V462" s="71" t="s">
        <v>2635</v>
      </c>
    </row>
    <row r="463" spans="1:22">
      <c r="A463" s="71" t="s">
        <v>2659</v>
      </c>
      <c r="B463" s="71" t="s">
        <v>56</v>
      </c>
      <c r="C463" s="72">
        <v>46043.74347228009</v>
      </c>
      <c r="D463" s="72">
        <v>46043.74347228009</v>
      </c>
      <c r="E463" s="71" t="s">
        <v>365</v>
      </c>
      <c r="F463" s="71" t="s">
        <v>1053</v>
      </c>
      <c r="G463" s="71" t="s">
        <v>1054</v>
      </c>
      <c r="H463" s="71" t="s">
        <v>1052</v>
      </c>
      <c r="I463" s="71" t="s">
        <v>2604</v>
      </c>
      <c r="J463" s="71" t="s">
        <v>752</v>
      </c>
      <c r="K463" s="71" t="s">
        <v>2675</v>
      </c>
      <c r="L463" s="71" t="s">
        <v>2790</v>
      </c>
      <c r="M463" s="71" t="s">
        <v>3019</v>
      </c>
      <c r="N463" s="71" t="s">
        <v>2774</v>
      </c>
      <c r="O463" s="71" t="s">
        <v>2640</v>
      </c>
      <c r="P463" s="71" t="s">
        <v>2604</v>
      </c>
      <c r="Q463" s="71" t="s">
        <v>3020</v>
      </c>
      <c r="R463" s="71" t="s">
        <v>2604</v>
      </c>
      <c r="S463" s="71" t="s">
        <v>2604</v>
      </c>
      <c r="T463" s="71" t="s">
        <v>2604</v>
      </c>
      <c r="U463" s="71" t="s">
        <v>2604</v>
      </c>
      <c r="V463" s="71" t="s">
        <v>2664</v>
      </c>
    </row>
    <row r="464" spans="1:22">
      <c r="A464" s="71" t="s">
        <v>2659</v>
      </c>
      <c r="B464" s="71" t="s">
        <v>56</v>
      </c>
      <c r="C464" s="72">
        <v>45946.780098703704</v>
      </c>
      <c r="D464" s="72">
        <v>45946.780098703704</v>
      </c>
      <c r="E464" s="71" t="s">
        <v>365</v>
      </c>
      <c r="F464" s="71" t="s">
        <v>886</v>
      </c>
      <c r="G464" s="71" t="s">
        <v>887</v>
      </c>
      <c r="H464" s="71" t="s">
        <v>885</v>
      </c>
      <c r="I464" s="71" t="s">
        <v>2604</v>
      </c>
      <c r="J464" s="71" t="s">
        <v>813</v>
      </c>
      <c r="K464" s="71" t="s">
        <v>2648</v>
      </c>
      <c r="L464" s="71" t="s">
        <v>2649</v>
      </c>
      <c r="M464" s="71" t="s">
        <v>2726</v>
      </c>
      <c r="N464" s="71" t="s">
        <v>2726</v>
      </c>
      <c r="O464" s="71" t="s">
        <v>2640</v>
      </c>
      <c r="P464" s="71" t="s">
        <v>2604</v>
      </c>
      <c r="Q464" s="71" t="s">
        <v>3220</v>
      </c>
      <c r="R464" s="71" t="s">
        <v>2604</v>
      </c>
      <c r="S464" s="71" t="s">
        <v>2604</v>
      </c>
      <c r="T464" s="71" t="s">
        <v>2604</v>
      </c>
      <c r="U464" s="71" t="s">
        <v>2604</v>
      </c>
      <c r="V464" s="71" t="s">
        <v>2635</v>
      </c>
    </row>
    <row r="465" spans="1:22">
      <c r="A465" s="71" t="s">
        <v>2659</v>
      </c>
      <c r="B465" s="71" t="s">
        <v>84</v>
      </c>
      <c r="C465" s="72">
        <v>45974.700403368057</v>
      </c>
      <c r="D465" s="72">
        <v>45974.700403368057</v>
      </c>
      <c r="E465" s="71" t="s">
        <v>365</v>
      </c>
      <c r="F465" s="71" t="s">
        <v>946</v>
      </c>
      <c r="G465" s="71" t="s">
        <v>947</v>
      </c>
      <c r="H465" s="71" t="s">
        <v>945</v>
      </c>
      <c r="I465" s="71" t="s">
        <v>2604</v>
      </c>
      <c r="J465" s="71" t="s">
        <v>774</v>
      </c>
      <c r="K465" s="71" t="s">
        <v>2670</v>
      </c>
      <c r="L465" s="71" t="s">
        <v>2604</v>
      </c>
      <c r="M465" s="71" t="s">
        <v>2671</v>
      </c>
      <c r="N465" s="71" t="s">
        <v>3033</v>
      </c>
      <c r="O465" s="71" t="s">
        <v>2640</v>
      </c>
      <c r="P465" s="71" t="s">
        <v>2604</v>
      </c>
      <c r="Q465" s="71" t="s">
        <v>3034</v>
      </c>
      <c r="R465" s="71" t="s">
        <v>2604</v>
      </c>
      <c r="S465" s="71" t="s">
        <v>2604</v>
      </c>
      <c r="T465" s="71" t="s">
        <v>2604</v>
      </c>
      <c r="U465" s="71" t="s">
        <v>2604</v>
      </c>
      <c r="V465" s="71" t="s">
        <v>2635</v>
      </c>
    </row>
    <row r="466" spans="1:22">
      <c r="A466" s="71" t="s">
        <v>2659</v>
      </c>
      <c r="B466" s="71" t="s">
        <v>2646</v>
      </c>
      <c r="C466" s="72">
        <v>45796.596171620367</v>
      </c>
      <c r="D466" s="72">
        <v>45796.596171620367</v>
      </c>
      <c r="E466" s="71" t="s">
        <v>365</v>
      </c>
      <c r="F466" s="71" t="s">
        <v>468</v>
      </c>
      <c r="G466" s="71" t="s">
        <v>469</v>
      </c>
      <c r="H466" s="71" t="s">
        <v>467</v>
      </c>
      <c r="I466" s="71" t="s">
        <v>2604</v>
      </c>
      <c r="J466" s="71" t="s">
        <v>774</v>
      </c>
      <c r="K466" s="71" t="s">
        <v>2670</v>
      </c>
      <c r="L466" s="71" t="s">
        <v>2604</v>
      </c>
      <c r="M466" s="71" t="s">
        <v>2671</v>
      </c>
      <c r="N466" s="71" t="s">
        <v>2671</v>
      </c>
      <c r="O466" s="71" t="s">
        <v>2692</v>
      </c>
      <c r="P466" s="71" t="s">
        <v>2604</v>
      </c>
      <c r="Q466" s="71" t="s">
        <v>3176</v>
      </c>
      <c r="R466" s="71" t="s">
        <v>2604</v>
      </c>
      <c r="S466" s="71" t="s">
        <v>2604</v>
      </c>
      <c r="T466" s="71" t="s">
        <v>2604</v>
      </c>
      <c r="U466" s="71" t="s">
        <v>2604</v>
      </c>
      <c r="V466" s="71" t="s">
        <v>2655</v>
      </c>
    </row>
    <row r="467" spans="1:22">
      <c r="A467" s="71" t="s">
        <v>2659</v>
      </c>
      <c r="B467" s="71" t="s">
        <v>724</v>
      </c>
      <c r="C467" s="72">
        <v>45897.554412488425</v>
      </c>
      <c r="D467" s="72">
        <v>45897.554412488425</v>
      </c>
      <c r="E467" s="71" t="s">
        <v>365</v>
      </c>
      <c r="F467" s="71" t="s">
        <v>64</v>
      </c>
      <c r="G467" s="71" t="s">
        <v>3136</v>
      </c>
      <c r="H467" s="71" t="s">
        <v>63</v>
      </c>
      <c r="I467" s="71" t="s">
        <v>2604</v>
      </c>
      <c r="J467" s="71" t="s">
        <v>747</v>
      </c>
      <c r="K467" s="71" t="s">
        <v>2768</v>
      </c>
      <c r="L467" s="71" t="s">
        <v>3137</v>
      </c>
      <c r="M467" s="71" t="s">
        <v>3138</v>
      </c>
      <c r="N467" s="71" t="s">
        <v>3138</v>
      </c>
      <c r="O467" s="71" t="s">
        <v>2640</v>
      </c>
      <c r="P467" s="71" t="s">
        <v>3139</v>
      </c>
      <c r="Q467" s="71" t="s">
        <v>3140</v>
      </c>
      <c r="R467" s="71" t="s">
        <v>2604</v>
      </c>
      <c r="S467" s="71" t="s">
        <v>2604</v>
      </c>
      <c r="T467" s="71" t="s">
        <v>2604</v>
      </c>
      <c r="U467" s="71" t="s">
        <v>2604</v>
      </c>
      <c r="V467" s="71" t="s">
        <v>2635</v>
      </c>
    </row>
    <row r="468" spans="1:22">
      <c r="A468" s="71" t="s">
        <v>2659</v>
      </c>
      <c r="B468" s="71" t="s">
        <v>84</v>
      </c>
      <c r="C468" s="72">
        <v>46057.422896018521</v>
      </c>
      <c r="D468" s="72">
        <v>46057.422896018521</v>
      </c>
      <c r="E468" s="71" t="s">
        <v>473</v>
      </c>
      <c r="F468" s="71" t="s">
        <v>3141</v>
      </c>
      <c r="G468" s="71" t="s">
        <v>1070</v>
      </c>
      <c r="H468" s="71" t="s">
        <v>1068</v>
      </c>
      <c r="I468" s="71" t="s">
        <v>2604</v>
      </c>
      <c r="J468" s="71" t="s">
        <v>747</v>
      </c>
      <c r="K468" s="71" t="s">
        <v>2768</v>
      </c>
      <c r="L468" s="71" t="s">
        <v>3142</v>
      </c>
      <c r="M468" s="71" t="s">
        <v>3143</v>
      </c>
      <c r="N468" s="71" t="s">
        <v>3143</v>
      </c>
      <c r="O468" s="71" t="s">
        <v>2640</v>
      </c>
      <c r="P468" s="71" t="s">
        <v>3144</v>
      </c>
      <c r="Q468" s="71" t="s">
        <v>3145</v>
      </c>
      <c r="R468" s="71" t="s">
        <v>2604</v>
      </c>
      <c r="S468" s="71" t="s">
        <v>2604</v>
      </c>
      <c r="T468" s="71" t="s">
        <v>2604</v>
      </c>
      <c r="U468" s="71" t="s">
        <v>2604</v>
      </c>
      <c r="V468" s="71" t="s">
        <v>2635</v>
      </c>
    </row>
    <row r="469" spans="1:22">
      <c r="A469" s="71" t="s">
        <v>2659</v>
      </c>
      <c r="B469" s="71" t="s">
        <v>84</v>
      </c>
      <c r="C469" s="72">
        <v>45856.721680057868</v>
      </c>
      <c r="D469" s="72">
        <v>45856.721680057868</v>
      </c>
      <c r="E469" s="71" t="s">
        <v>365</v>
      </c>
      <c r="F469" s="71" t="s">
        <v>3195</v>
      </c>
      <c r="G469" s="71" t="s">
        <v>3196</v>
      </c>
      <c r="H469" s="71" t="s">
        <v>595</v>
      </c>
      <c r="I469" s="71" t="s">
        <v>2604</v>
      </c>
      <c r="J469" s="71" t="s">
        <v>774</v>
      </c>
      <c r="K469" s="71" t="s">
        <v>2670</v>
      </c>
      <c r="L469" s="71" t="s">
        <v>2604</v>
      </c>
      <c r="M469" s="71" t="s">
        <v>2671</v>
      </c>
      <c r="N469" s="71" t="s">
        <v>3197</v>
      </c>
      <c r="O469" s="71" t="s">
        <v>2640</v>
      </c>
      <c r="P469" s="71" t="s">
        <v>2604</v>
      </c>
      <c r="Q469" s="71" t="s">
        <v>3198</v>
      </c>
      <c r="R469" s="71" t="s">
        <v>2604</v>
      </c>
      <c r="S469" s="71" t="s">
        <v>2604</v>
      </c>
      <c r="T469" s="71" t="s">
        <v>2604</v>
      </c>
      <c r="U469" s="71" t="s">
        <v>2604</v>
      </c>
      <c r="V469" s="71" t="s">
        <v>2604</v>
      </c>
    </row>
    <row r="470" spans="1:22">
      <c r="A470" s="71" t="s">
        <v>2659</v>
      </c>
      <c r="B470" s="71" t="s">
        <v>84</v>
      </c>
      <c r="C470" s="72">
        <v>45903.428415694441</v>
      </c>
      <c r="D470" s="72">
        <v>45903.428415694441</v>
      </c>
      <c r="E470" s="71" t="s">
        <v>135</v>
      </c>
      <c r="F470" s="71" t="s">
        <v>767</v>
      </c>
      <c r="G470" s="71" t="s">
        <v>768</v>
      </c>
      <c r="H470" s="71" t="s">
        <v>766</v>
      </c>
      <c r="I470" s="71" t="s">
        <v>2604</v>
      </c>
      <c r="J470" s="71" t="s">
        <v>769</v>
      </c>
      <c r="K470" s="71" t="s">
        <v>2838</v>
      </c>
      <c r="L470" s="71" t="s">
        <v>2839</v>
      </c>
      <c r="M470" s="71" t="s">
        <v>2671</v>
      </c>
      <c r="N470" s="71" t="s">
        <v>2840</v>
      </c>
      <c r="O470" s="71" t="s">
        <v>2640</v>
      </c>
      <c r="P470" s="71" t="s">
        <v>2604</v>
      </c>
      <c r="Q470" s="71" t="s">
        <v>2841</v>
      </c>
      <c r="R470" s="71" t="s">
        <v>2604</v>
      </c>
      <c r="S470" s="71" t="s">
        <v>2604</v>
      </c>
      <c r="T470" s="71" t="s">
        <v>2604</v>
      </c>
      <c r="U470" s="71" t="s">
        <v>2604</v>
      </c>
      <c r="V470" s="71" t="s">
        <v>2635</v>
      </c>
    </row>
    <row r="471" spans="1:22">
      <c r="A471" s="71" t="s">
        <v>2659</v>
      </c>
      <c r="B471" s="71" t="s">
        <v>56</v>
      </c>
      <c r="C471" s="72">
        <v>46041.431561157406</v>
      </c>
      <c r="D471" s="72">
        <v>46041.431561157406</v>
      </c>
      <c r="E471" s="71" t="s">
        <v>365</v>
      </c>
      <c r="F471" s="71" t="s">
        <v>1037</v>
      </c>
      <c r="G471" s="71" t="s">
        <v>2944</v>
      </c>
      <c r="H471" s="71" t="s">
        <v>2945</v>
      </c>
      <c r="I471" s="71" t="s">
        <v>2604</v>
      </c>
      <c r="J471" s="71" t="s">
        <v>744</v>
      </c>
      <c r="K471" s="71" t="s">
        <v>2665</v>
      </c>
      <c r="L471" s="71" t="s">
        <v>2666</v>
      </c>
      <c r="M471" s="71" t="s">
        <v>2671</v>
      </c>
      <c r="N471" s="71" t="s">
        <v>2726</v>
      </c>
      <c r="O471" s="71" t="s">
        <v>2640</v>
      </c>
      <c r="P471" s="71" t="s">
        <v>2604</v>
      </c>
      <c r="Q471" s="71" t="s">
        <v>2946</v>
      </c>
      <c r="R471" s="71" t="s">
        <v>2604</v>
      </c>
      <c r="S471" s="71" t="s">
        <v>2604</v>
      </c>
      <c r="T471" s="71" t="s">
        <v>2604</v>
      </c>
      <c r="U471" s="71" t="s">
        <v>2604</v>
      </c>
      <c r="V471" s="71" t="s">
        <v>2635</v>
      </c>
    </row>
    <row r="472" spans="1:22">
      <c r="A472" s="71" t="s">
        <v>2659</v>
      </c>
      <c r="B472" s="71" t="s">
        <v>84</v>
      </c>
      <c r="C472" s="72">
        <v>45917.39422332176</v>
      </c>
      <c r="D472" s="72">
        <v>45917.39422332176</v>
      </c>
      <c r="E472" s="71" t="s">
        <v>380</v>
      </c>
      <c r="F472" s="71" t="s">
        <v>2939</v>
      </c>
      <c r="G472" s="71" t="s">
        <v>808</v>
      </c>
      <c r="H472" s="71" t="s">
        <v>806</v>
      </c>
      <c r="I472" s="71" t="s">
        <v>2604</v>
      </c>
      <c r="J472" s="71" t="s">
        <v>774</v>
      </c>
      <c r="K472" s="71" t="s">
        <v>2670</v>
      </c>
      <c r="L472" s="71" t="s">
        <v>2604</v>
      </c>
      <c r="M472" s="71" t="s">
        <v>2671</v>
      </c>
      <c r="N472" s="71" t="s">
        <v>2671</v>
      </c>
      <c r="O472" s="71" t="s">
        <v>2640</v>
      </c>
      <c r="P472" s="71" t="s">
        <v>2604</v>
      </c>
      <c r="Q472" s="71" t="s">
        <v>2940</v>
      </c>
      <c r="R472" s="71" t="s">
        <v>2604</v>
      </c>
      <c r="S472" s="71" t="s">
        <v>2604</v>
      </c>
      <c r="T472" s="71" t="s">
        <v>2604</v>
      </c>
      <c r="U472" s="71" t="s">
        <v>2604</v>
      </c>
      <c r="V472" s="71" t="s">
        <v>2604</v>
      </c>
    </row>
    <row r="473" spans="1:22">
      <c r="A473" s="71" t="s">
        <v>2659</v>
      </c>
      <c r="B473" s="71" t="s">
        <v>659</v>
      </c>
      <c r="C473" s="72">
        <v>46058.681325150465</v>
      </c>
      <c r="D473" s="72">
        <v>46058.681325150465</v>
      </c>
      <c r="E473" s="71" t="s">
        <v>365</v>
      </c>
      <c r="F473" s="71" t="s">
        <v>1080</v>
      </c>
      <c r="G473" s="71" t="s">
        <v>1081</v>
      </c>
      <c r="H473" s="71" t="s">
        <v>1079</v>
      </c>
      <c r="I473" s="71" t="s">
        <v>2604</v>
      </c>
      <c r="J473" s="71" t="s">
        <v>747</v>
      </c>
      <c r="K473" s="71" t="s">
        <v>2768</v>
      </c>
      <c r="L473" s="71" t="s">
        <v>2769</v>
      </c>
      <c r="M473" s="71" t="s">
        <v>3122</v>
      </c>
      <c r="N473" s="71" t="s">
        <v>3123</v>
      </c>
      <c r="O473" s="71" t="s">
        <v>2640</v>
      </c>
      <c r="P473" s="71" t="s">
        <v>2604</v>
      </c>
      <c r="Q473" s="71" t="s">
        <v>3124</v>
      </c>
      <c r="R473" s="71" t="s">
        <v>2604</v>
      </c>
      <c r="S473" s="71" t="s">
        <v>2604</v>
      </c>
      <c r="T473" s="71" t="s">
        <v>2604</v>
      </c>
      <c r="U473" s="71" t="s">
        <v>2604</v>
      </c>
      <c r="V473" s="71" t="s">
        <v>2618</v>
      </c>
    </row>
    <row r="474" spans="1:22">
      <c r="A474" s="71" t="s">
        <v>2659</v>
      </c>
      <c r="B474" s="71" t="s">
        <v>84</v>
      </c>
      <c r="C474" s="72">
        <v>45974.645689999998</v>
      </c>
      <c r="D474" s="72">
        <v>45974.645689999998</v>
      </c>
      <c r="E474" s="71" t="s">
        <v>473</v>
      </c>
      <c r="F474" s="71" t="s">
        <v>942</v>
      </c>
      <c r="G474" s="71" t="s">
        <v>943</v>
      </c>
      <c r="H474" s="71" t="s">
        <v>941</v>
      </c>
      <c r="I474" s="71" t="s">
        <v>2604</v>
      </c>
      <c r="J474" s="71" t="s">
        <v>774</v>
      </c>
      <c r="K474" s="71" t="s">
        <v>2670</v>
      </c>
      <c r="L474" s="71" t="s">
        <v>2604</v>
      </c>
      <c r="M474" s="71" t="s">
        <v>2671</v>
      </c>
      <c r="N474" s="71" t="s">
        <v>3149</v>
      </c>
      <c r="O474" s="71" t="s">
        <v>2640</v>
      </c>
      <c r="P474" s="71" t="s">
        <v>2604</v>
      </c>
      <c r="Q474" s="71" t="s">
        <v>3150</v>
      </c>
      <c r="R474" s="71" t="s">
        <v>2604</v>
      </c>
      <c r="S474" s="71" t="s">
        <v>2604</v>
      </c>
      <c r="T474" s="71" t="s">
        <v>2604</v>
      </c>
      <c r="U474" s="71" t="s">
        <v>2604</v>
      </c>
      <c r="V474" s="71" t="s">
        <v>2635</v>
      </c>
    </row>
    <row r="475" spans="1:22">
      <c r="A475" s="71" t="s">
        <v>2659</v>
      </c>
      <c r="B475" s="71" t="s">
        <v>84</v>
      </c>
      <c r="C475" s="72">
        <v>45874.465534074072</v>
      </c>
      <c r="D475" s="72">
        <v>45874.465534074072</v>
      </c>
      <c r="E475" s="71" t="s">
        <v>365</v>
      </c>
      <c r="F475" s="71" t="s">
        <v>669</v>
      </c>
      <c r="G475" s="71" t="s">
        <v>670</v>
      </c>
      <c r="H475" s="71" t="s">
        <v>668</v>
      </c>
      <c r="I475" s="71" t="s">
        <v>2604</v>
      </c>
      <c r="J475" s="71" t="s">
        <v>752</v>
      </c>
      <c r="K475" s="71" t="s">
        <v>2680</v>
      </c>
      <c r="L475" s="71" t="s">
        <v>3158</v>
      </c>
      <c r="M475" s="71" t="s">
        <v>3221</v>
      </c>
      <c r="N475" s="71" t="s">
        <v>3221</v>
      </c>
      <c r="O475" s="71" t="s">
        <v>2640</v>
      </c>
      <c r="P475" s="71" t="s">
        <v>2604</v>
      </c>
      <c r="Q475" s="71" t="s">
        <v>3222</v>
      </c>
      <c r="R475" s="71" t="s">
        <v>2604</v>
      </c>
      <c r="S475" s="71" t="s">
        <v>2604</v>
      </c>
      <c r="T475" s="71" t="s">
        <v>2604</v>
      </c>
      <c r="U475" s="71" t="s">
        <v>2604</v>
      </c>
      <c r="V475" s="71" t="s">
        <v>2635</v>
      </c>
    </row>
    <row r="476" spans="1:22">
      <c r="A476" s="71" t="s">
        <v>2659</v>
      </c>
      <c r="B476" s="71" t="s">
        <v>84</v>
      </c>
      <c r="C476" s="72">
        <v>45879.807169976855</v>
      </c>
      <c r="D476" s="72">
        <v>45879.807169976855</v>
      </c>
      <c r="E476" s="71" t="s">
        <v>365</v>
      </c>
      <c r="F476" s="71" t="s">
        <v>689</v>
      </c>
      <c r="G476" s="71" t="s">
        <v>690</v>
      </c>
      <c r="H476" s="71" t="s">
        <v>688</v>
      </c>
      <c r="I476" s="71" t="s">
        <v>2604</v>
      </c>
      <c r="J476" s="71" t="s">
        <v>744</v>
      </c>
      <c r="K476" s="71" t="s">
        <v>2665</v>
      </c>
      <c r="L476" s="71" t="s">
        <v>2666</v>
      </c>
      <c r="M476" s="71" t="s">
        <v>2671</v>
      </c>
      <c r="N476" s="71" t="s">
        <v>2726</v>
      </c>
      <c r="O476" s="71" t="s">
        <v>2640</v>
      </c>
      <c r="P476" s="71" t="s">
        <v>2604</v>
      </c>
      <c r="Q476" s="71" t="s">
        <v>2796</v>
      </c>
      <c r="R476" s="71" t="s">
        <v>2604</v>
      </c>
      <c r="S476" s="71" t="s">
        <v>2604</v>
      </c>
      <c r="T476" s="71" t="s">
        <v>2604</v>
      </c>
      <c r="U476" s="71" t="s">
        <v>2604</v>
      </c>
      <c r="V476" s="71" t="s">
        <v>2604</v>
      </c>
    </row>
    <row r="477" spans="1:22">
      <c r="A477" s="71" t="s">
        <v>2659</v>
      </c>
      <c r="B477" s="71" t="s">
        <v>56</v>
      </c>
      <c r="C477" s="72">
        <v>45866.379538831017</v>
      </c>
      <c r="D477" s="72">
        <v>45866.379538831017</v>
      </c>
      <c r="E477" s="71" t="s">
        <v>365</v>
      </c>
      <c r="F477" s="71" t="s">
        <v>2709</v>
      </c>
      <c r="G477" s="71" t="s">
        <v>642</v>
      </c>
      <c r="H477" s="71" t="s">
        <v>640</v>
      </c>
      <c r="I477" s="71" t="s">
        <v>2604</v>
      </c>
      <c r="J477" s="71" t="s">
        <v>774</v>
      </c>
      <c r="K477" s="71" t="s">
        <v>2670</v>
      </c>
      <c r="L477" s="71" t="s">
        <v>2604</v>
      </c>
      <c r="M477" s="71" t="s">
        <v>2671</v>
      </c>
      <c r="N477" s="71" t="s">
        <v>2710</v>
      </c>
      <c r="O477" s="71" t="s">
        <v>2640</v>
      </c>
      <c r="P477" s="71" t="s">
        <v>2604</v>
      </c>
      <c r="Q477" s="71" t="s">
        <v>2711</v>
      </c>
      <c r="R477" s="71" t="s">
        <v>2604</v>
      </c>
      <c r="S477" s="71" t="s">
        <v>2604</v>
      </c>
      <c r="T477" s="71" t="s">
        <v>2604</v>
      </c>
      <c r="U477" s="71" t="s">
        <v>2604</v>
      </c>
      <c r="V477" s="71" t="s">
        <v>2635</v>
      </c>
    </row>
    <row r="478" spans="1:22">
      <c r="A478" s="71" t="s">
        <v>2659</v>
      </c>
      <c r="B478" s="71" t="s">
        <v>84</v>
      </c>
      <c r="C478" s="72">
        <v>45922.481748298611</v>
      </c>
      <c r="D478" s="72">
        <v>45922.481748298611</v>
      </c>
      <c r="E478" s="71" t="s">
        <v>365</v>
      </c>
      <c r="F478" s="71" t="s">
        <v>824</v>
      </c>
      <c r="G478" s="71" t="s">
        <v>825</v>
      </c>
      <c r="H478" s="71" t="s">
        <v>823</v>
      </c>
      <c r="I478" s="71" t="s">
        <v>2604</v>
      </c>
      <c r="J478" s="71" t="s">
        <v>752</v>
      </c>
      <c r="K478" s="71" t="s">
        <v>2675</v>
      </c>
      <c r="L478" s="71" t="s">
        <v>2790</v>
      </c>
      <c r="M478" s="71" t="s">
        <v>3223</v>
      </c>
      <c r="N478" s="71" t="s">
        <v>2671</v>
      </c>
      <c r="O478" s="71" t="s">
        <v>2640</v>
      </c>
      <c r="P478" s="71" t="s">
        <v>2604</v>
      </c>
      <c r="Q478" s="71" t="s">
        <v>3224</v>
      </c>
      <c r="R478" s="71" t="s">
        <v>2604</v>
      </c>
      <c r="S478" s="71" t="s">
        <v>2604</v>
      </c>
      <c r="T478" s="71" t="s">
        <v>2604</v>
      </c>
      <c r="U478" s="71" t="s">
        <v>2604</v>
      </c>
      <c r="V478" s="71" t="s">
        <v>2635</v>
      </c>
    </row>
    <row r="479" spans="1:22">
      <c r="A479" s="71" t="s">
        <v>2659</v>
      </c>
      <c r="B479" s="71" t="s">
        <v>84</v>
      </c>
      <c r="C479" s="72">
        <v>45901.549613888892</v>
      </c>
      <c r="D479" s="72">
        <v>45901.549613888892</v>
      </c>
      <c r="E479" s="71" t="s">
        <v>380</v>
      </c>
      <c r="F479" s="71" t="s">
        <v>757</v>
      </c>
      <c r="G479" s="71" t="s">
        <v>758</v>
      </c>
      <c r="H479" s="71" t="s">
        <v>756</v>
      </c>
      <c r="I479" s="71" t="s">
        <v>2604</v>
      </c>
      <c r="J479" s="71" t="s">
        <v>744</v>
      </c>
      <c r="K479" s="71" t="s">
        <v>2665</v>
      </c>
      <c r="L479" s="71" t="s">
        <v>2821</v>
      </c>
      <c r="M479" s="71" t="s">
        <v>2671</v>
      </c>
      <c r="N479" s="71" t="s">
        <v>3156</v>
      </c>
      <c r="O479" s="71" t="s">
        <v>2640</v>
      </c>
      <c r="P479" s="71" t="s">
        <v>2604</v>
      </c>
      <c r="Q479" s="71" t="s">
        <v>3157</v>
      </c>
      <c r="R479" s="71" t="s">
        <v>2604</v>
      </c>
      <c r="S479" s="71" t="s">
        <v>2604</v>
      </c>
      <c r="T479" s="71" t="s">
        <v>2604</v>
      </c>
      <c r="U479" s="71" t="s">
        <v>2604</v>
      </c>
      <c r="V479" s="71" t="s">
        <v>2635</v>
      </c>
    </row>
    <row r="480" spans="1:22">
      <c r="A480" s="71" t="s">
        <v>2659</v>
      </c>
      <c r="B480" s="71" t="s">
        <v>56</v>
      </c>
      <c r="C480" s="72">
        <v>45877.615013229166</v>
      </c>
      <c r="D480" s="72">
        <v>45877.615013229166</v>
      </c>
      <c r="E480" s="71" t="s">
        <v>365</v>
      </c>
      <c r="F480" s="71" t="s">
        <v>683</v>
      </c>
      <c r="G480" s="71" t="s">
        <v>684</v>
      </c>
      <c r="H480" s="71" t="s">
        <v>682</v>
      </c>
      <c r="I480" s="71" t="s">
        <v>2604</v>
      </c>
      <c r="J480" s="71" t="s">
        <v>774</v>
      </c>
      <c r="K480" s="71" t="s">
        <v>2670</v>
      </c>
      <c r="L480" s="71" t="s">
        <v>2604</v>
      </c>
      <c r="M480" s="71" t="s">
        <v>2671</v>
      </c>
      <c r="N480" s="71" t="s">
        <v>2742</v>
      </c>
      <c r="O480" s="71" t="s">
        <v>2640</v>
      </c>
      <c r="P480" s="71" t="s">
        <v>2604</v>
      </c>
      <c r="Q480" s="71" t="s">
        <v>2743</v>
      </c>
      <c r="R480" s="71" t="s">
        <v>2604</v>
      </c>
      <c r="S480" s="71" t="s">
        <v>2604</v>
      </c>
      <c r="T480" s="71" t="s">
        <v>2604</v>
      </c>
      <c r="U480" s="71" t="s">
        <v>2604</v>
      </c>
      <c r="V480" s="71" t="s">
        <v>2664</v>
      </c>
    </row>
    <row r="481" spans="1:22">
      <c r="A481" s="71" t="s">
        <v>2659</v>
      </c>
      <c r="B481" s="71" t="s">
        <v>56</v>
      </c>
      <c r="C481" s="72">
        <v>46093.460359976852</v>
      </c>
      <c r="D481" s="72">
        <v>46093.460359976852</v>
      </c>
      <c r="E481" s="71" t="s">
        <v>380</v>
      </c>
      <c r="F481" s="71" t="s">
        <v>1129</v>
      </c>
      <c r="G481" s="71" t="s">
        <v>1130</v>
      </c>
      <c r="H481" s="71" t="s">
        <v>1128</v>
      </c>
      <c r="I481" s="71" t="s">
        <v>2604</v>
      </c>
      <c r="J481" s="71" t="s">
        <v>774</v>
      </c>
      <c r="K481" s="71" t="s">
        <v>2660</v>
      </c>
      <c r="L481" s="71" t="s">
        <v>2604</v>
      </c>
      <c r="M481" s="71" t="s">
        <v>2661</v>
      </c>
      <c r="N481" s="71" t="s">
        <v>2662</v>
      </c>
      <c r="O481" s="71" t="s">
        <v>2640</v>
      </c>
      <c r="P481" s="71" t="s">
        <v>2604</v>
      </c>
      <c r="Q481" s="71" t="s">
        <v>2663</v>
      </c>
      <c r="R481" s="71" t="s">
        <v>2604</v>
      </c>
      <c r="S481" s="71" t="s">
        <v>2604</v>
      </c>
      <c r="T481" s="71" t="s">
        <v>2604</v>
      </c>
      <c r="U481" s="71" t="s">
        <v>2604</v>
      </c>
      <c r="V481" s="71" t="s">
        <v>2635</v>
      </c>
    </row>
    <row r="482" spans="1:22">
      <c r="A482" s="71" t="s">
        <v>2659</v>
      </c>
      <c r="B482" s="71" t="s">
        <v>2646</v>
      </c>
      <c r="C482" s="72">
        <v>45798.491031481484</v>
      </c>
      <c r="D482" s="72">
        <v>45798.491031481484</v>
      </c>
      <c r="E482" s="71" t="s">
        <v>365</v>
      </c>
      <c r="F482" s="71" t="s">
        <v>483</v>
      </c>
      <c r="G482" s="71" t="s">
        <v>483</v>
      </c>
      <c r="H482" s="71" t="s">
        <v>482</v>
      </c>
      <c r="I482" s="71" t="s">
        <v>2604</v>
      </c>
      <c r="J482" s="71" t="s">
        <v>774</v>
      </c>
      <c r="K482" s="71" t="s">
        <v>2689</v>
      </c>
      <c r="L482" s="71" t="s">
        <v>2604</v>
      </c>
      <c r="M482" s="71" t="s">
        <v>2690</v>
      </c>
      <c r="N482" s="71" t="s">
        <v>2691</v>
      </c>
      <c r="O482" s="71" t="s">
        <v>2692</v>
      </c>
      <c r="P482" s="71" t="s">
        <v>2604</v>
      </c>
      <c r="Q482" s="71" t="s">
        <v>2693</v>
      </c>
      <c r="R482" s="71" t="s">
        <v>2604</v>
      </c>
      <c r="S482" s="71" t="s">
        <v>2604</v>
      </c>
      <c r="T482" s="71" t="s">
        <v>2604</v>
      </c>
      <c r="U482" s="71" t="s">
        <v>2604</v>
      </c>
      <c r="V482" s="71" t="s">
        <v>2635</v>
      </c>
    </row>
    <row r="483" spans="1:22">
      <c r="A483" s="71" t="s">
        <v>2659</v>
      </c>
      <c r="B483" s="71" t="s">
        <v>84</v>
      </c>
      <c r="C483" s="72">
        <v>45913.685771608798</v>
      </c>
      <c r="D483" s="72">
        <v>45913.685771608798</v>
      </c>
      <c r="E483" s="71" t="s">
        <v>365</v>
      </c>
      <c r="F483" s="71" t="s">
        <v>801</v>
      </c>
      <c r="G483" s="71" t="s">
        <v>802</v>
      </c>
      <c r="H483" s="71" t="s">
        <v>800</v>
      </c>
      <c r="I483" s="71" t="s">
        <v>2604</v>
      </c>
      <c r="J483" s="71" t="s">
        <v>769</v>
      </c>
      <c r="K483" s="71" t="s">
        <v>2773</v>
      </c>
      <c r="L483" s="71" t="s">
        <v>2670</v>
      </c>
      <c r="M483" s="71" t="s">
        <v>3225</v>
      </c>
      <c r="N483" s="71" t="s">
        <v>3225</v>
      </c>
      <c r="O483" s="71" t="s">
        <v>2640</v>
      </c>
      <c r="P483" s="71" t="s">
        <v>2604</v>
      </c>
      <c r="Q483" s="71" t="s">
        <v>3226</v>
      </c>
      <c r="R483" s="71" t="s">
        <v>2604</v>
      </c>
      <c r="S483" s="71" t="s">
        <v>2604</v>
      </c>
      <c r="T483" s="71" t="s">
        <v>2604</v>
      </c>
      <c r="U483" s="71" t="s">
        <v>2604</v>
      </c>
      <c r="V483" s="71" t="s">
        <v>2635</v>
      </c>
    </row>
    <row r="484" spans="1:22">
      <c r="A484" s="71" t="s">
        <v>2659</v>
      </c>
      <c r="B484" s="71" t="s">
        <v>51</v>
      </c>
      <c r="C484" s="72">
        <v>45857.566761909722</v>
      </c>
      <c r="D484" s="72">
        <v>45857.566761909722</v>
      </c>
      <c r="E484" s="71" t="s">
        <v>365</v>
      </c>
      <c r="F484" s="71" t="s">
        <v>2720</v>
      </c>
      <c r="G484" s="71" t="s">
        <v>600</v>
      </c>
      <c r="H484" s="71" t="s">
        <v>598</v>
      </c>
      <c r="I484" s="71" t="s">
        <v>2604</v>
      </c>
      <c r="J484" s="71" t="s">
        <v>744</v>
      </c>
      <c r="K484" s="71" t="s">
        <v>2665</v>
      </c>
      <c r="L484" s="71" t="s">
        <v>2666</v>
      </c>
      <c r="M484" s="71" t="s">
        <v>2671</v>
      </c>
      <c r="N484" s="71" t="s">
        <v>2721</v>
      </c>
      <c r="O484" s="71" t="s">
        <v>2640</v>
      </c>
      <c r="P484" s="71" t="s">
        <v>2604</v>
      </c>
      <c r="Q484" s="71" t="s">
        <v>2722</v>
      </c>
      <c r="R484" s="71" t="s">
        <v>2604</v>
      </c>
      <c r="S484" s="71" t="s">
        <v>2604</v>
      </c>
      <c r="T484" s="71" t="s">
        <v>2604</v>
      </c>
      <c r="U484" s="71" t="s">
        <v>2604</v>
      </c>
      <c r="V484" s="71" t="s">
        <v>2635</v>
      </c>
    </row>
    <row r="485" spans="1:22">
      <c r="A485" s="71" t="s">
        <v>2659</v>
      </c>
      <c r="B485" s="71" t="s">
        <v>56</v>
      </c>
      <c r="C485" s="72">
        <v>46044.554906261576</v>
      </c>
      <c r="D485" s="72">
        <v>46044.554906261576</v>
      </c>
      <c r="E485" s="71" t="s">
        <v>380</v>
      </c>
      <c r="F485" s="71" t="s">
        <v>1049</v>
      </c>
      <c r="G485" s="71" t="s">
        <v>1050</v>
      </c>
      <c r="H485" s="71" t="s">
        <v>1048</v>
      </c>
      <c r="I485" s="71" t="s">
        <v>2604</v>
      </c>
      <c r="J485" s="71" t="s">
        <v>813</v>
      </c>
      <c r="K485" s="71" t="s">
        <v>2648</v>
      </c>
      <c r="L485" s="71" t="s">
        <v>2649</v>
      </c>
      <c r="M485" s="71" t="s">
        <v>2726</v>
      </c>
      <c r="N485" s="71" t="s">
        <v>2726</v>
      </c>
      <c r="O485" s="71" t="s">
        <v>2640</v>
      </c>
      <c r="P485" s="71" t="s">
        <v>2604</v>
      </c>
      <c r="Q485" s="71" t="s">
        <v>3169</v>
      </c>
      <c r="R485" s="71" t="s">
        <v>2604</v>
      </c>
      <c r="S485" s="71" t="s">
        <v>2604</v>
      </c>
      <c r="T485" s="71" t="s">
        <v>2604</v>
      </c>
      <c r="U485" s="71" t="s">
        <v>2604</v>
      </c>
      <c r="V485" s="71" t="s">
        <v>2604</v>
      </c>
    </row>
    <row r="486" spans="1:22">
      <c r="A486" s="71" t="s">
        <v>2659</v>
      </c>
      <c r="B486" s="71" t="s">
        <v>56</v>
      </c>
      <c r="C486" s="72">
        <v>45971.391454629629</v>
      </c>
      <c r="D486" s="72">
        <v>45971.391454629629</v>
      </c>
      <c r="E486" s="71" t="s">
        <v>365</v>
      </c>
      <c r="F486" s="71" t="s">
        <v>927</v>
      </c>
      <c r="G486" s="71" t="s">
        <v>928</v>
      </c>
      <c r="H486" s="71" t="s">
        <v>926</v>
      </c>
      <c r="I486" s="71" t="s">
        <v>2604</v>
      </c>
      <c r="J486" s="71" t="s">
        <v>774</v>
      </c>
      <c r="K486" s="71" t="s">
        <v>2670</v>
      </c>
      <c r="L486" s="71" t="s">
        <v>2604</v>
      </c>
      <c r="M486" s="71" t="s">
        <v>2671</v>
      </c>
      <c r="N486" s="71" t="s">
        <v>2797</v>
      </c>
      <c r="O486" s="71" t="s">
        <v>2640</v>
      </c>
      <c r="P486" s="71" t="s">
        <v>2604</v>
      </c>
      <c r="Q486" s="71" t="s">
        <v>2798</v>
      </c>
      <c r="R486" s="71" t="s">
        <v>2604</v>
      </c>
      <c r="S486" s="71" t="s">
        <v>2604</v>
      </c>
      <c r="T486" s="71" t="s">
        <v>2604</v>
      </c>
      <c r="U486" s="71" t="s">
        <v>2604</v>
      </c>
      <c r="V486" s="71" t="s">
        <v>2635</v>
      </c>
    </row>
    <row r="487" spans="1:22">
      <c r="A487" s="71" t="s">
        <v>2659</v>
      </c>
      <c r="B487" s="71" t="s">
        <v>2646</v>
      </c>
      <c r="C487" s="72">
        <v>45786.463136562503</v>
      </c>
      <c r="D487" s="72">
        <v>45786.463136562503</v>
      </c>
      <c r="E487" s="71" t="s">
        <v>365</v>
      </c>
      <c r="F487" s="71" t="s">
        <v>452</v>
      </c>
      <c r="G487" s="71" t="s">
        <v>453</v>
      </c>
      <c r="H487" s="71" t="s">
        <v>451</v>
      </c>
      <c r="I487" s="71" t="s">
        <v>2604</v>
      </c>
      <c r="J487" s="71" t="s">
        <v>752</v>
      </c>
      <c r="K487" s="71" t="s">
        <v>2723</v>
      </c>
      <c r="L487" s="71" t="s">
        <v>2665</v>
      </c>
      <c r="M487" s="71" t="s">
        <v>2999</v>
      </c>
      <c r="N487" s="71" t="s">
        <v>3000</v>
      </c>
      <c r="O487" s="71" t="s">
        <v>2692</v>
      </c>
      <c r="P487" s="71" t="s">
        <v>2604</v>
      </c>
      <c r="Q487" s="71" t="s">
        <v>3001</v>
      </c>
      <c r="R487" s="71" t="s">
        <v>2604</v>
      </c>
      <c r="S487" s="71" t="s">
        <v>2604</v>
      </c>
      <c r="T487" s="71" t="s">
        <v>2604</v>
      </c>
      <c r="U487" s="71" t="s">
        <v>2604</v>
      </c>
      <c r="V487" s="71" t="s">
        <v>2655</v>
      </c>
    </row>
    <row r="488" spans="1:22">
      <c r="A488" s="71" t="s">
        <v>2659</v>
      </c>
      <c r="B488" s="71" t="s">
        <v>84</v>
      </c>
      <c r="C488" s="72">
        <v>45978.677846724539</v>
      </c>
      <c r="D488" s="72">
        <v>45978.677846724539</v>
      </c>
      <c r="E488" s="71" t="s">
        <v>365</v>
      </c>
      <c r="F488" s="71" t="s">
        <v>952</v>
      </c>
      <c r="G488" s="71" t="s">
        <v>953</v>
      </c>
      <c r="H488" s="71" t="s">
        <v>951</v>
      </c>
      <c r="I488" s="71" t="s">
        <v>2604</v>
      </c>
      <c r="J488" s="71" t="s">
        <v>752</v>
      </c>
      <c r="K488" s="71" t="s">
        <v>2680</v>
      </c>
      <c r="L488" s="71" t="s">
        <v>2812</v>
      </c>
      <c r="M488" s="71" t="s">
        <v>2813</v>
      </c>
      <c r="N488" s="71" t="s">
        <v>2814</v>
      </c>
      <c r="O488" s="71" t="s">
        <v>2640</v>
      </c>
      <c r="P488" s="71" t="s">
        <v>2604</v>
      </c>
      <c r="Q488" s="71" t="s">
        <v>2815</v>
      </c>
      <c r="R488" s="71" t="s">
        <v>2604</v>
      </c>
      <c r="S488" s="71" t="s">
        <v>2604</v>
      </c>
      <c r="T488" s="71" t="s">
        <v>2604</v>
      </c>
      <c r="U488" s="71" t="s">
        <v>2604</v>
      </c>
      <c r="V488" s="71" t="s">
        <v>2664</v>
      </c>
    </row>
    <row r="489" spans="1:22">
      <c r="A489" s="71" t="s">
        <v>2659</v>
      </c>
      <c r="B489" s="71" t="s">
        <v>56</v>
      </c>
      <c r="C489" s="72">
        <v>45925.784411875</v>
      </c>
      <c r="D489" s="72">
        <v>45925.784411875</v>
      </c>
      <c r="E489" s="71" t="s">
        <v>365</v>
      </c>
      <c r="F489" s="71" t="s">
        <v>843</v>
      </c>
      <c r="G489" s="71" t="s">
        <v>844</v>
      </c>
      <c r="H489" s="71" t="s">
        <v>842</v>
      </c>
      <c r="I489" s="71" t="s">
        <v>2604</v>
      </c>
      <c r="J489" s="71" t="s">
        <v>744</v>
      </c>
      <c r="K489" s="71" t="s">
        <v>2665</v>
      </c>
      <c r="L489" s="71" t="s">
        <v>2666</v>
      </c>
      <c r="M489" s="71" t="s">
        <v>3022</v>
      </c>
      <c r="N489" s="71" t="s">
        <v>3170</v>
      </c>
      <c r="O489" s="71" t="s">
        <v>2640</v>
      </c>
      <c r="P489" s="71" t="s">
        <v>2604</v>
      </c>
      <c r="Q489" s="71" t="s">
        <v>3171</v>
      </c>
      <c r="R489" s="71" t="s">
        <v>2604</v>
      </c>
      <c r="S489" s="71" t="s">
        <v>2604</v>
      </c>
      <c r="T489" s="71" t="s">
        <v>2604</v>
      </c>
      <c r="U489" s="71" t="s">
        <v>2604</v>
      </c>
      <c r="V489" s="71" t="s">
        <v>2635</v>
      </c>
    </row>
    <row r="490" spans="1:22">
      <c r="A490" s="71" t="s">
        <v>2659</v>
      </c>
      <c r="B490" s="71" t="s">
        <v>56</v>
      </c>
      <c r="C490" s="72">
        <v>46035.830883530092</v>
      </c>
      <c r="D490" s="72">
        <v>46035.830883530092</v>
      </c>
      <c r="E490" s="71" t="s">
        <v>365</v>
      </c>
      <c r="F490" s="71" t="s">
        <v>3076</v>
      </c>
      <c r="G490" s="71" t="s">
        <v>3077</v>
      </c>
      <c r="H490" s="71" t="s">
        <v>3078</v>
      </c>
      <c r="I490" s="71" t="s">
        <v>2604</v>
      </c>
      <c r="J490" s="71" t="s">
        <v>744</v>
      </c>
      <c r="K490" s="71" t="s">
        <v>2665</v>
      </c>
      <c r="L490" s="71" t="s">
        <v>2666</v>
      </c>
      <c r="M490" s="71" t="s">
        <v>2671</v>
      </c>
      <c r="N490" s="71" t="s">
        <v>3079</v>
      </c>
      <c r="O490" s="71" t="s">
        <v>2640</v>
      </c>
      <c r="P490" s="71" t="s">
        <v>2604</v>
      </c>
      <c r="Q490" s="71" t="s">
        <v>3080</v>
      </c>
      <c r="R490" s="71" t="s">
        <v>2604</v>
      </c>
      <c r="S490" s="71" t="s">
        <v>2604</v>
      </c>
      <c r="T490" s="71" t="s">
        <v>2604</v>
      </c>
      <c r="U490" s="71" t="s">
        <v>2604</v>
      </c>
      <c r="V490" s="71" t="s">
        <v>2664</v>
      </c>
    </row>
    <row r="491" spans="1:22">
      <c r="A491" s="71" t="s">
        <v>2659</v>
      </c>
      <c r="B491" s="71" t="s">
        <v>56</v>
      </c>
      <c r="C491" s="72">
        <v>46044.554906261576</v>
      </c>
      <c r="D491" s="72">
        <v>46044.554906261576</v>
      </c>
      <c r="E491" s="71" t="s">
        <v>380</v>
      </c>
      <c r="F491" s="71" t="s">
        <v>1049</v>
      </c>
      <c r="G491" s="71" t="s">
        <v>1050</v>
      </c>
      <c r="H491" s="71" t="s">
        <v>1048</v>
      </c>
      <c r="I491" s="71" t="s">
        <v>2604</v>
      </c>
      <c r="J491" s="71" t="s">
        <v>813</v>
      </c>
      <c r="K491" s="71" t="s">
        <v>2648</v>
      </c>
      <c r="L491" s="71" t="s">
        <v>2649</v>
      </c>
      <c r="M491" s="71" t="s">
        <v>2726</v>
      </c>
      <c r="N491" s="71" t="s">
        <v>2726</v>
      </c>
      <c r="O491" s="71" t="s">
        <v>2640</v>
      </c>
      <c r="P491" s="71" t="s">
        <v>2604</v>
      </c>
      <c r="Q491" s="71" t="s">
        <v>3169</v>
      </c>
      <c r="R491" s="71" t="s">
        <v>2604</v>
      </c>
      <c r="S491" s="71" t="s">
        <v>2604</v>
      </c>
      <c r="T491" s="71" t="s">
        <v>2604</v>
      </c>
      <c r="U491" s="71" t="s">
        <v>2604</v>
      </c>
      <c r="V491" s="71" t="s">
        <v>2635</v>
      </c>
    </row>
    <row r="492" spans="1:22">
      <c r="A492" s="71" t="s">
        <v>2659</v>
      </c>
      <c r="B492" s="71" t="s">
        <v>56</v>
      </c>
      <c r="C492" s="72">
        <v>46072.578369687501</v>
      </c>
      <c r="D492" s="72">
        <v>46072.578369687501</v>
      </c>
      <c r="E492" s="71" t="s">
        <v>365</v>
      </c>
      <c r="F492" s="71" t="s">
        <v>2799</v>
      </c>
      <c r="G492" s="71" t="s">
        <v>1109</v>
      </c>
      <c r="H492" s="71" t="s">
        <v>1107</v>
      </c>
      <c r="I492" s="71" t="s">
        <v>2604</v>
      </c>
      <c r="J492" s="71" t="s">
        <v>752</v>
      </c>
      <c r="K492" s="71" t="s">
        <v>2675</v>
      </c>
      <c r="L492" s="71" t="s">
        <v>2712</v>
      </c>
      <c r="M492" s="71" t="s">
        <v>2800</v>
      </c>
      <c r="N492" s="71" t="s">
        <v>2801</v>
      </c>
      <c r="O492" s="71" t="s">
        <v>2640</v>
      </c>
      <c r="P492" s="71" t="s">
        <v>2604</v>
      </c>
      <c r="Q492" s="71" t="s">
        <v>2802</v>
      </c>
      <c r="R492" s="71" t="s">
        <v>2604</v>
      </c>
      <c r="S492" s="71" t="s">
        <v>2604</v>
      </c>
      <c r="T492" s="71" t="s">
        <v>2604</v>
      </c>
      <c r="U492" s="71" t="s">
        <v>2604</v>
      </c>
      <c r="V492" s="71" t="s">
        <v>2664</v>
      </c>
    </row>
    <row r="493" spans="1:22">
      <c r="A493" s="71" t="s">
        <v>2659</v>
      </c>
      <c r="B493" s="71" t="s">
        <v>2646</v>
      </c>
      <c r="C493" s="72">
        <v>45813.288968009256</v>
      </c>
      <c r="D493" s="72">
        <v>45813.288968009256</v>
      </c>
      <c r="E493" s="71" t="s">
        <v>473</v>
      </c>
      <c r="F493" s="71" t="s">
        <v>2816</v>
      </c>
      <c r="G493" s="71" t="s">
        <v>495</v>
      </c>
      <c r="H493" s="71" t="s">
        <v>493</v>
      </c>
      <c r="I493" s="71" t="s">
        <v>2604</v>
      </c>
      <c r="J493" s="71" t="s">
        <v>752</v>
      </c>
      <c r="K493" s="71" t="s">
        <v>2723</v>
      </c>
      <c r="L493" s="71" t="s">
        <v>2665</v>
      </c>
      <c r="M493" s="71" t="s">
        <v>2817</v>
      </c>
      <c r="N493" s="71" t="s">
        <v>2671</v>
      </c>
      <c r="O493" s="71" t="s">
        <v>2612</v>
      </c>
      <c r="P493" s="71" t="s">
        <v>2604</v>
      </c>
      <c r="Q493" s="71" t="s">
        <v>2818</v>
      </c>
      <c r="R493" s="71" t="s">
        <v>2604</v>
      </c>
      <c r="S493" s="71" t="s">
        <v>2604</v>
      </c>
      <c r="T493" s="71" t="s">
        <v>2604</v>
      </c>
      <c r="U493" s="71" t="s">
        <v>2604</v>
      </c>
      <c r="V493" s="71" t="s">
        <v>2658</v>
      </c>
    </row>
    <row r="494" spans="1:22">
      <c r="A494" s="71" t="s">
        <v>2659</v>
      </c>
      <c r="B494" s="71" t="s">
        <v>56</v>
      </c>
      <c r="C494" s="72">
        <v>45877.615013229166</v>
      </c>
      <c r="D494" s="72">
        <v>45877.615013229166</v>
      </c>
      <c r="E494" s="71" t="s">
        <v>365</v>
      </c>
      <c r="F494" s="71" t="s">
        <v>683</v>
      </c>
      <c r="G494" s="71" t="s">
        <v>684</v>
      </c>
      <c r="H494" s="71" t="s">
        <v>682</v>
      </c>
      <c r="I494" s="71" t="s">
        <v>2604</v>
      </c>
      <c r="J494" s="71" t="s">
        <v>774</v>
      </c>
      <c r="K494" s="71" t="s">
        <v>2670</v>
      </c>
      <c r="L494" s="71" t="s">
        <v>2604</v>
      </c>
      <c r="M494" s="71" t="s">
        <v>2671</v>
      </c>
      <c r="N494" s="71" t="s">
        <v>2742</v>
      </c>
      <c r="O494" s="71" t="s">
        <v>2640</v>
      </c>
      <c r="P494" s="71" t="s">
        <v>2604</v>
      </c>
      <c r="Q494" s="71" t="s">
        <v>2743</v>
      </c>
      <c r="R494" s="71" t="s">
        <v>2604</v>
      </c>
      <c r="S494" s="71" t="s">
        <v>2604</v>
      </c>
      <c r="T494" s="71" t="s">
        <v>2604</v>
      </c>
      <c r="U494" s="71" t="s">
        <v>2604</v>
      </c>
      <c r="V494" s="71" t="s">
        <v>2604</v>
      </c>
    </row>
    <row r="495" spans="1:22">
      <c r="A495" s="71" t="s">
        <v>2659</v>
      </c>
      <c r="B495" s="71" t="s">
        <v>724</v>
      </c>
      <c r="C495" s="72">
        <v>46059.793704421296</v>
      </c>
      <c r="D495" s="72">
        <v>46059.793704421296</v>
      </c>
      <c r="E495" s="71" t="s">
        <v>365</v>
      </c>
      <c r="F495" s="71" t="s">
        <v>1084</v>
      </c>
      <c r="G495" s="71" t="s">
        <v>1085</v>
      </c>
      <c r="H495" s="71" t="s">
        <v>1083</v>
      </c>
      <c r="I495" s="71" t="s">
        <v>2604</v>
      </c>
      <c r="J495" s="71" t="s">
        <v>744</v>
      </c>
      <c r="K495" s="71" t="s">
        <v>2665</v>
      </c>
      <c r="L495" s="71" t="s">
        <v>2821</v>
      </c>
      <c r="M495" s="71" t="s">
        <v>2671</v>
      </c>
      <c r="N495" s="71" t="s">
        <v>2671</v>
      </c>
      <c r="O495" s="71" t="s">
        <v>2640</v>
      </c>
      <c r="P495" s="71" t="s">
        <v>2604</v>
      </c>
      <c r="Q495" s="71" t="s">
        <v>2822</v>
      </c>
      <c r="R495" s="71" t="s">
        <v>2604</v>
      </c>
      <c r="S495" s="71" t="s">
        <v>2604</v>
      </c>
      <c r="T495" s="71" t="s">
        <v>2604</v>
      </c>
      <c r="U495" s="71" t="s">
        <v>2604</v>
      </c>
      <c r="V495" s="71" t="s">
        <v>2635</v>
      </c>
    </row>
    <row r="496" spans="1:22">
      <c r="A496" s="71" t="s">
        <v>2659</v>
      </c>
      <c r="B496" s="71" t="s">
        <v>659</v>
      </c>
      <c r="C496" s="72">
        <v>45911.606232534723</v>
      </c>
      <c r="D496" s="72">
        <v>45911.606232534723</v>
      </c>
      <c r="E496" s="71" t="s">
        <v>135</v>
      </c>
      <c r="F496" s="71" t="s">
        <v>799</v>
      </c>
      <c r="G496" s="71" t="s">
        <v>3227</v>
      </c>
      <c r="H496" s="71" t="s">
        <v>798</v>
      </c>
      <c r="I496" s="71" t="s">
        <v>2604</v>
      </c>
      <c r="J496" s="71" t="s">
        <v>744</v>
      </c>
      <c r="K496" s="71" t="s">
        <v>2665</v>
      </c>
      <c r="L496" s="71" t="s">
        <v>2666</v>
      </c>
      <c r="M496" s="71" t="s">
        <v>2671</v>
      </c>
      <c r="N496" s="71" t="s">
        <v>2671</v>
      </c>
      <c r="O496" s="71" t="s">
        <v>2640</v>
      </c>
      <c r="P496" s="71" t="s">
        <v>2604</v>
      </c>
      <c r="Q496" s="71" t="s">
        <v>3228</v>
      </c>
      <c r="R496" s="71" t="s">
        <v>2604</v>
      </c>
      <c r="S496" s="71" t="s">
        <v>2604</v>
      </c>
      <c r="T496" s="71" t="s">
        <v>2604</v>
      </c>
      <c r="U496" s="71" t="s">
        <v>2604</v>
      </c>
      <c r="V496" s="71" t="s">
        <v>2618</v>
      </c>
    </row>
    <row r="497" spans="1:22">
      <c r="A497" s="71" t="s">
        <v>2659</v>
      </c>
      <c r="B497" s="71" t="s">
        <v>84</v>
      </c>
      <c r="C497" s="72">
        <v>45903.428923819447</v>
      </c>
      <c r="D497" s="72">
        <v>45903.428923819447</v>
      </c>
      <c r="E497" s="71" t="s">
        <v>365</v>
      </c>
      <c r="F497" s="71" t="s">
        <v>772</v>
      </c>
      <c r="G497" s="71" t="s">
        <v>773</v>
      </c>
      <c r="H497" s="71" t="s">
        <v>771</v>
      </c>
      <c r="I497" s="71" t="s">
        <v>2604</v>
      </c>
      <c r="J497" s="71" t="s">
        <v>774</v>
      </c>
      <c r="K497" s="71" t="s">
        <v>2670</v>
      </c>
      <c r="L497" s="71" t="s">
        <v>2604</v>
      </c>
      <c r="M497" s="71" t="s">
        <v>2671</v>
      </c>
      <c r="N497" s="71" t="s">
        <v>2671</v>
      </c>
      <c r="O497" s="71" t="s">
        <v>2640</v>
      </c>
      <c r="P497" s="71" t="s">
        <v>2604</v>
      </c>
      <c r="Q497" s="71" t="s">
        <v>3229</v>
      </c>
      <c r="R497" s="71" t="s">
        <v>2604</v>
      </c>
      <c r="S497" s="71" t="s">
        <v>2604</v>
      </c>
      <c r="T497" s="71" t="s">
        <v>2604</v>
      </c>
      <c r="U497" s="71" t="s">
        <v>2604</v>
      </c>
      <c r="V497" s="71" t="s">
        <v>2635</v>
      </c>
    </row>
    <row r="498" spans="1:22">
      <c r="A498" s="71" t="s">
        <v>2659</v>
      </c>
      <c r="B498" s="71" t="s">
        <v>2646</v>
      </c>
      <c r="C498" s="72">
        <v>45787.501753159719</v>
      </c>
      <c r="D498" s="72">
        <v>45787.501753159719</v>
      </c>
      <c r="E498" s="71" t="s">
        <v>365</v>
      </c>
      <c r="F498" s="71" t="s">
        <v>458</v>
      </c>
      <c r="G498" s="71" t="s">
        <v>459</v>
      </c>
      <c r="H498" s="71" t="s">
        <v>457</v>
      </c>
      <c r="I498" s="71" t="s">
        <v>2604</v>
      </c>
      <c r="J498" s="71" t="s">
        <v>774</v>
      </c>
      <c r="K498" s="71" t="s">
        <v>2670</v>
      </c>
      <c r="L498" s="71" t="s">
        <v>2604</v>
      </c>
      <c r="M498" s="71" t="s">
        <v>2671</v>
      </c>
      <c r="N498" s="71" t="s">
        <v>2651</v>
      </c>
      <c r="O498" s="71" t="s">
        <v>2692</v>
      </c>
      <c r="P498" s="71" t="s">
        <v>2604</v>
      </c>
      <c r="Q498" s="71" t="s">
        <v>2860</v>
      </c>
      <c r="R498" s="71" t="s">
        <v>2604</v>
      </c>
      <c r="S498" s="71" t="s">
        <v>2604</v>
      </c>
      <c r="T498" s="71" t="s">
        <v>2604</v>
      </c>
      <c r="U498" s="71" t="s">
        <v>2604</v>
      </c>
      <c r="V498" s="71" t="s">
        <v>2658</v>
      </c>
    </row>
    <row r="499" spans="1:22">
      <c r="A499" s="71" t="s">
        <v>2659</v>
      </c>
      <c r="B499" s="71" t="s">
        <v>2646</v>
      </c>
      <c r="C499" s="72">
        <v>45779.342285416664</v>
      </c>
      <c r="D499" s="72">
        <v>45779.342285416664</v>
      </c>
      <c r="E499" s="71" t="s">
        <v>380</v>
      </c>
      <c r="F499" s="71" t="s">
        <v>444</v>
      </c>
      <c r="G499" s="71" t="s">
        <v>2879</v>
      </c>
      <c r="H499" s="71" t="s">
        <v>443</v>
      </c>
      <c r="I499" s="71" t="s">
        <v>2604</v>
      </c>
      <c r="J499" s="71" t="s">
        <v>752</v>
      </c>
      <c r="K499" s="71" t="s">
        <v>2723</v>
      </c>
      <c r="L499" s="71" t="s">
        <v>2665</v>
      </c>
      <c r="M499" s="71" t="s">
        <v>2880</v>
      </c>
      <c r="N499" s="71" t="s">
        <v>2881</v>
      </c>
      <c r="O499" s="71" t="s">
        <v>2692</v>
      </c>
      <c r="P499" s="71" t="s">
        <v>2604</v>
      </c>
      <c r="Q499" s="71" t="s">
        <v>2882</v>
      </c>
      <c r="R499" s="71" t="s">
        <v>2604</v>
      </c>
      <c r="S499" s="71" t="s">
        <v>2604</v>
      </c>
      <c r="T499" s="71" t="s">
        <v>2604</v>
      </c>
      <c r="U499" s="71" t="s">
        <v>2604</v>
      </c>
      <c r="V499" s="71" t="s">
        <v>2655</v>
      </c>
    </row>
    <row r="500" spans="1:22">
      <c r="A500" s="71" t="s">
        <v>2659</v>
      </c>
      <c r="B500" s="71" t="s">
        <v>724</v>
      </c>
      <c r="C500" s="72">
        <v>45897.503976701388</v>
      </c>
      <c r="D500" s="72">
        <v>45897.503976701388</v>
      </c>
      <c r="E500" s="71" t="s">
        <v>473</v>
      </c>
      <c r="F500" s="71" t="s">
        <v>152</v>
      </c>
      <c r="G500" s="71" t="s">
        <v>743</v>
      </c>
      <c r="H500" s="71" t="s">
        <v>742</v>
      </c>
      <c r="I500" s="71" t="s">
        <v>2604</v>
      </c>
      <c r="J500" s="71" t="s">
        <v>744</v>
      </c>
      <c r="K500" s="71" t="s">
        <v>2665</v>
      </c>
      <c r="L500" s="71" t="s">
        <v>2666</v>
      </c>
      <c r="M500" s="71" t="s">
        <v>2861</v>
      </c>
      <c r="N500" s="71" t="s">
        <v>2862</v>
      </c>
      <c r="O500" s="71" t="s">
        <v>2640</v>
      </c>
      <c r="P500" s="71" t="s">
        <v>2863</v>
      </c>
      <c r="Q500" s="71" t="s">
        <v>2864</v>
      </c>
      <c r="R500" s="71" t="s">
        <v>2604</v>
      </c>
      <c r="S500" s="71" t="s">
        <v>2604</v>
      </c>
      <c r="T500" s="71" t="s">
        <v>2604</v>
      </c>
      <c r="U500" s="71" t="s">
        <v>2604</v>
      </c>
      <c r="V500" s="71" t="s">
        <v>2658</v>
      </c>
    </row>
    <row r="501" spans="1:22">
      <c r="A501" s="71" t="s">
        <v>2659</v>
      </c>
      <c r="B501" s="71" t="s">
        <v>56</v>
      </c>
      <c r="C501" s="72">
        <v>45866.669798726849</v>
      </c>
      <c r="D501" s="72">
        <v>45866.669798726849</v>
      </c>
      <c r="E501" s="71" t="s">
        <v>365</v>
      </c>
      <c r="F501" s="71" t="s">
        <v>3054</v>
      </c>
      <c r="G501" s="71" t="s">
        <v>647</v>
      </c>
      <c r="H501" s="71" t="s">
        <v>645</v>
      </c>
      <c r="I501" s="71" t="s">
        <v>2604</v>
      </c>
      <c r="J501" s="71" t="s">
        <v>744</v>
      </c>
      <c r="K501" s="71" t="s">
        <v>2665</v>
      </c>
      <c r="L501" s="71" t="s">
        <v>2821</v>
      </c>
      <c r="M501" s="71" t="s">
        <v>2671</v>
      </c>
      <c r="N501" s="71" t="s">
        <v>3055</v>
      </c>
      <c r="O501" s="71" t="s">
        <v>2640</v>
      </c>
      <c r="P501" s="71" t="s">
        <v>2604</v>
      </c>
      <c r="Q501" s="71" t="s">
        <v>3056</v>
      </c>
      <c r="R501" s="71" t="s">
        <v>2604</v>
      </c>
      <c r="S501" s="71" t="s">
        <v>2604</v>
      </c>
      <c r="T501" s="71" t="s">
        <v>2604</v>
      </c>
      <c r="U501" s="71" t="s">
        <v>2604</v>
      </c>
      <c r="V501" s="71" t="s">
        <v>2664</v>
      </c>
    </row>
    <row r="502" spans="1:22">
      <c r="A502" s="71" t="s">
        <v>2659</v>
      </c>
      <c r="B502" s="71" t="s">
        <v>2646</v>
      </c>
      <c r="C502" s="72">
        <v>45786.479872372685</v>
      </c>
      <c r="D502" s="72">
        <v>45786.479872372685</v>
      </c>
      <c r="E502" s="71" t="s">
        <v>365</v>
      </c>
      <c r="F502" s="71" t="s">
        <v>455</v>
      </c>
      <c r="G502" s="71" t="s">
        <v>456</v>
      </c>
      <c r="H502" s="71" t="s">
        <v>454</v>
      </c>
      <c r="I502" s="71" t="s">
        <v>2604</v>
      </c>
      <c r="J502" s="71" t="s">
        <v>813</v>
      </c>
      <c r="K502" s="71" t="s">
        <v>2648</v>
      </c>
      <c r="L502" s="71" t="s">
        <v>2649</v>
      </c>
      <c r="M502" s="71" t="s">
        <v>2650</v>
      </c>
      <c r="N502" s="71" t="s">
        <v>3172</v>
      </c>
      <c r="O502" s="71" t="s">
        <v>2692</v>
      </c>
      <c r="P502" s="71" t="s">
        <v>2604</v>
      </c>
      <c r="Q502" s="71" t="s">
        <v>3173</v>
      </c>
      <c r="R502" s="71" t="s">
        <v>2604</v>
      </c>
      <c r="S502" s="71" t="s">
        <v>2604</v>
      </c>
      <c r="T502" s="71" t="s">
        <v>2604</v>
      </c>
      <c r="U502" s="71" t="s">
        <v>2604</v>
      </c>
      <c r="V502" s="71" t="s">
        <v>2635</v>
      </c>
    </row>
    <row r="503" spans="1:22">
      <c r="A503" s="71" t="s">
        <v>2659</v>
      </c>
      <c r="B503" s="71" t="s">
        <v>84</v>
      </c>
      <c r="C503" s="72">
        <v>45910.56182560185</v>
      </c>
      <c r="D503" s="72">
        <v>45910.56182560185</v>
      </c>
      <c r="E503" s="71" t="s">
        <v>473</v>
      </c>
      <c r="F503" s="71" t="s">
        <v>793</v>
      </c>
      <c r="G503" s="71" t="s">
        <v>3165</v>
      </c>
      <c r="H503" s="71" t="s">
        <v>792</v>
      </c>
      <c r="I503" s="71" t="s">
        <v>2604</v>
      </c>
      <c r="J503" s="71" t="s">
        <v>744</v>
      </c>
      <c r="K503" s="71" t="s">
        <v>2665</v>
      </c>
      <c r="L503" s="71" t="s">
        <v>2704</v>
      </c>
      <c r="M503" s="71" t="s">
        <v>2671</v>
      </c>
      <c r="N503" s="71" t="s">
        <v>2671</v>
      </c>
      <c r="O503" s="71" t="s">
        <v>2640</v>
      </c>
      <c r="P503" s="71" t="s">
        <v>2604</v>
      </c>
      <c r="Q503" s="71" t="s">
        <v>3166</v>
      </c>
      <c r="R503" s="71" t="s">
        <v>2604</v>
      </c>
      <c r="S503" s="71" t="s">
        <v>2604</v>
      </c>
      <c r="T503" s="71" t="s">
        <v>2604</v>
      </c>
      <c r="U503" s="71" t="s">
        <v>2604</v>
      </c>
      <c r="V503" s="71" t="s">
        <v>2618</v>
      </c>
    </row>
    <row r="504" spans="1:22">
      <c r="A504" s="71" t="s">
        <v>2659</v>
      </c>
      <c r="B504" s="71" t="s">
        <v>84</v>
      </c>
      <c r="C504" s="72">
        <v>45958.491422581021</v>
      </c>
      <c r="D504" s="72">
        <v>45958.491422581021</v>
      </c>
      <c r="E504" s="71" t="s">
        <v>365</v>
      </c>
      <c r="F504" s="71" t="s">
        <v>907</v>
      </c>
      <c r="G504" s="71" t="s">
        <v>908</v>
      </c>
      <c r="H504" s="71" t="s">
        <v>906</v>
      </c>
      <c r="I504" s="71" t="s">
        <v>2604</v>
      </c>
      <c r="J504" s="71" t="s">
        <v>752</v>
      </c>
      <c r="K504" s="71" t="s">
        <v>2675</v>
      </c>
      <c r="L504" s="71" t="s">
        <v>2790</v>
      </c>
      <c r="M504" s="71" t="s">
        <v>3180</v>
      </c>
      <c r="N504" s="71" t="s">
        <v>2861</v>
      </c>
      <c r="O504" s="71" t="s">
        <v>2640</v>
      </c>
      <c r="P504" s="71" t="s">
        <v>2604</v>
      </c>
      <c r="Q504" s="71" t="s">
        <v>3181</v>
      </c>
      <c r="R504" s="71" t="s">
        <v>2604</v>
      </c>
      <c r="S504" s="71" t="s">
        <v>2604</v>
      </c>
      <c r="T504" s="71" t="s">
        <v>2604</v>
      </c>
      <c r="U504" s="71" t="s">
        <v>2604</v>
      </c>
      <c r="V504" s="71" t="s">
        <v>2604</v>
      </c>
    </row>
    <row r="505" spans="1:22">
      <c r="A505" s="71" t="s">
        <v>2659</v>
      </c>
      <c r="B505" s="71" t="s">
        <v>2646</v>
      </c>
      <c r="C505" s="72">
        <v>45789.537628229169</v>
      </c>
      <c r="D505" s="72">
        <v>45789.537628229169</v>
      </c>
      <c r="E505" s="71" t="s">
        <v>365</v>
      </c>
      <c r="F505" s="71" t="s">
        <v>461</v>
      </c>
      <c r="G505" s="71" t="s">
        <v>462</v>
      </c>
      <c r="H505" s="71" t="s">
        <v>460</v>
      </c>
      <c r="I505" s="71" t="s">
        <v>2604</v>
      </c>
      <c r="J505" s="71" t="s">
        <v>744</v>
      </c>
      <c r="K505" s="71" t="s">
        <v>2665</v>
      </c>
      <c r="L505" s="71" t="s">
        <v>2666</v>
      </c>
      <c r="M505" s="71" t="s">
        <v>2662</v>
      </c>
      <c r="N505" s="71" t="s">
        <v>2861</v>
      </c>
      <c r="O505" s="71" t="s">
        <v>2692</v>
      </c>
      <c r="P505" s="71" t="s">
        <v>2604</v>
      </c>
      <c r="Q505" s="71" t="s">
        <v>3042</v>
      </c>
      <c r="R505" s="71" t="s">
        <v>2604</v>
      </c>
      <c r="S505" s="71" t="s">
        <v>2604</v>
      </c>
      <c r="T505" s="71" t="s">
        <v>2604</v>
      </c>
      <c r="U505" s="71" t="s">
        <v>2604</v>
      </c>
      <c r="V505" s="71" t="s">
        <v>2655</v>
      </c>
    </row>
    <row r="506" spans="1:22">
      <c r="A506" s="71" t="s">
        <v>2659</v>
      </c>
      <c r="B506" s="71" t="s">
        <v>659</v>
      </c>
      <c r="C506" s="72">
        <v>46057.460707175924</v>
      </c>
      <c r="D506" s="72">
        <v>46057.460707175924</v>
      </c>
      <c r="E506" s="71" t="s">
        <v>135</v>
      </c>
      <c r="F506" s="71" t="s">
        <v>1073</v>
      </c>
      <c r="G506" s="71" t="s">
        <v>1074</v>
      </c>
      <c r="H506" s="71" t="s">
        <v>1072</v>
      </c>
      <c r="I506" s="71" t="s">
        <v>2604</v>
      </c>
      <c r="J506" s="71" t="s">
        <v>747</v>
      </c>
      <c r="K506" s="71" t="s">
        <v>2768</v>
      </c>
      <c r="L506" s="71" t="s">
        <v>2769</v>
      </c>
      <c r="M506" s="71" t="s">
        <v>2770</v>
      </c>
      <c r="N506" s="71" t="s">
        <v>2771</v>
      </c>
      <c r="O506" s="71" t="s">
        <v>2640</v>
      </c>
      <c r="P506" s="71" t="s">
        <v>2604</v>
      </c>
      <c r="Q506" s="71" t="s">
        <v>2772</v>
      </c>
      <c r="R506" s="71" t="s">
        <v>2604</v>
      </c>
      <c r="S506" s="71" t="s">
        <v>2604</v>
      </c>
      <c r="T506" s="71" t="s">
        <v>2604</v>
      </c>
      <c r="U506" s="71" t="s">
        <v>2604</v>
      </c>
      <c r="V506" s="71" t="s">
        <v>2604</v>
      </c>
    </row>
    <row r="507" spans="1:22">
      <c r="A507" s="71" t="s">
        <v>2659</v>
      </c>
      <c r="B507" s="71" t="s">
        <v>84</v>
      </c>
      <c r="C507" s="72">
        <v>45922.481748298611</v>
      </c>
      <c r="D507" s="72">
        <v>45922.481748298611</v>
      </c>
      <c r="E507" s="71" t="s">
        <v>365</v>
      </c>
      <c r="F507" s="71" t="s">
        <v>824</v>
      </c>
      <c r="G507" s="71" t="s">
        <v>825</v>
      </c>
      <c r="H507" s="71" t="s">
        <v>823</v>
      </c>
      <c r="I507" s="71" t="s">
        <v>2604</v>
      </c>
      <c r="J507" s="71" t="s">
        <v>752</v>
      </c>
      <c r="K507" s="71" t="s">
        <v>2675</v>
      </c>
      <c r="L507" s="71" t="s">
        <v>2790</v>
      </c>
      <c r="M507" s="71" t="s">
        <v>3223</v>
      </c>
      <c r="N507" s="71" t="s">
        <v>2671</v>
      </c>
      <c r="O507" s="71" t="s">
        <v>2640</v>
      </c>
      <c r="P507" s="71" t="s">
        <v>2604</v>
      </c>
      <c r="Q507" s="71" t="s">
        <v>3224</v>
      </c>
      <c r="R507" s="71" t="s">
        <v>2604</v>
      </c>
      <c r="S507" s="71" t="s">
        <v>2604</v>
      </c>
      <c r="T507" s="71" t="s">
        <v>2604</v>
      </c>
      <c r="U507" s="71" t="s">
        <v>2604</v>
      </c>
      <c r="V507" s="71" t="s">
        <v>2604</v>
      </c>
    </row>
    <row r="508" spans="1:22">
      <c r="A508" s="71" t="s">
        <v>2659</v>
      </c>
      <c r="B508" s="71" t="s">
        <v>84</v>
      </c>
      <c r="C508" s="72">
        <v>45891.582877777779</v>
      </c>
      <c r="D508" s="72">
        <v>45891.582877777779</v>
      </c>
      <c r="E508" s="71" t="s">
        <v>365</v>
      </c>
      <c r="F508" s="71" t="s">
        <v>716</v>
      </c>
      <c r="G508" s="71" t="s">
        <v>717</v>
      </c>
      <c r="H508" s="71" t="s">
        <v>715</v>
      </c>
      <c r="I508" s="71" t="s">
        <v>2604</v>
      </c>
      <c r="J508" s="71" t="s">
        <v>752</v>
      </c>
      <c r="K508" s="71" t="s">
        <v>2675</v>
      </c>
      <c r="L508" s="71" t="s">
        <v>2676</v>
      </c>
      <c r="M508" s="71" t="s">
        <v>3130</v>
      </c>
      <c r="N508" s="71" t="s">
        <v>3131</v>
      </c>
      <c r="O508" s="71" t="s">
        <v>2640</v>
      </c>
      <c r="P508" s="71" t="s">
        <v>2604</v>
      </c>
      <c r="Q508" s="71" t="s">
        <v>3132</v>
      </c>
      <c r="R508" s="71" t="s">
        <v>2604</v>
      </c>
      <c r="S508" s="71" t="s">
        <v>2604</v>
      </c>
      <c r="T508" s="71" t="s">
        <v>2604</v>
      </c>
      <c r="U508" s="71" t="s">
        <v>2604</v>
      </c>
      <c r="V508" s="71" t="s">
        <v>2635</v>
      </c>
    </row>
    <row r="509" spans="1:22">
      <c r="A509" s="71" t="s">
        <v>2659</v>
      </c>
      <c r="B509" s="71" t="s">
        <v>56</v>
      </c>
      <c r="C509" s="72">
        <v>46045.710965115744</v>
      </c>
      <c r="D509" s="72">
        <v>46045.710965115744</v>
      </c>
      <c r="E509" s="71" t="s">
        <v>365</v>
      </c>
      <c r="F509" s="71" t="s">
        <v>1056</v>
      </c>
      <c r="G509" s="71" t="s">
        <v>1057</v>
      </c>
      <c r="H509" s="71" t="s">
        <v>1055</v>
      </c>
      <c r="I509" s="71" t="s">
        <v>2604</v>
      </c>
      <c r="J509" s="71" t="s">
        <v>813</v>
      </c>
      <c r="K509" s="71" t="s">
        <v>2648</v>
      </c>
      <c r="L509" s="71" t="s">
        <v>2649</v>
      </c>
      <c r="M509" s="71" t="s">
        <v>2726</v>
      </c>
      <c r="N509" s="71" t="s">
        <v>2726</v>
      </c>
      <c r="O509" s="71" t="s">
        <v>2640</v>
      </c>
      <c r="P509" s="71" t="s">
        <v>2604</v>
      </c>
      <c r="Q509" s="71" t="s">
        <v>2819</v>
      </c>
      <c r="R509" s="71" t="s">
        <v>2604</v>
      </c>
      <c r="S509" s="71" t="s">
        <v>2604</v>
      </c>
      <c r="T509" s="71" t="s">
        <v>2604</v>
      </c>
      <c r="U509" s="71" t="s">
        <v>2604</v>
      </c>
      <c r="V509" s="71" t="s">
        <v>2604</v>
      </c>
    </row>
    <row r="510" spans="1:22">
      <c r="A510" s="71" t="s">
        <v>2659</v>
      </c>
      <c r="B510" s="71" t="s">
        <v>56</v>
      </c>
      <c r="C510" s="72">
        <v>46062.678909907409</v>
      </c>
      <c r="D510" s="72">
        <v>46062.678909907409</v>
      </c>
      <c r="E510" s="71" t="s">
        <v>380</v>
      </c>
      <c r="F510" s="71" t="s">
        <v>1087</v>
      </c>
      <c r="G510" s="71" t="s">
        <v>1088</v>
      </c>
      <c r="H510" s="71" t="s">
        <v>1086</v>
      </c>
      <c r="I510" s="71" t="s">
        <v>2604</v>
      </c>
      <c r="J510" s="71" t="s">
        <v>774</v>
      </c>
      <c r="K510" s="71" t="s">
        <v>2670</v>
      </c>
      <c r="L510" s="71" t="s">
        <v>2604</v>
      </c>
      <c r="M510" s="71" t="s">
        <v>2671</v>
      </c>
      <c r="N510" s="71" t="s">
        <v>2890</v>
      </c>
      <c r="O510" s="71" t="s">
        <v>2640</v>
      </c>
      <c r="P510" s="71" t="s">
        <v>2604</v>
      </c>
      <c r="Q510" s="71" t="s">
        <v>2891</v>
      </c>
      <c r="R510" s="71" t="s">
        <v>2604</v>
      </c>
      <c r="S510" s="71" t="s">
        <v>2604</v>
      </c>
      <c r="T510" s="71" t="s">
        <v>2604</v>
      </c>
      <c r="U510" s="71" t="s">
        <v>2604</v>
      </c>
      <c r="V510" s="71" t="s">
        <v>2604</v>
      </c>
    </row>
    <row r="511" spans="1:22">
      <c r="A511" s="71" t="s">
        <v>2659</v>
      </c>
      <c r="B511" s="71" t="s">
        <v>2646</v>
      </c>
      <c r="C511" s="72">
        <v>45778.935127974539</v>
      </c>
      <c r="D511" s="72">
        <v>45778.935127974539</v>
      </c>
      <c r="E511" s="71" t="s">
        <v>365</v>
      </c>
      <c r="F511" s="71" t="s">
        <v>441</v>
      </c>
      <c r="G511" s="71" t="s">
        <v>442</v>
      </c>
      <c r="H511" s="71" t="s">
        <v>440</v>
      </c>
      <c r="I511" s="71" t="s">
        <v>2604</v>
      </c>
      <c r="J511" s="71" t="s">
        <v>813</v>
      </c>
      <c r="K511" s="71" t="s">
        <v>2648</v>
      </c>
      <c r="L511" s="71" t="s">
        <v>2649</v>
      </c>
      <c r="M511" s="71" t="s">
        <v>2650</v>
      </c>
      <c r="N511" s="71" t="s">
        <v>2651</v>
      </c>
      <c r="O511" s="71" t="s">
        <v>2692</v>
      </c>
      <c r="P511" s="71" t="s">
        <v>2604</v>
      </c>
      <c r="Q511" s="71" t="s">
        <v>2811</v>
      </c>
      <c r="R511" s="71" t="s">
        <v>2604</v>
      </c>
      <c r="S511" s="71" t="s">
        <v>2604</v>
      </c>
      <c r="T511" s="71" t="s">
        <v>2604</v>
      </c>
      <c r="U511" s="71" t="s">
        <v>2604</v>
      </c>
      <c r="V511" s="71" t="s">
        <v>2604</v>
      </c>
    </row>
    <row r="512" spans="1:22">
      <c r="A512" s="71" t="s">
        <v>2659</v>
      </c>
      <c r="B512" s="71" t="s">
        <v>84</v>
      </c>
      <c r="C512" s="72">
        <v>46008.359178657411</v>
      </c>
      <c r="D512" s="72">
        <v>46008.359178657411</v>
      </c>
      <c r="E512" s="71" t="s">
        <v>365</v>
      </c>
      <c r="F512" s="71" t="s">
        <v>1002</v>
      </c>
      <c r="G512" s="71" t="s">
        <v>1003</v>
      </c>
      <c r="H512" s="71" t="s">
        <v>1001</v>
      </c>
      <c r="I512" s="71" t="s">
        <v>2604</v>
      </c>
      <c r="J512" s="71" t="s">
        <v>752</v>
      </c>
      <c r="K512" s="71" t="s">
        <v>2680</v>
      </c>
      <c r="L512" s="71" t="s">
        <v>2974</v>
      </c>
      <c r="M512" s="71" t="s">
        <v>2975</v>
      </c>
      <c r="N512" s="71" t="s">
        <v>2976</v>
      </c>
      <c r="O512" s="71" t="s">
        <v>2640</v>
      </c>
      <c r="P512" s="71" t="s">
        <v>2604</v>
      </c>
      <c r="Q512" s="71" t="s">
        <v>2977</v>
      </c>
      <c r="R512" s="71" t="s">
        <v>2604</v>
      </c>
      <c r="S512" s="71" t="s">
        <v>2604</v>
      </c>
      <c r="T512" s="71" t="s">
        <v>2604</v>
      </c>
      <c r="U512" s="71" t="s">
        <v>2604</v>
      </c>
      <c r="V512" s="71" t="s">
        <v>2635</v>
      </c>
    </row>
    <row r="513" spans="1:22">
      <c r="A513" s="71" t="s">
        <v>2659</v>
      </c>
      <c r="B513" s="71" t="s">
        <v>56</v>
      </c>
      <c r="C513" s="72">
        <v>45951.565612488426</v>
      </c>
      <c r="D513" s="72">
        <v>45951.565612488426</v>
      </c>
      <c r="E513" s="71" t="s">
        <v>365</v>
      </c>
      <c r="F513" s="71" t="s">
        <v>894</v>
      </c>
      <c r="G513" s="71" t="s">
        <v>895</v>
      </c>
      <c r="H513" s="71" t="s">
        <v>893</v>
      </c>
      <c r="I513" s="71" t="s">
        <v>2604</v>
      </c>
      <c r="J513" s="71" t="s">
        <v>769</v>
      </c>
      <c r="K513" s="71" t="s">
        <v>2773</v>
      </c>
      <c r="L513" s="71" t="s">
        <v>2670</v>
      </c>
      <c r="M513" s="71" t="s">
        <v>2774</v>
      </c>
      <c r="N513" s="71" t="s">
        <v>2774</v>
      </c>
      <c r="O513" s="71" t="s">
        <v>2640</v>
      </c>
      <c r="P513" s="71" t="s">
        <v>2604</v>
      </c>
      <c r="Q513" s="71" t="s">
        <v>3164</v>
      </c>
      <c r="R513" s="71" t="s">
        <v>2604</v>
      </c>
      <c r="S513" s="71" t="s">
        <v>2604</v>
      </c>
      <c r="T513" s="71" t="s">
        <v>2604</v>
      </c>
      <c r="U513" s="71" t="s">
        <v>2604</v>
      </c>
      <c r="V513" s="71" t="s">
        <v>2604</v>
      </c>
    </row>
    <row r="514" spans="1:22">
      <c r="A514" s="71" t="s">
        <v>2659</v>
      </c>
      <c r="B514" s="71" t="s">
        <v>56</v>
      </c>
      <c r="C514" s="72">
        <v>45946.780098703704</v>
      </c>
      <c r="D514" s="72">
        <v>45946.780098703704</v>
      </c>
      <c r="E514" s="71" t="s">
        <v>365</v>
      </c>
      <c r="F514" s="71" t="s">
        <v>886</v>
      </c>
      <c r="G514" s="71" t="s">
        <v>887</v>
      </c>
      <c r="H514" s="71" t="s">
        <v>885</v>
      </c>
      <c r="I514" s="71" t="s">
        <v>2604</v>
      </c>
      <c r="J514" s="71" t="s">
        <v>813</v>
      </c>
      <c r="K514" s="71" t="s">
        <v>2648</v>
      </c>
      <c r="L514" s="71" t="s">
        <v>2649</v>
      </c>
      <c r="M514" s="71" t="s">
        <v>2726</v>
      </c>
      <c r="N514" s="71" t="s">
        <v>2726</v>
      </c>
      <c r="O514" s="71" t="s">
        <v>2640</v>
      </c>
      <c r="P514" s="71" t="s">
        <v>2604</v>
      </c>
      <c r="Q514" s="71" t="s">
        <v>3220</v>
      </c>
      <c r="R514" s="71" t="s">
        <v>2604</v>
      </c>
      <c r="S514" s="71" t="s">
        <v>2604</v>
      </c>
      <c r="T514" s="71" t="s">
        <v>2604</v>
      </c>
      <c r="U514" s="71" t="s">
        <v>2604</v>
      </c>
      <c r="V514" s="71" t="s">
        <v>2604</v>
      </c>
    </row>
    <row r="515" spans="1:22">
      <c r="A515" s="71" t="s">
        <v>2659</v>
      </c>
      <c r="B515" s="71" t="s">
        <v>56</v>
      </c>
      <c r="C515" s="72">
        <v>45888.480305636571</v>
      </c>
      <c r="D515" s="72">
        <v>45888.480305636571</v>
      </c>
      <c r="E515" s="71" t="s">
        <v>365</v>
      </c>
      <c r="F515" s="71" t="s">
        <v>701</v>
      </c>
      <c r="G515" s="71" t="s">
        <v>702</v>
      </c>
      <c r="H515" s="71" t="s">
        <v>700</v>
      </c>
      <c r="I515" s="71" t="s">
        <v>2604</v>
      </c>
      <c r="J515" s="71" t="s">
        <v>752</v>
      </c>
      <c r="K515" s="71" t="s">
        <v>2680</v>
      </c>
      <c r="L515" s="71" t="s">
        <v>3158</v>
      </c>
      <c r="M515" s="71" t="s">
        <v>3159</v>
      </c>
      <c r="N515" s="71" t="s">
        <v>3160</v>
      </c>
      <c r="O515" s="71" t="s">
        <v>2640</v>
      </c>
      <c r="P515" s="71" t="s">
        <v>2604</v>
      </c>
      <c r="Q515" s="71" t="s">
        <v>3161</v>
      </c>
      <c r="R515" s="71" t="s">
        <v>2604</v>
      </c>
      <c r="S515" s="71" t="s">
        <v>2604</v>
      </c>
      <c r="T515" s="71" t="s">
        <v>2604</v>
      </c>
      <c r="U515" s="71" t="s">
        <v>2604</v>
      </c>
      <c r="V515" s="71" t="s">
        <v>2604</v>
      </c>
    </row>
    <row r="516" spans="1:22">
      <c r="A516" s="71" t="s">
        <v>2659</v>
      </c>
      <c r="B516" s="71" t="s">
        <v>724</v>
      </c>
      <c r="C516" s="72">
        <v>46006.479755208333</v>
      </c>
      <c r="D516" s="72">
        <v>46006.479755208333</v>
      </c>
      <c r="E516" s="71" t="s">
        <v>365</v>
      </c>
      <c r="F516" s="71" t="s">
        <v>1000</v>
      </c>
      <c r="G516" s="71" t="s">
        <v>3098</v>
      </c>
      <c r="H516" s="71" t="s">
        <v>999</v>
      </c>
      <c r="I516" s="71" t="s">
        <v>2604</v>
      </c>
      <c r="J516" s="71" t="s">
        <v>774</v>
      </c>
      <c r="K516" s="71" t="s">
        <v>2670</v>
      </c>
      <c r="L516" s="71" t="s">
        <v>2604</v>
      </c>
      <c r="M516" s="71" t="s">
        <v>2671</v>
      </c>
      <c r="N516" s="71" t="s">
        <v>3099</v>
      </c>
      <c r="O516" s="71" t="s">
        <v>2640</v>
      </c>
      <c r="P516" s="71" t="s">
        <v>2604</v>
      </c>
      <c r="Q516" s="71" t="s">
        <v>3100</v>
      </c>
      <c r="R516" s="71" t="s">
        <v>2604</v>
      </c>
      <c r="S516" s="71" t="s">
        <v>2604</v>
      </c>
      <c r="T516" s="71" t="s">
        <v>2604</v>
      </c>
      <c r="U516" s="71" t="s">
        <v>2604</v>
      </c>
      <c r="V516" s="71" t="s">
        <v>2604</v>
      </c>
    </row>
    <row r="517" spans="1:22">
      <c r="A517" s="71" t="s">
        <v>2659</v>
      </c>
      <c r="B517" s="71" t="s">
        <v>2646</v>
      </c>
      <c r="C517" s="72">
        <v>45811.65802422454</v>
      </c>
      <c r="D517" s="72">
        <v>45811.65802422454</v>
      </c>
      <c r="E517" s="71" t="s">
        <v>365</v>
      </c>
      <c r="F517" s="71" t="s">
        <v>488</v>
      </c>
      <c r="G517" s="71" t="s">
        <v>489</v>
      </c>
      <c r="H517" s="71" t="s">
        <v>487</v>
      </c>
      <c r="I517" s="71" t="s">
        <v>2604</v>
      </c>
      <c r="J517" s="71" t="s">
        <v>752</v>
      </c>
      <c r="K517" s="71" t="s">
        <v>2723</v>
      </c>
      <c r="L517" s="71" t="s">
        <v>2665</v>
      </c>
      <c r="M517" s="71" t="s">
        <v>2826</v>
      </c>
      <c r="N517" s="71" t="s">
        <v>2826</v>
      </c>
      <c r="O517" s="71" t="s">
        <v>2692</v>
      </c>
      <c r="P517" s="71" t="s">
        <v>2604</v>
      </c>
      <c r="Q517" s="71" t="s">
        <v>2827</v>
      </c>
      <c r="R517" s="71" t="s">
        <v>2604</v>
      </c>
      <c r="S517" s="71" t="s">
        <v>2604</v>
      </c>
      <c r="T517" s="71" t="s">
        <v>2604</v>
      </c>
      <c r="U517" s="71" t="s">
        <v>2604</v>
      </c>
      <c r="V517" s="71" t="s">
        <v>2604</v>
      </c>
    </row>
    <row r="518" spans="1:22">
      <c r="A518" s="71" t="s">
        <v>2659</v>
      </c>
      <c r="B518" s="71" t="s">
        <v>659</v>
      </c>
      <c r="C518" s="72">
        <v>46013.744940821758</v>
      </c>
      <c r="D518" s="72">
        <v>46013.744940821758</v>
      </c>
      <c r="E518" s="71" t="s">
        <v>135</v>
      </c>
      <c r="F518" s="71" t="s">
        <v>1190</v>
      </c>
      <c r="G518" s="71" t="s">
        <v>1018</v>
      </c>
      <c r="H518" s="71" t="s">
        <v>1016</v>
      </c>
      <c r="I518" s="71" t="s">
        <v>2604</v>
      </c>
      <c r="J518" s="71" t="s">
        <v>774</v>
      </c>
      <c r="K518" s="71" t="s">
        <v>3230</v>
      </c>
      <c r="L518" s="71" t="s">
        <v>2604</v>
      </c>
      <c r="M518" s="71" t="s">
        <v>3231</v>
      </c>
      <c r="N518" s="71" t="s">
        <v>3232</v>
      </c>
      <c r="O518" s="71" t="s">
        <v>2640</v>
      </c>
      <c r="P518" s="71" t="s">
        <v>2604</v>
      </c>
      <c r="Q518" s="71" t="s">
        <v>3233</v>
      </c>
      <c r="R518" s="71" t="s">
        <v>2604</v>
      </c>
      <c r="S518" s="71" t="s">
        <v>2604</v>
      </c>
      <c r="T518" s="71" t="s">
        <v>2604</v>
      </c>
      <c r="U518" s="71" t="s">
        <v>2604</v>
      </c>
      <c r="V518" s="71" t="s">
        <v>2604</v>
      </c>
    </row>
    <row r="519" spans="1:22">
      <c r="A519" s="71" t="s">
        <v>2659</v>
      </c>
      <c r="B519" s="71" t="s">
        <v>2646</v>
      </c>
      <c r="C519" s="72">
        <v>45765.62110016204</v>
      </c>
      <c r="D519" s="72">
        <v>45765.62110016204</v>
      </c>
      <c r="E519" s="71" t="s">
        <v>365</v>
      </c>
      <c r="F519" s="71" t="s">
        <v>426</v>
      </c>
      <c r="G519" s="71" t="s">
        <v>427</v>
      </c>
      <c r="H519" s="71" t="s">
        <v>425</v>
      </c>
      <c r="I519" s="71" t="s">
        <v>2604</v>
      </c>
      <c r="J519" s="71" t="s">
        <v>752</v>
      </c>
      <c r="K519" s="71" t="s">
        <v>2723</v>
      </c>
      <c r="L519" s="71" t="s">
        <v>2665</v>
      </c>
      <c r="M519" s="71" t="s">
        <v>2766</v>
      </c>
      <c r="N519" s="71" t="s">
        <v>2766</v>
      </c>
      <c r="O519" s="71" t="s">
        <v>2692</v>
      </c>
      <c r="P519" s="71" t="s">
        <v>2604</v>
      </c>
      <c r="Q519" s="71" t="s">
        <v>2767</v>
      </c>
      <c r="R519" s="71" t="s">
        <v>2604</v>
      </c>
      <c r="S519" s="71" t="s">
        <v>2604</v>
      </c>
      <c r="T519" s="71" t="s">
        <v>2604</v>
      </c>
      <c r="U519" s="71" t="s">
        <v>2604</v>
      </c>
      <c r="V519" s="71" t="s">
        <v>2604</v>
      </c>
    </row>
    <row r="520" spans="1:22">
      <c r="A520" s="71" t="s">
        <v>2659</v>
      </c>
      <c r="B520" s="71" t="s">
        <v>84</v>
      </c>
      <c r="C520" s="72">
        <v>45855.98915927083</v>
      </c>
      <c r="D520" s="72">
        <v>45855.98915927083</v>
      </c>
      <c r="E520" s="71" t="s">
        <v>380</v>
      </c>
      <c r="F520" s="71" t="s">
        <v>2978</v>
      </c>
      <c r="G520" s="71" t="s">
        <v>2979</v>
      </c>
      <c r="H520" s="71" t="s">
        <v>577</v>
      </c>
      <c r="I520" s="71" t="s">
        <v>2604</v>
      </c>
      <c r="J520" s="71" t="s">
        <v>774</v>
      </c>
      <c r="K520" s="71" t="s">
        <v>2670</v>
      </c>
      <c r="L520" s="71" t="s">
        <v>2604</v>
      </c>
      <c r="M520" s="71" t="s">
        <v>2671</v>
      </c>
      <c r="N520" s="71" t="s">
        <v>2980</v>
      </c>
      <c r="O520" s="71" t="s">
        <v>2640</v>
      </c>
      <c r="P520" s="71" t="s">
        <v>2604</v>
      </c>
      <c r="Q520" s="71" t="s">
        <v>2981</v>
      </c>
      <c r="R520" s="71" t="s">
        <v>2604</v>
      </c>
      <c r="S520" s="71" t="s">
        <v>2604</v>
      </c>
      <c r="T520" s="71" t="s">
        <v>2604</v>
      </c>
      <c r="U520" s="71" t="s">
        <v>2604</v>
      </c>
      <c r="V520" s="71" t="s">
        <v>2618</v>
      </c>
    </row>
    <row r="521" spans="1:22">
      <c r="A521" s="71" t="s">
        <v>2659</v>
      </c>
      <c r="B521" s="71" t="s">
        <v>84</v>
      </c>
      <c r="C521" s="72">
        <v>46015.619318275465</v>
      </c>
      <c r="D521" s="72">
        <v>46015.619318275465</v>
      </c>
      <c r="E521" s="71" t="s">
        <v>365</v>
      </c>
      <c r="F521" s="71" t="s">
        <v>1027</v>
      </c>
      <c r="G521" s="71" t="s">
        <v>1028</v>
      </c>
      <c r="H521" s="71" t="s">
        <v>1026</v>
      </c>
      <c r="I521" s="71" t="s">
        <v>2604</v>
      </c>
      <c r="J521" s="71" t="s">
        <v>752</v>
      </c>
      <c r="K521" s="71" t="s">
        <v>2675</v>
      </c>
      <c r="L521" s="71" t="s">
        <v>2712</v>
      </c>
      <c r="M521" s="71" t="s">
        <v>3167</v>
      </c>
      <c r="N521" s="71" t="s">
        <v>2638</v>
      </c>
      <c r="O521" s="71" t="s">
        <v>2640</v>
      </c>
      <c r="P521" s="71" t="s">
        <v>2604</v>
      </c>
      <c r="Q521" s="71" t="s">
        <v>3168</v>
      </c>
      <c r="R521" s="71" t="s">
        <v>2604</v>
      </c>
      <c r="S521" s="71" t="s">
        <v>2604</v>
      </c>
      <c r="T521" s="71" t="s">
        <v>2604</v>
      </c>
      <c r="U521" s="71" t="s">
        <v>2604</v>
      </c>
      <c r="V521" s="71" t="s">
        <v>2604</v>
      </c>
    </row>
    <row r="522" spans="1:22">
      <c r="A522" s="71" t="s">
        <v>2659</v>
      </c>
      <c r="B522" s="71" t="s">
        <v>56</v>
      </c>
      <c r="C522" s="72">
        <v>45988.578998773148</v>
      </c>
      <c r="D522" s="72">
        <v>45988.578998773148</v>
      </c>
      <c r="E522" s="71" t="s">
        <v>365</v>
      </c>
      <c r="F522" s="71" t="s">
        <v>975</v>
      </c>
      <c r="G522" s="71" t="s">
        <v>976</v>
      </c>
      <c r="H522" s="71" t="s">
        <v>974</v>
      </c>
      <c r="I522" s="71" t="s">
        <v>2604</v>
      </c>
      <c r="J522" s="71" t="s">
        <v>744</v>
      </c>
      <c r="K522" s="71" t="s">
        <v>2665</v>
      </c>
      <c r="L522" s="71" t="s">
        <v>2666</v>
      </c>
      <c r="M522" s="71" t="s">
        <v>2671</v>
      </c>
      <c r="N522" s="71" t="s">
        <v>2794</v>
      </c>
      <c r="O522" s="71" t="s">
        <v>2640</v>
      </c>
      <c r="P522" s="71" t="s">
        <v>2604</v>
      </c>
      <c r="Q522" s="71" t="s">
        <v>2795</v>
      </c>
      <c r="R522" s="71" t="s">
        <v>2604</v>
      </c>
      <c r="S522" s="71" t="s">
        <v>2604</v>
      </c>
      <c r="T522" s="71" t="s">
        <v>2604</v>
      </c>
      <c r="U522" s="71" t="s">
        <v>2604</v>
      </c>
      <c r="V522" s="71" t="s">
        <v>2635</v>
      </c>
    </row>
    <row r="523" spans="1:22">
      <c r="A523" s="71" t="s">
        <v>2659</v>
      </c>
      <c r="B523" s="71" t="s">
        <v>56</v>
      </c>
      <c r="C523" s="72">
        <v>46083.583052546295</v>
      </c>
      <c r="D523" s="72">
        <v>46083.583052546295</v>
      </c>
      <c r="E523" s="71" t="s">
        <v>365</v>
      </c>
      <c r="F523" s="71" t="s">
        <v>1118</v>
      </c>
      <c r="G523" s="71" t="s">
        <v>1119</v>
      </c>
      <c r="H523" s="71" t="s">
        <v>1117</v>
      </c>
      <c r="I523" s="71" t="s">
        <v>2604</v>
      </c>
      <c r="J523" s="71" t="s">
        <v>744</v>
      </c>
      <c r="K523" s="71" t="s">
        <v>2665</v>
      </c>
      <c r="L523" s="71" t="s">
        <v>2821</v>
      </c>
      <c r="M523" s="71" t="s">
        <v>2671</v>
      </c>
      <c r="N523" s="71" t="s">
        <v>2990</v>
      </c>
      <c r="O523" s="71" t="s">
        <v>2640</v>
      </c>
      <c r="P523" s="71" t="s">
        <v>2604</v>
      </c>
      <c r="Q523" s="71" t="s">
        <v>2991</v>
      </c>
      <c r="R523" s="71" t="s">
        <v>2604</v>
      </c>
      <c r="S523" s="71" t="s">
        <v>2604</v>
      </c>
      <c r="T523" s="71" t="s">
        <v>2604</v>
      </c>
      <c r="U523" s="71" t="s">
        <v>2604</v>
      </c>
      <c r="V523" s="71" t="s">
        <v>2604</v>
      </c>
    </row>
    <row r="524" spans="1:22">
      <c r="A524" s="71" t="s">
        <v>2659</v>
      </c>
      <c r="B524" s="71" t="s">
        <v>2646</v>
      </c>
      <c r="C524" s="72">
        <v>45821.441679918978</v>
      </c>
      <c r="D524" s="72">
        <v>45821.441679918978</v>
      </c>
      <c r="E524" s="71" t="s">
        <v>365</v>
      </c>
      <c r="F524" s="71" t="s">
        <v>514</v>
      </c>
      <c r="G524" s="71" t="s">
        <v>2957</v>
      </c>
      <c r="H524" s="71" t="s">
        <v>513</v>
      </c>
      <c r="I524" s="71" t="s">
        <v>2604</v>
      </c>
      <c r="J524" s="71" t="s">
        <v>774</v>
      </c>
      <c r="K524" s="71" t="s">
        <v>2670</v>
      </c>
      <c r="L524" s="71" t="s">
        <v>2604</v>
      </c>
      <c r="M524" s="71" t="s">
        <v>2671</v>
      </c>
      <c r="N524" s="71" t="s">
        <v>2671</v>
      </c>
      <c r="O524" s="71" t="s">
        <v>2604</v>
      </c>
      <c r="P524" s="71" t="s">
        <v>2604</v>
      </c>
      <c r="Q524" s="71" t="s">
        <v>2958</v>
      </c>
      <c r="R524" s="71" t="s">
        <v>2604</v>
      </c>
      <c r="S524" s="71" t="s">
        <v>2604</v>
      </c>
      <c r="T524" s="71" t="s">
        <v>2604</v>
      </c>
      <c r="U524" s="71" t="s">
        <v>2604</v>
      </c>
      <c r="V524" s="71" t="s">
        <v>2657</v>
      </c>
    </row>
    <row r="525" spans="1:22">
      <c r="A525" s="71" t="s">
        <v>2659</v>
      </c>
      <c r="B525" s="71" t="s">
        <v>659</v>
      </c>
      <c r="C525" s="72">
        <v>45869.36627111111</v>
      </c>
      <c r="D525" s="72">
        <v>45869.36627111111</v>
      </c>
      <c r="E525" s="71" t="s">
        <v>473</v>
      </c>
      <c r="F525" s="71" t="s">
        <v>2748</v>
      </c>
      <c r="G525" s="71" t="s">
        <v>2749</v>
      </c>
      <c r="H525" s="71" t="s">
        <v>660</v>
      </c>
      <c r="I525" s="71" t="s">
        <v>2604</v>
      </c>
      <c r="J525" s="71" t="s">
        <v>1140</v>
      </c>
      <c r="K525" s="71" t="s">
        <v>2750</v>
      </c>
      <c r="L525" s="71" t="s">
        <v>2604</v>
      </c>
      <c r="M525" s="71" t="s">
        <v>2751</v>
      </c>
      <c r="N525" s="71" t="s">
        <v>2752</v>
      </c>
      <c r="O525" s="71" t="s">
        <v>2640</v>
      </c>
      <c r="P525" s="71" t="s">
        <v>2753</v>
      </c>
      <c r="Q525" s="71" t="s">
        <v>2754</v>
      </c>
      <c r="R525" s="71" t="s">
        <v>2604</v>
      </c>
      <c r="S525" s="71" t="s">
        <v>2604</v>
      </c>
      <c r="T525" s="71" t="s">
        <v>2604</v>
      </c>
      <c r="U525" s="71" t="s">
        <v>2604</v>
      </c>
      <c r="V525" s="71" t="s">
        <v>3234</v>
      </c>
    </row>
    <row r="526" spans="1:22">
      <c r="A526" s="71" t="s">
        <v>2659</v>
      </c>
      <c r="B526" s="71" t="s">
        <v>84</v>
      </c>
      <c r="C526" s="72">
        <v>45910.56182560185</v>
      </c>
      <c r="D526" s="72">
        <v>45910.56182560185</v>
      </c>
      <c r="E526" s="71" t="s">
        <v>473</v>
      </c>
      <c r="F526" s="71" t="s">
        <v>793</v>
      </c>
      <c r="G526" s="71" t="s">
        <v>3165</v>
      </c>
      <c r="H526" s="71" t="s">
        <v>792</v>
      </c>
      <c r="I526" s="71" t="s">
        <v>2604</v>
      </c>
      <c r="J526" s="71" t="s">
        <v>744</v>
      </c>
      <c r="K526" s="71" t="s">
        <v>2665</v>
      </c>
      <c r="L526" s="71" t="s">
        <v>2704</v>
      </c>
      <c r="M526" s="71" t="s">
        <v>2671</v>
      </c>
      <c r="N526" s="71" t="s">
        <v>2671</v>
      </c>
      <c r="O526" s="71" t="s">
        <v>2640</v>
      </c>
      <c r="P526" s="71" t="s">
        <v>2604</v>
      </c>
      <c r="Q526" s="71" t="s">
        <v>3166</v>
      </c>
      <c r="R526" s="71" t="s">
        <v>2604</v>
      </c>
      <c r="S526" s="71" t="s">
        <v>2604</v>
      </c>
      <c r="T526" s="71" t="s">
        <v>2604</v>
      </c>
      <c r="U526" s="71" t="s">
        <v>2604</v>
      </c>
      <c r="V526" s="71" t="s">
        <v>2635</v>
      </c>
    </row>
    <row r="527" spans="1:22">
      <c r="A527" s="71" t="s">
        <v>2659</v>
      </c>
      <c r="B527" s="71" t="s">
        <v>2646</v>
      </c>
      <c r="C527" s="72">
        <v>45826.598249976851</v>
      </c>
      <c r="D527" s="72">
        <v>45826.598249976851</v>
      </c>
      <c r="E527" s="71" t="s">
        <v>365</v>
      </c>
      <c r="F527" s="71" t="s">
        <v>524</v>
      </c>
      <c r="G527" s="71" t="s">
        <v>525</v>
      </c>
      <c r="H527" s="71" t="s">
        <v>523</v>
      </c>
      <c r="I527" s="71" t="s">
        <v>2604</v>
      </c>
      <c r="J527" s="71" t="s">
        <v>774</v>
      </c>
      <c r="K527" s="71" t="s">
        <v>2660</v>
      </c>
      <c r="L527" s="71" t="s">
        <v>2604</v>
      </c>
      <c r="M527" s="71" t="s">
        <v>2928</v>
      </c>
      <c r="N527" s="71" t="s">
        <v>3052</v>
      </c>
      <c r="O527" s="71" t="s">
        <v>2692</v>
      </c>
      <c r="P527" s="71" t="s">
        <v>2604</v>
      </c>
      <c r="Q527" s="71" t="s">
        <v>3053</v>
      </c>
      <c r="R527" s="71" t="s">
        <v>2604</v>
      </c>
      <c r="S527" s="71" t="s">
        <v>2604</v>
      </c>
      <c r="T527" s="71" t="s">
        <v>2604</v>
      </c>
      <c r="U527" s="71" t="s">
        <v>2604</v>
      </c>
      <c r="V527" s="71" t="s">
        <v>2655</v>
      </c>
    </row>
    <row r="528" spans="1:22">
      <c r="A528" s="71" t="s">
        <v>2659</v>
      </c>
      <c r="B528" s="71" t="s">
        <v>84</v>
      </c>
      <c r="C528" s="72">
        <v>45855.98915927083</v>
      </c>
      <c r="D528" s="72">
        <v>45855.98915927083</v>
      </c>
      <c r="E528" s="71" t="s">
        <v>380</v>
      </c>
      <c r="F528" s="71" t="s">
        <v>2978</v>
      </c>
      <c r="G528" s="71" t="s">
        <v>2979</v>
      </c>
      <c r="H528" s="71" t="s">
        <v>577</v>
      </c>
      <c r="I528" s="71" t="s">
        <v>2604</v>
      </c>
      <c r="J528" s="71" t="s">
        <v>774</v>
      </c>
      <c r="K528" s="71" t="s">
        <v>2670</v>
      </c>
      <c r="L528" s="71" t="s">
        <v>2604</v>
      </c>
      <c r="M528" s="71" t="s">
        <v>2671</v>
      </c>
      <c r="N528" s="71" t="s">
        <v>2980</v>
      </c>
      <c r="O528" s="71" t="s">
        <v>2640</v>
      </c>
      <c r="P528" s="71" t="s">
        <v>2604</v>
      </c>
      <c r="Q528" s="71" t="s">
        <v>2981</v>
      </c>
      <c r="R528" s="71" t="s">
        <v>2604</v>
      </c>
      <c r="S528" s="71" t="s">
        <v>2604</v>
      </c>
      <c r="T528" s="71" t="s">
        <v>2604</v>
      </c>
      <c r="U528" s="71" t="s">
        <v>2604</v>
      </c>
      <c r="V528" s="71" t="s">
        <v>2635</v>
      </c>
    </row>
    <row r="529" spans="1:22">
      <c r="A529" s="71" t="s">
        <v>2659</v>
      </c>
      <c r="B529" s="71" t="s">
        <v>56</v>
      </c>
      <c r="C529" s="72">
        <v>45929.670792592595</v>
      </c>
      <c r="D529" s="72">
        <v>45929.670792592595</v>
      </c>
      <c r="E529" s="71" t="s">
        <v>365</v>
      </c>
      <c r="F529" s="71" t="s">
        <v>1011</v>
      </c>
      <c r="G529" s="71" t="s">
        <v>1012</v>
      </c>
      <c r="H529" s="71" t="s">
        <v>1010</v>
      </c>
      <c r="I529" s="71" t="s">
        <v>2604</v>
      </c>
      <c r="J529" s="71" t="s">
        <v>774</v>
      </c>
      <c r="K529" s="71" t="s">
        <v>2779</v>
      </c>
      <c r="L529" s="71" t="s">
        <v>2604</v>
      </c>
      <c r="M529" s="71" t="s">
        <v>2774</v>
      </c>
      <c r="N529" s="71" t="s">
        <v>2780</v>
      </c>
      <c r="O529" s="71" t="s">
        <v>2640</v>
      </c>
      <c r="P529" s="71" t="s">
        <v>2604</v>
      </c>
      <c r="Q529" s="71" t="s">
        <v>2781</v>
      </c>
      <c r="R529" s="71" t="s">
        <v>2604</v>
      </c>
      <c r="S529" s="71" t="s">
        <v>2604</v>
      </c>
      <c r="T529" s="71" t="s">
        <v>2604</v>
      </c>
      <c r="U529" s="71" t="s">
        <v>2604</v>
      </c>
      <c r="V529" s="71" t="s">
        <v>2635</v>
      </c>
    </row>
    <row r="530" spans="1:22">
      <c r="A530" s="71" t="s">
        <v>2659</v>
      </c>
      <c r="B530" s="71" t="s">
        <v>56</v>
      </c>
      <c r="C530" s="72">
        <v>46009.656195578704</v>
      </c>
      <c r="D530" s="72">
        <v>46009.656195578704</v>
      </c>
      <c r="E530" s="71" t="s">
        <v>135</v>
      </c>
      <c r="F530" s="71" t="s">
        <v>1014</v>
      </c>
      <c r="G530" s="71" t="s">
        <v>1015</v>
      </c>
      <c r="H530" s="71" t="s">
        <v>1013</v>
      </c>
      <c r="I530" s="71" t="s">
        <v>2604</v>
      </c>
      <c r="J530" s="71" t="s">
        <v>813</v>
      </c>
      <c r="K530" s="71" t="s">
        <v>2648</v>
      </c>
      <c r="L530" s="71" t="s">
        <v>2649</v>
      </c>
      <c r="M530" s="71" t="s">
        <v>2726</v>
      </c>
      <c r="N530" s="71" t="s">
        <v>2726</v>
      </c>
      <c r="O530" s="71" t="s">
        <v>2640</v>
      </c>
      <c r="P530" s="71" t="s">
        <v>2604</v>
      </c>
      <c r="Q530" s="71" t="s">
        <v>3133</v>
      </c>
      <c r="R530" s="71" t="s">
        <v>2604</v>
      </c>
      <c r="S530" s="71" t="s">
        <v>2604</v>
      </c>
      <c r="T530" s="71" t="s">
        <v>2604</v>
      </c>
      <c r="U530" s="71" t="s">
        <v>2604</v>
      </c>
      <c r="V530" s="71" t="s">
        <v>2635</v>
      </c>
    </row>
    <row r="531" spans="1:22">
      <c r="A531" s="71" t="s">
        <v>2659</v>
      </c>
      <c r="B531" s="71" t="s">
        <v>659</v>
      </c>
      <c r="C531" s="72">
        <v>45911.606232534723</v>
      </c>
      <c r="D531" s="72">
        <v>45911.606232534723</v>
      </c>
      <c r="E531" s="71" t="s">
        <v>135</v>
      </c>
      <c r="F531" s="71" t="s">
        <v>799</v>
      </c>
      <c r="G531" s="71" t="s">
        <v>3227</v>
      </c>
      <c r="H531" s="71" t="s">
        <v>798</v>
      </c>
      <c r="I531" s="71" t="s">
        <v>2604</v>
      </c>
      <c r="J531" s="71" t="s">
        <v>744</v>
      </c>
      <c r="K531" s="71" t="s">
        <v>2665</v>
      </c>
      <c r="L531" s="71" t="s">
        <v>2666</v>
      </c>
      <c r="M531" s="71" t="s">
        <v>2671</v>
      </c>
      <c r="N531" s="71" t="s">
        <v>2671</v>
      </c>
      <c r="O531" s="71" t="s">
        <v>2640</v>
      </c>
      <c r="P531" s="71" t="s">
        <v>2604</v>
      </c>
      <c r="Q531" s="71" t="s">
        <v>3228</v>
      </c>
      <c r="R531" s="71" t="s">
        <v>2604</v>
      </c>
      <c r="S531" s="71" t="s">
        <v>2604</v>
      </c>
      <c r="T531" s="71" t="s">
        <v>2604</v>
      </c>
      <c r="U531" s="71" t="s">
        <v>2604</v>
      </c>
      <c r="V531" s="71" t="s">
        <v>2604</v>
      </c>
    </row>
    <row r="532" spans="1:22">
      <c r="A532" s="71" t="s">
        <v>2659</v>
      </c>
      <c r="B532" s="71" t="s">
        <v>84</v>
      </c>
      <c r="C532" s="72">
        <v>45962.539066701385</v>
      </c>
      <c r="D532" s="72">
        <v>45962.539066701385</v>
      </c>
      <c r="E532" s="71" t="s">
        <v>365</v>
      </c>
      <c r="F532" s="71" t="s">
        <v>918</v>
      </c>
      <c r="G532" s="71" t="s">
        <v>919</v>
      </c>
      <c r="H532" s="71" t="s">
        <v>917</v>
      </c>
      <c r="I532" s="71" t="s">
        <v>2604</v>
      </c>
      <c r="J532" s="71" t="s">
        <v>744</v>
      </c>
      <c r="K532" s="71" t="s">
        <v>2665</v>
      </c>
      <c r="L532" s="71" t="s">
        <v>2821</v>
      </c>
      <c r="M532" s="71" t="s">
        <v>2671</v>
      </c>
      <c r="N532" s="71" t="s">
        <v>3190</v>
      </c>
      <c r="O532" s="71" t="s">
        <v>2640</v>
      </c>
      <c r="P532" s="71" t="s">
        <v>2604</v>
      </c>
      <c r="Q532" s="71" t="s">
        <v>3191</v>
      </c>
      <c r="R532" s="71" t="s">
        <v>2604</v>
      </c>
      <c r="S532" s="71" t="s">
        <v>2604</v>
      </c>
      <c r="T532" s="71" t="s">
        <v>2604</v>
      </c>
      <c r="U532" s="71" t="s">
        <v>2604</v>
      </c>
      <c r="V532" s="71" t="s">
        <v>2604</v>
      </c>
    </row>
    <row r="533" spans="1:22">
      <c r="A533" s="71" t="s">
        <v>2659</v>
      </c>
      <c r="B533" s="71" t="s">
        <v>724</v>
      </c>
      <c r="C533" s="72">
        <v>45956.857454189812</v>
      </c>
      <c r="D533" s="72">
        <v>45956.857454189812</v>
      </c>
      <c r="E533" s="71" t="s">
        <v>365</v>
      </c>
      <c r="F533" s="71" t="s">
        <v>900</v>
      </c>
      <c r="G533" s="71" t="s">
        <v>3235</v>
      </c>
      <c r="H533" s="71" t="s">
        <v>3236</v>
      </c>
      <c r="I533" s="71" t="s">
        <v>2604</v>
      </c>
      <c r="J533" s="71" t="s">
        <v>744</v>
      </c>
      <c r="K533" s="71" t="s">
        <v>2665</v>
      </c>
      <c r="L533" s="71" t="s">
        <v>2666</v>
      </c>
      <c r="M533" s="71" t="s">
        <v>2671</v>
      </c>
      <c r="N533" s="71" t="s">
        <v>3237</v>
      </c>
      <c r="O533" s="71" t="s">
        <v>2640</v>
      </c>
      <c r="P533" s="71" t="s">
        <v>2604</v>
      </c>
      <c r="Q533" s="71" t="s">
        <v>3238</v>
      </c>
      <c r="R533" s="71" t="s">
        <v>2604</v>
      </c>
      <c r="S533" s="71" t="s">
        <v>2604</v>
      </c>
      <c r="T533" s="71" t="s">
        <v>2604</v>
      </c>
      <c r="U533" s="71" t="s">
        <v>2604</v>
      </c>
      <c r="V533" s="71" t="s">
        <v>2604</v>
      </c>
    </row>
    <row r="534" spans="1:22">
      <c r="A534" s="71" t="s">
        <v>2659</v>
      </c>
      <c r="B534" s="71" t="s">
        <v>84</v>
      </c>
      <c r="C534" s="72">
        <v>45988.516852824076</v>
      </c>
      <c r="D534" s="72">
        <v>45988.516852824076</v>
      </c>
      <c r="E534" s="71" t="s">
        <v>365</v>
      </c>
      <c r="F534" s="71" t="s">
        <v>924</v>
      </c>
      <c r="G534" s="71" t="s">
        <v>973</v>
      </c>
      <c r="H534" s="71" t="s">
        <v>972</v>
      </c>
      <c r="I534" s="71" t="s">
        <v>2604</v>
      </c>
      <c r="J534" s="71" t="s">
        <v>744</v>
      </c>
      <c r="K534" s="71" t="s">
        <v>2665</v>
      </c>
      <c r="L534" s="71" t="s">
        <v>2666</v>
      </c>
      <c r="M534" s="71" t="s">
        <v>2671</v>
      </c>
      <c r="N534" s="71" t="s">
        <v>3059</v>
      </c>
      <c r="O534" s="71" t="s">
        <v>2640</v>
      </c>
      <c r="P534" s="71" t="s">
        <v>2604</v>
      </c>
      <c r="Q534" s="71" t="s">
        <v>3060</v>
      </c>
      <c r="R534" s="71" t="s">
        <v>2604</v>
      </c>
      <c r="S534" s="71" t="s">
        <v>2604</v>
      </c>
      <c r="T534" s="71" t="s">
        <v>2604</v>
      </c>
      <c r="U534" s="71" t="s">
        <v>2604</v>
      </c>
      <c r="V534" s="71" t="s">
        <v>2635</v>
      </c>
    </row>
    <row r="535" spans="1:22">
      <c r="A535" s="71" t="s">
        <v>2659</v>
      </c>
      <c r="B535" s="71" t="s">
        <v>2646</v>
      </c>
      <c r="C535" s="72">
        <v>45786.463136562503</v>
      </c>
      <c r="D535" s="72">
        <v>45786.463136562503</v>
      </c>
      <c r="E535" s="71" t="s">
        <v>365</v>
      </c>
      <c r="F535" s="71" t="s">
        <v>452</v>
      </c>
      <c r="G535" s="71" t="s">
        <v>453</v>
      </c>
      <c r="H535" s="71" t="s">
        <v>451</v>
      </c>
      <c r="I535" s="71" t="s">
        <v>2604</v>
      </c>
      <c r="J535" s="71" t="s">
        <v>752</v>
      </c>
      <c r="K535" s="71" t="s">
        <v>2723</v>
      </c>
      <c r="L535" s="71" t="s">
        <v>2665</v>
      </c>
      <c r="M535" s="71" t="s">
        <v>2999</v>
      </c>
      <c r="N535" s="71" t="s">
        <v>3000</v>
      </c>
      <c r="O535" s="71" t="s">
        <v>2692</v>
      </c>
      <c r="P535" s="71" t="s">
        <v>2604</v>
      </c>
      <c r="Q535" s="71" t="s">
        <v>3001</v>
      </c>
      <c r="R535" s="71" t="s">
        <v>2604</v>
      </c>
      <c r="S535" s="71" t="s">
        <v>2604</v>
      </c>
      <c r="T535" s="71" t="s">
        <v>2604</v>
      </c>
      <c r="U535" s="71" t="s">
        <v>2604</v>
      </c>
      <c r="V535" s="71" t="s">
        <v>2658</v>
      </c>
    </row>
    <row r="536" spans="1:22">
      <c r="A536" s="71" t="s">
        <v>2659</v>
      </c>
      <c r="B536" s="71" t="s">
        <v>56</v>
      </c>
      <c r="C536" s="72">
        <v>45978.813276423614</v>
      </c>
      <c r="D536" s="72">
        <v>45978.813276423614</v>
      </c>
      <c r="E536" s="71" t="s">
        <v>365</v>
      </c>
      <c r="F536" s="71" t="s">
        <v>958</v>
      </c>
      <c r="G536" s="71" t="s">
        <v>959</v>
      </c>
      <c r="H536" s="71" t="s">
        <v>957</v>
      </c>
      <c r="I536" s="71" t="s">
        <v>2604</v>
      </c>
      <c r="J536" s="71" t="s">
        <v>774</v>
      </c>
      <c r="K536" s="71" t="s">
        <v>2779</v>
      </c>
      <c r="L536" s="71" t="s">
        <v>2604</v>
      </c>
      <c r="M536" s="71" t="s">
        <v>3008</v>
      </c>
      <c r="N536" s="71" t="s">
        <v>3008</v>
      </c>
      <c r="O536" s="71" t="s">
        <v>2640</v>
      </c>
      <c r="P536" s="71" t="s">
        <v>2604</v>
      </c>
      <c r="Q536" s="71" t="s">
        <v>3009</v>
      </c>
      <c r="R536" s="71" t="s">
        <v>2604</v>
      </c>
      <c r="S536" s="71" t="s">
        <v>2604</v>
      </c>
      <c r="T536" s="71" t="s">
        <v>2604</v>
      </c>
      <c r="U536" s="71" t="s">
        <v>2604</v>
      </c>
      <c r="V536" s="71" t="s">
        <v>2664</v>
      </c>
    </row>
    <row r="537" spans="1:22">
      <c r="A537" s="71" t="s">
        <v>2659</v>
      </c>
      <c r="B537" s="71" t="s">
        <v>84</v>
      </c>
      <c r="C537" s="72">
        <v>45908.722410682873</v>
      </c>
      <c r="D537" s="72">
        <v>45908.722410682873</v>
      </c>
      <c r="E537" s="71" t="s">
        <v>365</v>
      </c>
      <c r="F537" s="71" t="s">
        <v>785</v>
      </c>
      <c r="G537" s="71" t="s">
        <v>786</v>
      </c>
      <c r="H537" s="71" t="s">
        <v>784</v>
      </c>
      <c r="I537" s="71" t="s">
        <v>2604</v>
      </c>
      <c r="J537" s="71" t="s">
        <v>744</v>
      </c>
      <c r="K537" s="71" t="s">
        <v>2665</v>
      </c>
      <c r="L537" s="71" t="s">
        <v>2821</v>
      </c>
      <c r="M537" s="71" t="s">
        <v>2671</v>
      </c>
      <c r="N537" s="71" t="s">
        <v>3112</v>
      </c>
      <c r="O537" s="71" t="s">
        <v>2640</v>
      </c>
      <c r="P537" s="71" t="s">
        <v>2604</v>
      </c>
      <c r="Q537" s="71" t="s">
        <v>3113</v>
      </c>
      <c r="R537" s="71" t="s">
        <v>2604</v>
      </c>
      <c r="S537" s="71" t="s">
        <v>2604</v>
      </c>
      <c r="T537" s="71" t="s">
        <v>2604</v>
      </c>
      <c r="U537" s="71" t="s">
        <v>2604</v>
      </c>
      <c r="V537" s="71" t="s">
        <v>2604</v>
      </c>
    </row>
    <row r="538" spans="1:22">
      <c r="A538" s="71" t="s">
        <v>2659</v>
      </c>
      <c r="B538" s="71" t="s">
        <v>724</v>
      </c>
      <c r="C538" s="72">
        <v>45956.857454189812</v>
      </c>
      <c r="D538" s="72">
        <v>45956.857454189812</v>
      </c>
      <c r="E538" s="71" t="s">
        <v>365</v>
      </c>
      <c r="F538" s="71" t="s">
        <v>900</v>
      </c>
      <c r="G538" s="71" t="s">
        <v>3235</v>
      </c>
      <c r="H538" s="71" t="s">
        <v>3236</v>
      </c>
      <c r="I538" s="71" t="s">
        <v>2604</v>
      </c>
      <c r="J538" s="71" t="s">
        <v>744</v>
      </c>
      <c r="K538" s="71" t="s">
        <v>2665</v>
      </c>
      <c r="L538" s="71" t="s">
        <v>2666</v>
      </c>
      <c r="M538" s="71" t="s">
        <v>2671</v>
      </c>
      <c r="N538" s="71" t="s">
        <v>3237</v>
      </c>
      <c r="O538" s="71" t="s">
        <v>2640</v>
      </c>
      <c r="P538" s="71" t="s">
        <v>2604</v>
      </c>
      <c r="Q538" s="71" t="s">
        <v>3238</v>
      </c>
      <c r="R538" s="71" t="s">
        <v>2604</v>
      </c>
      <c r="S538" s="71" t="s">
        <v>2604</v>
      </c>
      <c r="T538" s="71" t="s">
        <v>2604</v>
      </c>
      <c r="U538" s="71" t="s">
        <v>2604</v>
      </c>
      <c r="V538" s="71" t="s">
        <v>2635</v>
      </c>
    </row>
    <row r="539" spans="1:22">
      <c r="A539" s="71" t="s">
        <v>2659</v>
      </c>
      <c r="B539" s="71" t="s">
        <v>84</v>
      </c>
      <c r="C539" s="72">
        <v>46043.463382337963</v>
      </c>
      <c r="D539" s="72">
        <v>46043.463382337963</v>
      </c>
      <c r="E539" s="71" t="s">
        <v>135</v>
      </c>
      <c r="F539" s="71" t="s">
        <v>1046</v>
      </c>
      <c r="G539" s="71" t="s">
        <v>1047</v>
      </c>
      <c r="H539" s="71" t="s">
        <v>1045</v>
      </c>
      <c r="I539" s="71" t="s">
        <v>2604</v>
      </c>
      <c r="J539" s="71" t="s">
        <v>744</v>
      </c>
      <c r="K539" s="71" t="s">
        <v>2665</v>
      </c>
      <c r="L539" s="71" t="s">
        <v>2821</v>
      </c>
      <c r="M539" s="71" t="s">
        <v>2928</v>
      </c>
      <c r="N539" s="71" t="s">
        <v>3146</v>
      </c>
      <c r="O539" s="71" t="s">
        <v>2640</v>
      </c>
      <c r="P539" s="71" t="s">
        <v>2604</v>
      </c>
      <c r="Q539" s="71" t="s">
        <v>3147</v>
      </c>
      <c r="R539" s="71" t="s">
        <v>2604</v>
      </c>
      <c r="S539" s="71" t="s">
        <v>2604</v>
      </c>
      <c r="T539" s="71" t="s">
        <v>2604</v>
      </c>
      <c r="U539" s="71" t="s">
        <v>2604</v>
      </c>
      <c r="V539" s="71" t="s">
        <v>2664</v>
      </c>
    </row>
    <row r="540" spans="1:22">
      <c r="A540" s="71" t="s">
        <v>2659</v>
      </c>
      <c r="B540" s="71" t="s">
        <v>56</v>
      </c>
      <c r="C540" s="72">
        <v>45959.759778692132</v>
      </c>
      <c r="D540" s="72">
        <v>45959.759778692132</v>
      </c>
      <c r="E540" s="71" t="s">
        <v>365</v>
      </c>
      <c r="F540" s="71" t="s">
        <v>912</v>
      </c>
      <c r="G540" s="71" t="s">
        <v>913</v>
      </c>
      <c r="H540" s="71" t="s">
        <v>911</v>
      </c>
      <c r="I540" s="71" t="s">
        <v>2604</v>
      </c>
      <c r="J540" s="71" t="s">
        <v>774</v>
      </c>
      <c r="K540" s="71" t="s">
        <v>2670</v>
      </c>
      <c r="L540" s="71" t="s">
        <v>2604</v>
      </c>
      <c r="M540" s="71" t="s">
        <v>2671</v>
      </c>
      <c r="N540" s="71" t="s">
        <v>2803</v>
      </c>
      <c r="O540" s="71" t="s">
        <v>2640</v>
      </c>
      <c r="P540" s="71" t="s">
        <v>2604</v>
      </c>
      <c r="Q540" s="71" t="s">
        <v>2804</v>
      </c>
      <c r="R540" s="71" t="s">
        <v>2604</v>
      </c>
      <c r="S540" s="71" t="s">
        <v>2604</v>
      </c>
      <c r="T540" s="71" t="s">
        <v>2604</v>
      </c>
      <c r="U540" s="71" t="s">
        <v>2604</v>
      </c>
      <c r="V540" s="71" t="s">
        <v>2635</v>
      </c>
    </row>
    <row r="541" spans="1:22">
      <c r="A541" s="71" t="s">
        <v>2659</v>
      </c>
      <c r="B541" s="71" t="s">
        <v>84</v>
      </c>
      <c r="C541" s="72">
        <v>45895.283172662035</v>
      </c>
      <c r="D541" s="72">
        <v>45895.283172662035</v>
      </c>
      <c r="E541" s="71" t="s">
        <v>365</v>
      </c>
      <c r="F541" s="71" t="s">
        <v>734</v>
      </c>
      <c r="G541" s="71" t="s">
        <v>735</v>
      </c>
      <c r="H541" s="71" t="s">
        <v>733</v>
      </c>
      <c r="I541" s="71" t="s">
        <v>2604</v>
      </c>
      <c r="J541" s="71" t="s">
        <v>744</v>
      </c>
      <c r="K541" s="71" t="s">
        <v>2665</v>
      </c>
      <c r="L541" s="71" t="s">
        <v>2666</v>
      </c>
      <c r="M541" s="71" t="s">
        <v>2671</v>
      </c>
      <c r="N541" s="71" t="s">
        <v>2928</v>
      </c>
      <c r="O541" s="71" t="s">
        <v>2640</v>
      </c>
      <c r="P541" s="71" t="s">
        <v>2604</v>
      </c>
      <c r="Q541" s="71" t="s">
        <v>3061</v>
      </c>
      <c r="R541" s="71" t="s">
        <v>2604</v>
      </c>
      <c r="S541" s="71" t="s">
        <v>2604</v>
      </c>
      <c r="T541" s="71" t="s">
        <v>2604</v>
      </c>
      <c r="U541" s="71" t="s">
        <v>2604</v>
      </c>
      <c r="V541" s="71" t="s">
        <v>2635</v>
      </c>
    </row>
    <row r="542" spans="1:22">
      <c r="A542" s="71" t="s">
        <v>2659</v>
      </c>
      <c r="B542" s="71" t="s">
        <v>2646</v>
      </c>
      <c r="C542" s="72">
        <v>45799.663781481482</v>
      </c>
      <c r="D542" s="72">
        <v>45799.663781481482</v>
      </c>
      <c r="E542" s="71" t="s">
        <v>380</v>
      </c>
      <c r="F542" s="71" t="s">
        <v>479</v>
      </c>
      <c r="G542" s="71" t="s">
        <v>480</v>
      </c>
      <c r="H542" s="71" t="s">
        <v>478</v>
      </c>
      <c r="I542" s="71" t="s">
        <v>2604</v>
      </c>
      <c r="J542" s="71" t="s">
        <v>774</v>
      </c>
      <c r="K542" s="71" t="s">
        <v>2670</v>
      </c>
      <c r="L542" s="71" t="s">
        <v>2604</v>
      </c>
      <c r="M542" s="71" t="s">
        <v>2671</v>
      </c>
      <c r="N542" s="71" t="s">
        <v>2928</v>
      </c>
      <c r="O542" s="71" t="s">
        <v>2692</v>
      </c>
      <c r="P542" s="71" t="s">
        <v>2604</v>
      </c>
      <c r="Q542" s="71" t="s">
        <v>2959</v>
      </c>
      <c r="R542" s="71" t="s">
        <v>2604</v>
      </c>
      <c r="S542" s="71" t="s">
        <v>2604</v>
      </c>
      <c r="T542" s="71" t="s">
        <v>2604</v>
      </c>
      <c r="U542" s="71" t="s">
        <v>2604</v>
      </c>
      <c r="V542" s="71" t="s">
        <v>2635</v>
      </c>
    </row>
    <row r="543" spans="1:22">
      <c r="A543" s="71" t="s">
        <v>2659</v>
      </c>
      <c r="B543" s="71" t="s">
        <v>56</v>
      </c>
      <c r="C543" s="72">
        <v>46014.804086956021</v>
      </c>
      <c r="D543" s="72">
        <v>46014.804086956021</v>
      </c>
      <c r="E543" s="71" t="s">
        <v>380</v>
      </c>
      <c r="F543" s="71" t="s">
        <v>1023</v>
      </c>
      <c r="G543" s="71" t="s">
        <v>1024</v>
      </c>
      <c r="H543" s="71" t="s">
        <v>1022</v>
      </c>
      <c r="I543" s="71" t="s">
        <v>2604</v>
      </c>
      <c r="J543" s="71" t="s">
        <v>744</v>
      </c>
      <c r="K543" s="71" t="s">
        <v>2665</v>
      </c>
      <c r="L543" s="71" t="s">
        <v>2666</v>
      </c>
      <c r="M543" s="71" t="s">
        <v>2671</v>
      </c>
      <c r="N543" s="71" t="s">
        <v>2671</v>
      </c>
      <c r="O543" s="71" t="s">
        <v>2640</v>
      </c>
      <c r="P543" s="71" t="s">
        <v>2604</v>
      </c>
      <c r="Q543" s="71" t="s">
        <v>3239</v>
      </c>
      <c r="R543" s="71" t="s">
        <v>2604</v>
      </c>
      <c r="S543" s="71" t="s">
        <v>2604</v>
      </c>
      <c r="T543" s="71" t="s">
        <v>2604</v>
      </c>
      <c r="U543" s="71" t="s">
        <v>2604</v>
      </c>
      <c r="V543" s="71" t="s">
        <v>2635</v>
      </c>
    </row>
    <row r="544" spans="1:22">
      <c r="A544" s="71" t="s">
        <v>2659</v>
      </c>
      <c r="B544" s="71" t="s">
        <v>84</v>
      </c>
      <c r="C544" s="72">
        <v>45852.387783368053</v>
      </c>
      <c r="D544" s="72">
        <v>45852.387783368053</v>
      </c>
      <c r="E544" s="71" t="s">
        <v>365</v>
      </c>
      <c r="F544" s="71" t="s">
        <v>552</v>
      </c>
      <c r="G544" s="71" t="s">
        <v>553</v>
      </c>
      <c r="H544" s="71" t="s">
        <v>551</v>
      </c>
      <c r="I544" s="71" t="s">
        <v>2604</v>
      </c>
      <c r="J544" s="71" t="s">
        <v>774</v>
      </c>
      <c r="K544" s="71" t="s">
        <v>2670</v>
      </c>
      <c r="L544" s="71" t="s">
        <v>2604</v>
      </c>
      <c r="M544" s="71" t="s">
        <v>2671</v>
      </c>
      <c r="N544" s="71" t="s">
        <v>3240</v>
      </c>
      <c r="O544" s="71" t="s">
        <v>2640</v>
      </c>
      <c r="P544" s="71" t="s">
        <v>2604</v>
      </c>
      <c r="Q544" s="71" t="s">
        <v>3241</v>
      </c>
      <c r="R544" s="71" t="s">
        <v>2604</v>
      </c>
      <c r="S544" s="71" t="s">
        <v>2604</v>
      </c>
      <c r="T544" s="71" t="s">
        <v>2604</v>
      </c>
      <c r="U544" s="71" t="s">
        <v>2604</v>
      </c>
      <c r="V544" s="71" t="s">
        <v>2604</v>
      </c>
    </row>
    <row r="545" spans="1:22">
      <c r="A545" s="71" t="s">
        <v>2659</v>
      </c>
      <c r="B545" s="71" t="s">
        <v>56</v>
      </c>
      <c r="C545" s="72">
        <v>45854.417784583333</v>
      </c>
      <c r="D545" s="72">
        <v>45854.417784583333</v>
      </c>
      <c r="E545" s="71" t="s">
        <v>380</v>
      </c>
      <c r="F545" s="71" t="s">
        <v>3062</v>
      </c>
      <c r="G545" s="71" t="s">
        <v>3063</v>
      </c>
      <c r="H545" s="71" t="s">
        <v>565</v>
      </c>
      <c r="I545" s="71" t="s">
        <v>2604</v>
      </c>
      <c r="J545" s="71" t="s">
        <v>774</v>
      </c>
      <c r="K545" s="71" t="s">
        <v>2670</v>
      </c>
      <c r="L545" s="71" t="s">
        <v>2604</v>
      </c>
      <c r="M545" s="71" t="s">
        <v>2671</v>
      </c>
      <c r="N545" s="71" t="s">
        <v>3064</v>
      </c>
      <c r="O545" s="71" t="s">
        <v>2640</v>
      </c>
      <c r="P545" s="71" t="s">
        <v>2604</v>
      </c>
      <c r="Q545" s="71" t="s">
        <v>3065</v>
      </c>
      <c r="R545" s="71" t="s">
        <v>2604</v>
      </c>
      <c r="S545" s="71" t="s">
        <v>2604</v>
      </c>
      <c r="T545" s="71" t="s">
        <v>2604</v>
      </c>
      <c r="U545" s="71" t="s">
        <v>2604</v>
      </c>
      <c r="V545" s="71" t="s">
        <v>2635</v>
      </c>
    </row>
    <row r="546" spans="1:22">
      <c r="A546" s="71" t="s">
        <v>2659</v>
      </c>
      <c r="B546" s="71" t="s">
        <v>2646</v>
      </c>
      <c r="C546" s="72">
        <v>45824.613438009263</v>
      </c>
      <c r="D546" s="72">
        <v>45824.613438009263</v>
      </c>
      <c r="E546" s="71" t="s">
        <v>135</v>
      </c>
      <c r="F546" s="71" t="s">
        <v>517</v>
      </c>
      <c r="G546" s="71" t="s">
        <v>3206</v>
      </c>
      <c r="H546" s="71" t="s">
        <v>516</v>
      </c>
      <c r="I546" s="71" t="s">
        <v>2604</v>
      </c>
      <c r="J546" s="71" t="s">
        <v>774</v>
      </c>
      <c r="K546" s="71" t="s">
        <v>3207</v>
      </c>
      <c r="L546" s="71" t="s">
        <v>2604</v>
      </c>
      <c r="M546" s="71" t="s">
        <v>2848</v>
      </c>
      <c r="N546" s="71" t="s">
        <v>2763</v>
      </c>
      <c r="O546" s="71" t="s">
        <v>2692</v>
      </c>
      <c r="P546" s="71" t="s">
        <v>2604</v>
      </c>
      <c r="Q546" s="71" t="s">
        <v>3208</v>
      </c>
      <c r="R546" s="71" t="s">
        <v>2604</v>
      </c>
      <c r="S546" s="71" t="s">
        <v>2604</v>
      </c>
      <c r="T546" s="71" t="s">
        <v>2604</v>
      </c>
      <c r="U546" s="71" t="s">
        <v>2604</v>
      </c>
      <c r="V546" s="71" t="s">
        <v>2655</v>
      </c>
    </row>
    <row r="547" spans="1:22">
      <c r="A547" s="71" t="s">
        <v>2659</v>
      </c>
      <c r="B547" s="71" t="s">
        <v>724</v>
      </c>
      <c r="C547" s="72">
        <v>46030.648131018519</v>
      </c>
      <c r="D547" s="72">
        <v>46030.648131018519</v>
      </c>
      <c r="E547" s="71" t="s">
        <v>135</v>
      </c>
      <c r="F547" s="71" t="s">
        <v>1030</v>
      </c>
      <c r="G547" s="71" t="s">
        <v>1031</v>
      </c>
      <c r="H547" s="71" t="s">
        <v>1029</v>
      </c>
      <c r="I547" s="71" t="s">
        <v>2604</v>
      </c>
      <c r="J547" s="71" t="s">
        <v>744</v>
      </c>
      <c r="K547" s="71" t="s">
        <v>2665</v>
      </c>
      <c r="L547" s="71" t="s">
        <v>2704</v>
      </c>
      <c r="M547" s="71" t="s">
        <v>2988</v>
      </c>
      <c r="N547" s="71" t="s">
        <v>2840</v>
      </c>
      <c r="O547" s="71" t="s">
        <v>2640</v>
      </c>
      <c r="P547" s="71" t="s">
        <v>2604</v>
      </c>
      <c r="Q547" s="71" t="s">
        <v>2989</v>
      </c>
      <c r="R547" s="71" t="s">
        <v>2604</v>
      </c>
      <c r="S547" s="71" t="s">
        <v>2604</v>
      </c>
      <c r="T547" s="71" t="s">
        <v>2604</v>
      </c>
      <c r="U547" s="71" t="s">
        <v>2604</v>
      </c>
      <c r="V547" s="71" t="s">
        <v>2635</v>
      </c>
    </row>
    <row r="548" spans="1:22">
      <c r="A548" s="71" t="s">
        <v>2659</v>
      </c>
      <c r="B548" s="71" t="s">
        <v>56</v>
      </c>
      <c r="C548" s="72">
        <v>46001.45137077546</v>
      </c>
      <c r="D548" s="72">
        <v>46001.45137077546</v>
      </c>
      <c r="E548" s="71" t="s">
        <v>135</v>
      </c>
      <c r="F548" s="71" t="s">
        <v>995</v>
      </c>
      <c r="G548" s="71" t="s">
        <v>3089</v>
      </c>
      <c r="H548" s="71" t="s">
        <v>994</v>
      </c>
      <c r="I548" s="71" t="s">
        <v>2604</v>
      </c>
      <c r="J548" s="71" t="s">
        <v>752</v>
      </c>
      <c r="K548" s="71" t="s">
        <v>2675</v>
      </c>
      <c r="L548" s="71" t="s">
        <v>2790</v>
      </c>
      <c r="M548" s="71" t="s">
        <v>3090</v>
      </c>
      <c r="N548" s="71" t="s">
        <v>3090</v>
      </c>
      <c r="O548" s="71" t="s">
        <v>2640</v>
      </c>
      <c r="P548" s="71" t="s">
        <v>2604</v>
      </c>
      <c r="Q548" s="71" t="s">
        <v>3091</v>
      </c>
      <c r="R548" s="71" t="s">
        <v>2604</v>
      </c>
      <c r="S548" s="71" t="s">
        <v>2604</v>
      </c>
      <c r="T548" s="71" t="s">
        <v>2604</v>
      </c>
      <c r="U548" s="71" t="s">
        <v>2604</v>
      </c>
      <c r="V548" s="71" t="s">
        <v>2635</v>
      </c>
    </row>
    <row r="549" spans="1:22">
      <c r="A549" s="71" t="s">
        <v>2659</v>
      </c>
      <c r="B549" s="71" t="s">
        <v>724</v>
      </c>
      <c r="C549" s="72">
        <v>45897.503976701388</v>
      </c>
      <c r="D549" s="72">
        <v>45897.503976701388</v>
      </c>
      <c r="E549" s="71" t="s">
        <v>473</v>
      </c>
      <c r="F549" s="71" t="s">
        <v>152</v>
      </c>
      <c r="G549" s="71" t="s">
        <v>743</v>
      </c>
      <c r="H549" s="71" t="s">
        <v>742</v>
      </c>
      <c r="I549" s="71" t="s">
        <v>2604</v>
      </c>
      <c r="J549" s="71" t="s">
        <v>744</v>
      </c>
      <c r="K549" s="71" t="s">
        <v>2665</v>
      </c>
      <c r="L549" s="71" t="s">
        <v>2666</v>
      </c>
      <c r="M549" s="71" t="s">
        <v>2861</v>
      </c>
      <c r="N549" s="71" t="s">
        <v>2862</v>
      </c>
      <c r="O549" s="71" t="s">
        <v>2640</v>
      </c>
      <c r="P549" s="71" t="s">
        <v>2863</v>
      </c>
      <c r="Q549" s="71" t="s">
        <v>2864</v>
      </c>
      <c r="R549" s="71" t="s">
        <v>2604</v>
      </c>
      <c r="S549" s="71" t="s">
        <v>2604</v>
      </c>
      <c r="T549" s="71" t="s">
        <v>2604</v>
      </c>
      <c r="U549" s="71" t="s">
        <v>2604</v>
      </c>
      <c r="V549" s="71" t="s">
        <v>2655</v>
      </c>
    </row>
    <row r="550" spans="1:22">
      <c r="A550" s="71" t="s">
        <v>2659</v>
      </c>
      <c r="B550" s="71" t="s">
        <v>2646</v>
      </c>
      <c r="C550" s="72">
        <v>45826.598249976851</v>
      </c>
      <c r="D550" s="72">
        <v>45826.598249976851</v>
      </c>
      <c r="E550" s="71" t="s">
        <v>365</v>
      </c>
      <c r="F550" s="71" t="s">
        <v>524</v>
      </c>
      <c r="G550" s="71" t="s">
        <v>525</v>
      </c>
      <c r="H550" s="71" t="s">
        <v>523</v>
      </c>
      <c r="I550" s="71" t="s">
        <v>2604</v>
      </c>
      <c r="J550" s="71" t="s">
        <v>774</v>
      </c>
      <c r="K550" s="71" t="s">
        <v>2660</v>
      </c>
      <c r="L550" s="71" t="s">
        <v>2604</v>
      </c>
      <c r="M550" s="71" t="s">
        <v>2928</v>
      </c>
      <c r="N550" s="71" t="s">
        <v>3052</v>
      </c>
      <c r="O550" s="71" t="s">
        <v>2692</v>
      </c>
      <c r="P550" s="71" t="s">
        <v>2604</v>
      </c>
      <c r="Q550" s="71" t="s">
        <v>3053</v>
      </c>
      <c r="R550" s="71" t="s">
        <v>2604</v>
      </c>
      <c r="S550" s="71" t="s">
        <v>2604</v>
      </c>
      <c r="T550" s="71" t="s">
        <v>2604</v>
      </c>
      <c r="U550" s="71" t="s">
        <v>2604</v>
      </c>
      <c r="V550" s="71" t="s">
        <v>2658</v>
      </c>
    </row>
    <row r="551" spans="1:22">
      <c r="A551" s="71" t="s">
        <v>2659</v>
      </c>
      <c r="B551" s="71" t="s">
        <v>56</v>
      </c>
      <c r="C551" s="72">
        <v>45971.476252118053</v>
      </c>
      <c r="D551" s="72">
        <v>45971.476252118053</v>
      </c>
      <c r="E551" s="71" t="s">
        <v>380</v>
      </c>
      <c r="F551" s="71" t="s">
        <v>2850</v>
      </c>
      <c r="G551" s="71" t="s">
        <v>2851</v>
      </c>
      <c r="H551" s="71" t="s">
        <v>929</v>
      </c>
      <c r="I551" s="71" t="s">
        <v>2604</v>
      </c>
      <c r="J551" s="71" t="s">
        <v>752</v>
      </c>
      <c r="K551" s="71" t="s">
        <v>2675</v>
      </c>
      <c r="L551" s="71" t="s">
        <v>2852</v>
      </c>
      <c r="M551" s="71" t="s">
        <v>2853</v>
      </c>
      <c r="N551" s="71" t="s">
        <v>2854</v>
      </c>
      <c r="O551" s="71" t="s">
        <v>2640</v>
      </c>
      <c r="P551" s="71" t="s">
        <v>2604</v>
      </c>
      <c r="Q551" s="71" t="s">
        <v>2855</v>
      </c>
      <c r="R551" s="71" t="s">
        <v>2604</v>
      </c>
      <c r="S551" s="71" t="s">
        <v>2604</v>
      </c>
      <c r="T551" s="71" t="s">
        <v>2604</v>
      </c>
      <c r="U551" s="71" t="s">
        <v>2604</v>
      </c>
      <c r="V551" s="71" t="s">
        <v>2635</v>
      </c>
    </row>
    <row r="552" spans="1:22">
      <c r="A552" s="71" t="s">
        <v>2659</v>
      </c>
      <c r="B552" s="71" t="s">
        <v>56</v>
      </c>
      <c r="C552" s="72">
        <v>45971.476252118053</v>
      </c>
      <c r="D552" s="72">
        <v>45971.476252118053</v>
      </c>
      <c r="E552" s="71" t="s">
        <v>380</v>
      </c>
      <c r="F552" s="71" t="s">
        <v>2850</v>
      </c>
      <c r="G552" s="71" t="s">
        <v>2851</v>
      </c>
      <c r="H552" s="71" t="s">
        <v>929</v>
      </c>
      <c r="I552" s="71" t="s">
        <v>2604</v>
      </c>
      <c r="J552" s="71" t="s">
        <v>752</v>
      </c>
      <c r="K552" s="71" t="s">
        <v>2675</v>
      </c>
      <c r="L552" s="71" t="s">
        <v>2852</v>
      </c>
      <c r="M552" s="71" t="s">
        <v>2853</v>
      </c>
      <c r="N552" s="71" t="s">
        <v>2854</v>
      </c>
      <c r="O552" s="71" t="s">
        <v>2640</v>
      </c>
      <c r="P552" s="71" t="s">
        <v>2604</v>
      </c>
      <c r="Q552" s="71" t="s">
        <v>2855</v>
      </c>
      <c r="R552" s="71" t="s">
        <v>2604</v>
      </c>
      <c r="S552" s="71" t="s">
        <v>2604</v>
      </c>
      <c r="T552" s="71" t="s">
        <v>2604</v>
      </c>
      <c r="U552" s="71" t="s">
        <v>2604</v>
      </c>
      <c r="V552" s="71" t="s">
        <v>2664</v>
      </c>
    </row>
    <row r="553" spans="1:22">
      <c r="A553" s="71" t="s">
        <v>2659</v>
      </c>
      <c r="B553" s="71" t="s">
        <v>2646</v>
      </c>
      <c r="C553" s="72">
        <v>45807.381936527781</v>
      </c>
      <c r="D553" s="72">
        <v>45807.381936527781</v>
      </c>
      <c r="E553" s="71" t="s">
        <v>135</v>
      </c>
      <c r="F553" s="71" t="s">
        <v>2883</v>
      </c>
      <c r="G553" s="71" t="s">
        <v>2884</v>
      </c>
      <c r="H553" s="71" t="s">
        <v>2885</v>
      </c>
      <c r="I553" s="71" t="s">
        <v>2604</v>
      </c>
      <c r="J553" s="71" t="s">
        <v>752</v>
      </c>
      <c r="K553" s="71" t="s">
        <v>2723</v>
      </c>
      <c r="L553" s="71" t="s">
        <v>2665</v>
      </c>
      <c r="M553" s="71" t="s">
        <v>2886</v>
      </c>
      <c r="N553" s="71" t="s">
        <v>2671</v>
      </c>
      <c r="O553" s="71" t="s">
        <v>2692</v>
      </c>
      <c r="P553" s="71" t="s">
        <v>2604</v>
      </c>
      <c r="Q553" s="71" t="s">
        <v>2887</v>
      </c>
      <c r="R553" s="71" t="s">
        <v>2604</v>
      </c>
      <c r="S553" s="71" t="s">
        <v>2604</v>
      </c>
      <c r="T553" s="71" t="s">
        <v>2604</v>
      </c>
      <c r="U553" s="71" t="s">
        <v>2604</v>
      </c>
      <c r="V553" s="71" t="s">
        <v>2635</v>
      </c>
    </row>
    <row r="554" spans="1:22">
      <c r="A554" s="71" t="s">
        <v>2659</v>
      </c>
      <c r="B554" s="71" t="s">
        <v>56</v>
      </c>
      <c r="C554" s="72">
        <v>45978.691404155092</v>
      </c>
      <c r="D554" s="72">
        <v>45978.691404155092</v>
      </c>
      <c r="E554" s="71" t="s">
        <v>365</v>
      </c>
      <c r="F554" s="71" t="s">
        <v>955</v>
      </c>
      <c r="G554" s="71" t="s">
        <v>956</v>
      </c>
      <c r="H554" s="71" t="s">
        <v>954</v>
      </c>
      <c r="I554" s="71" t="s">
        <v>2604</v>
      </c>
      <c r="J554" s="71" t="s">
        <v>744</v>
      </c>
      <c r="K554" s="71" t="s">
        <v>2665</v>
      </c>
      <c r="L554" s="71" t="s">
        <v>2666</v>
      </c>
      <c r="M554" s="71" t="s">
        <v>3242</v>
      </c>
      <c r="N554" s="71" t="s">
        <v>3243</v>
      </c>
      <c r="O554" s="71" t="s">
        <v>2640</v>
      </c>
      <c r="P554" s="71" t="s">
        <v>2604</v>
      </c>
      <c r="Q554" s="71" t="s">
        <v>3244</v>
      </c>
      <c r="R554" s="71" t="s">
        <v>2604</v>
      </c>
      <c r="S554" s="71" t="s">
        <v>2604</v>
      </c>
      <c r="T554" s="71" t="s">
        <v>2604</v>
      </c>
      <c r="U554" s="71" t="s">
        <v>2604</v>
      </c>
      <c r="V554" s="71" t="s">
        <v>2635</v>
      </c>
    </row>
    <row r="555" spans="1:22">
      <c r="A555" s="71" t="s">
        <v>2659</v>
      </c>
      <c r="B555" s="71" t="s">
        <v>84</v>
      </c>
      <c r="C555" s="72">
        <v>45869.37659359954</v>
      </c>
      <c r="D555" s="72">
        <v>45869.37659359954</v>
      </c>
      <c r="E555" s="71" t="s">
        <v>135</v>
      </c>
      <c r="F555" s="71" t="s">
        <v>664</v>
      </c>
      <c r="G555" s="71" t="s">
        <v>2920</v>
      </c>
      <c r="H555" s="71" t="s">
        <v>663</v>
      </c>
      <c r="I555" s="71" t="s">
        <v>2604</v>
      </c>
      <c r="J555" s="71" t="s">
        <v>744</v>
      </c>
      <c r="K555" s="71" t="s">
        <v>2665</v>
      </c>
      <c r="L555" s="71" t="s">
        <v>2821</v>
      </c>
      <c r="M555" s="71" t="s">
        <v>2671</v>
      </c>
      <c r="N555" s="71" t="s">
        <v>2671</v>
      </c>
      <c r="O555" s="71" t="s">
        <v>2640</v>
      </c>
      <c r="P555" s="71" t="s">
        <v>2604</v>
      </c>
      <c r="Q555" s="71" t="s">
        <v>2921</v>
      </c>
      <c r="R555" s="71" t="s">
        <v>2604</v>
      </c>
      <c r="S555" s="71" t="s">
        <v>2604</v>
      </c>
      <c r="T555" s="71" t="s">
        <v>2604</v>
      </c>
      <c r="U555" s="71" t="s">
        <v>2604</v>
      </c>
      <c r="V555" s="71" t="s">
        <v>2618</v>
      </c>
    </row>
    <row r="556" spans="1:22">
      <c r="A556" s="71" t="s">
        <v>2659</v>
      </c>
      <c r="B556" s="71" t="s">
        <v>2646</v>
      </c>
      <c r="C556" s="72">
        <v>45824.613438009263</v>
      </c>
      <c r="D556" s="72">
        <v>45824.613438009263</v>
      </c>
      <c r="E556" s="71" t="s">
        <v>135</v>
      </c>
      <c r="F556" s="71" t="s">
        <v>517</v>
      </c>
      <c r="G556" s="71" t="s">
        <v>3206</v>
      </c>
      <c r="H556" s="71" t="s">
        <v>516</v>
      </c>
      <c r="I556" s="71" t="s">
        <v>2604</v>
      </c>
      <c r="J556" s="71" t="s">
        <v>774</v>
      </c>
      <c r="K556" s="71" t="s">
        <v>3207</v>
      </c>
      <c r="L556" s="71" t="s">
        <v>2604</v>
      </c>
      <c r="M556" s="71" t="s">
        <v>2848</v>
      </c>
      <c r="N556" s="71" t="s">
        <v>2763</v>
      </c>
      <c r="O556" s="71" t="s">
        <v>2692</v>
      </c>
      <c r="P556" s="71" t="s">
        <v>2604</v>
      </c>
      <c r="Q556" s="71" t="s">
        <v>3208</v>
      </c>
      <c r="R556" s="71" t="s">
        <v>2604</v>
      </c>
      <c r="S556" s="71" t="s">
        <v>2604</v>
      </c>
      <c r="T556" s="71" t="s">
        <v>2604</v>
      </c>
      <c r="U556" s="71" t="s">
        <v>2604</v>
      </c>
      <c r="V556" s="71" t="s">
        <v>2635</v>
      </c>
    </row>
    <row r="557" spans="1:22">
      <c r="A557" s="71" t="s">
        <v>2659</v>
      </c>
      <c r="B557" s="71" t="s">
        <v>2646</v>
      </c>
      <c r="C557" s="72">
        <v>45798.491031481484</v>
      </c>
      <c r="D557" s="72">
        <v>45798.491031481484</v>
      </c>
      <c r="E557" s="71" t="s">
        <v>365</v>
      </c>
      <c r="F557" s="71" t="s">
        <v>483</v>
      </c>
      <c r="G557" s="71" t="s">
        <v>483</v>
      </c>
      <c r="H557" s="71" t="s">
        <v>482</v>
      </c>
      <c r="I557" s="71" t="s">
        <v>2604</v>
      </c>
      <c r="J557" s="71" t="s">
        <v>774</v>
      </c>
      <c r="K557" s="71" t="s">
        <v>2689</v>
      </c>
      <c r="L557" s="71" t="s">
        <v>2604</v>
      </c>
      <c r="M557" s="71" t="s">
        <v>2690</v>
      </c>
      <c r="N557" s="71" t="s">
        <v>2691</v>
      </c>
      <c r="O557" s="71" t="s">
        <v>2692</v>
      </c>
      <c r="P557" s="71" t="s">
        <v>2604</v>
      </c>
      <c r="Q557" s="71" t="s">
        <v>2693</v>
      </c>
      <c r="R557" s="71" t="s">
        <v>2604</v>
      </c>
      <c r="S557" s="71" t="s">
        <v>2604</v>
      </c>
      <c r="T557" s="71" t="s">
        <v>2604</v>
      </c>
      <c r="U557" s="71" t="s">
        <v>2604</v>
      </c>
      <c r="V557" s="71" t="s">
        <v>2658</v>
      </c>
    </row>
    <row r="558" spans="1:22">
      <c r="A558" s="71" t="s">
        <v>2659</v>
      </c>
      <c r="B558" s="71" t="s">
        <v>2646</v>
      </c>
      <c r="C558" s="72">
        <v>45796.596171620367</v>
      </c>
      <c r="D558" s="72">
        <v>45796.596171620367</v>
      </c>
      <c r="E558" s="71" t="s">
        <v>365</v>
      </c>
      <c r="F558" s="71" t="s">
        <v>468</v>
      </c>
      <c r="G558" s="71" t="s">
        <v>469</v>
      </c>
      <c r="H558" s="71" t="s">
        <v>467</v>
      </c>
      <c r="I558" s="71" t="s">
        <v>2604</v>
      </c>
      <c r="J558" s="71" t="s">
        <v>774</v>
      </c>
      <c r="K558" s="71" t="s">
        <v>2670</v>
      </c>
      <c r="L558" s="71" t="s">
        <v>2604</v>
      </c>
      <c r="M558" s="71" t="s">
        <v>2671</v>
      </c>
      <c r="N558" s="71" t="s">
        <v>2671</v>
      </c>
      <c r="O558" s="71" t="s">
        <v>2692</v>
      </c>
      <c r="P558" s="71" t="s">
        <v>2604</v>
      </c>
      <c r="Q558" s="71" t="s">
        <v>3176</v>
      </c>
      <c r="R558" s="71" t="s">
        <v>2604</v>
      </c>
      <c r="S558" s="71" t="s">
        <v>2604</v>
      </c>
      <c r="T558" s="71" t="s">
        <v>2604</v>
      </c>
      <c r="U558" s="71" t="s">
        <v>2604</v>
      </c>
      <c r="V558" s="71" t="s">
        <v>2635</v>
      </c>
    </row>
    <row r="559" spans="1:22">
      <c r="A559" s="71" t="s">
        <v>2659</v>
      </c>
      <c r="B559" s="71" t="s">
        <v>2646</v>
      </c>
      <c r="C559" s="72">
        <v>45803.684088437498</v>
      </c>
      <c r="D559" s="72">
        <v>45803.684088437498</v>
      </c>
      <c r="E559" s="71" t="s">
        <v>365</v>
      </c>
      <c r="F559" s="71" t="s">
        <v>2833</v>
      </c>
      <c r="G559" s="71" t="s">
        <v>2834</v>
      </c>
      <c r="H559" s="71" t="s">
        <v>2835</v>
      </c>
      <c r="I559" s="71" t="s">
        <v>2604</v>
      </c>
      <c r="J559" s="71" t="s">
        <v>813</v>
      </c>
      <c r="K559" s="71" t="s">
        <v>2648</v>
      </c>
      <c r="L559" s="71" t="s">
        <v>2649</v>
      </c>
      <c r="M559" s="71" t="s">
        <v>2650</v>
      </c>
      <c r="N559" s="71" t="s">
        <v>2836</v>
      </c>
      <c r="O559" s="71" t="s">
        <v>2692</v>
      </c>
      <c r="P559" s="71" t="s">
        <v>2604</v>
      </c>
      <c r="Q559" s="71" t="s">
        <v>2837</v>
      </c>
      <c r="R559" s="71" t="s">
        <v>2604</v>
      </c>
      <c r="S559" s="71" t="s">
        <v>2604</v>
      </c>
      <c r="T559" s="71" t="s">
        <v>2604</v>
      </c>
      <c r="U559" s="71" t="s">
        <v>2604</v>
      </c>
      <c r="V559" s="71" t="s">
        <v>2655</v>
      </c>
    </row>
    <row r="560" spans="1:22">
      <c r="A560" s="71" t="s">
        <v>2659</v>
      </c>
      <c r="B560" s="71" t="s">
        <v>56</v>
      </c>
      <c r="C560" s="72">
        <v>45867.609918958333</v>
      </c>
      <c r="D560" s="72">
        <v>45867.609918958333</v>
      </c>
      <c r="E560" s="71" t="s">
        <v>380</v>
      </c>
      <c r="F560" s="71" t="s">
        <v>658</v>
      </c>
      <c r="G560" s="71" t="s">
        <v>2674</v>
      </c>
      <c r="H560" s="71" t="s">
        <v>657</v>
      </c>
      <c r="I560" s="71" t="s">
        <v>2604</v>
      </c>
      <c r="J560" s="71" t="s">
        <v>752</v>
      </c>
      <c r="K560" s="71" t="s">
        <v>2675</v>
      </c>
      <c r="L560" s="71" t="s">
        <v>2676</v>
      </c>
      <c r="M560" s="71" t="s">
        <v>2677</v>
      </c>
      <c r="N560" s="71" t="s">
        <v>2678</v>
      </c>
      <c r="O560" s="71" t="s">
        <v>2604</v>
      </c>
      <c r="P560" s="71" t="s">
        <v>2604</v>
      </c>
      <c r="Q560" s="71" t="s">
        <v>2679</v>
      </c>
      <c r="R560" s="71" t="s">
        <v>2604</v>
      </c>
      <c r="S560" s="71" t="s">
        <v>2604</v>
      </c>
      <c r="T560" s="71" t="s">
        <v>2604</v>
      </c>
      <c r="U560" s="71" t="s">
        <v>2604</v>
      </c>
      <c r="V560" s="71" t="s">
        <v>2635</v>
      </c>
    </row>
    <row r="561" spans="1:22">
      <c r="A561" s="71" t="s">
        <v>2659</v>
      </c>
      <c r="B561" s="71" t="s">
        <v>84</v>
      </c>
      <c r="C561" s="72">
        <v>45894.527406631947</v>
      </c>
      <c r="D561" s="72">
        <v>45894.527406631947</v>
      </c>
      <c r="E561" s="71" t="s">
        <v>365</v>
      </c>
      <c r="F561" s="71" t="s">
        <v>728</v>
      </c>
      <c r="G561" s="71" t="s">
        <v>729</v>
      </c>
      <c r="H561" s="71" t="s">
        <v>727</v>
      </c>
      <c r="I561" s="71" t="s">
        <v>2604</v>
      </c>
      <c r="J561" s="71" t="s">
        <v>774</v>
      </c>
      <c r="K561" s="71" t="s">
        <v>2670</v>
      </c>
      <c r="L561" s="71" t="s">
        <v>2604</v>
      </c>
      <c r="M561" s="71" t="s">
        <v>2671</v>
      </c>
      <c r="N561" s="71" t="s">
        <v>3107</v>
      </c>
      <c r="O561" s="71" t="s">
        <v>2640</v>
      </c>
      <c r="P561" s="71" t="s">
        <v>2604</v>
      </c>
      <c r="Q561" s="71" t="s">
        <v>3108</v>
      </c>
      <c r="R561" s="71" t="s">
        <v>2604</v>
      </c>
      <c r="S561" s="71" t="s">
        <v>2604</v>
      </c>
      <c r="T561" s="71" t="s">
        <v>2604</v>
      </c>
      <c r="U561" s="71" t="s">
        <v>2604</v>
      </c>
      <c r="V561" s="71" t="s">
        <v>2635</v>
      </c>
    </row>
    <row r="562" spans="1:22">
      <c r="A562" s="71" t="s">
        <v>2659</v>
      </c>
      <c r="B562" s="71" t="s">
        <v>84</v>
      </c>
      <c r="C562" s="72">
        <v>45856.721680057868</v>
      </c>
      <c r="D562" s="72">
        <v>45856.721680057868</v>
      </c>
      <c r="E562" s="71" t="s">
        <v>365</v>
      </c>
      <c r="F562" s="71" t="s">
        <v>3195</v>
      </c>
      <c r="G562" s="71" t="s">
        <v>3196</v>
      </c>
      <c r="H562" s="71" t="s">
        <v>595</v>
      </c>
      <c r="I562" s="71" t="s">
        <v>2604</v>
      </c>
      <c r="J562" s="71" t="s">
        <v>774</v>
      </c>
      <c r="K562" s="71" t="s">
        <v>2670</v>
      </c>
      <c r="L562" s="71" t="s">
        <v>2604</v>
      </c>
      <c r="M562" s="71" t="s">
        <v>2671</v>
      </c>
      <c r="N562" s="71" t="s">
        <v>3197</v>
      </c>
      <c r="O562" s="71" t="s">
        <v>2640</v>
      </c>
      <c r="P562" s="71" t="s">
        <v>2604</v>
      </c>
      <c r="Q562" s="71" t="s">
        <v>3198</v>
      </c>
      <c r="R562" s="71" t="s">
        <v>2604</v>
      </c>
      <c r="S562" s="71" t="s">
        <v>2604</v>
      </c>
      <c r="T562" s="71" t="s">
        <v>2604</v>
      </c>
      <c r="U562" s="71" t="s">
        <v>2604</v>
      </c>
      <c r="V562" s="71" t="s">
        <v>2635</v>
      </c>
    </row>
    <row r="563" spans="1:22">
      <c r="A563" s="71" t="s">
        <v>2659</v>
      </c>
      <c r="B563" s="71" t="s">
        <v>84</v>
      </c>
      <c r="C563" s="72">
        <v>45861.700638043978</v>
      </c>
      <c r="D563" s="72">
        <v>45861.700638043978</v>
      </c>
      <c r="E563" s="71" t="s">
        <v>365</v>
      </c>
      <c r="F563" s="71" t="s">
        <v>2735</v>
      </c>
      <c r="G563" s="71" t="s">
        <v>620</v>
      </c>
      <c r="H563" s="71" t="s">
        <v>618</v>
      </c>
      <c r="I563" s="71" t="s">
        <v>2604</v>
      </c>
      <c r="J563" s="71" t="s">
        <v>774</v>
      </c>
      <c r="K563" s="71" t="s">
        <v>2670</v>
      </c>
      <c r="L563" s="71" t="s">
        <v>2604</v>
      </c>
      <c r="M563" s="71" t="s">
        <v>2671</v>
      </c>
      <c r="N563" s="71" t="s">
        <v>2736</v>
      </c>
      <c r="O563" s="71" t="s">
        <v>2640</v>
      </c>
      <c r="P563" s="71" t="s">
        <v>2604</v>
      </c>
      <c r="Q563" s="71" t="s">
        <v>2737</v>
      </c>
      <c r="R563" s="71" t="s">
        <v>2604</v>
      </c>
      <c r="S563" s="71" t="s">
        <v>2604</v>
      </c>
      <c r="T563" s="71" t="s">
        <v>2604</v>
      </c>
      <c r="U563" s="71" t="s">
        <v>2604</v>
      </c>
      <c r="V563" s="71" t="s">
        <v>2635</v>
      </c>
    </row>
    <row r="564" spans="1:22">
      <c r="A564" s="71" t="s">
        <v>2659</v>
      </c>
      <c r="B564" s="71" t="s">
        <v>56</v>
      </c>
      <c r="C564" s="72">
        <v>46050.493472106478</v>
      </c>
      <c r="D564" s="72">
        <v>46050.493472106478</v>
      </c>
      <c r="E564" s="71" t="s">
        <v>365</v>
      </c>
      <c r="F564" s="71" t="s">
        <v>1060</v>
      </c>
      <c r="G564" s="71" t="s">
        <v>1061</v>
      </c>
      <c r="H564" s="71" t="s">
        <v>1059</v>
      </c>
      <c r="I564" s="71" t="s">
        <v>2604</v>
      </c>
      <c r="J564" s="71" t="s">
        <v>752</v>
      </c>
      <c r="K564" s="71" t="s">
        <v>2675</v>
      </c>
      <c r="L564" s="71" t="s">
        <v>2712</v>
      </c>
      <c r="M564" s="71" t="s">
        <v>3038</v>
      </c>
      <c r="N564" s="71" t="s">
        <v>3039</v>
      </c>
      <c r="O564" s="71" t="s">
        <v>2640</v>
      </c>
      <c r="P564" s="71" t="s">
        <v>2604</v>
      </c>
      <c r="Q564" s="71" t="s">
        <v>3040</v>
      </c>
      <c r="R564" s="71" t="s">
        <v>2604</v>
      </c>
      <c r="S564" s="71" t="s">
        <v>2604</v>
      </c>
      <c r="T564" s="71" t="s">
        <v>2604</v>
      </c>
      <c r="U564" s="71" t="s">
        <v>2604</v>
      </c>
      <c r="V564" s="71" t="s">
        <v>2635</v>
      </c>
    </row>
    <row r="565" spans="1:22">
      <c r="A565" s="71" t="s">
        <v>2659</v>
      </c>
      <c r="B565" s="71" t="s">
        <v>56</v>
      </c>
      <c r="C565" s="72">
        <v>45954.655897141201</v>
      </c>
      <c r="D565" s="72">
        <v>45954.655897141201</v>
      </c>
      <c r="E565" s="71" t="s">
        <v>365</v>
      </c>
      <c r="F565" s="71" t="s">
        <v>900</v>
      </c>
      <c r="G565" s="71" t="s">
        <v>901</v>
      </c>
      <c r="H565" s="71" t="s">
        <v>899</v>
      </c>
      <c r="I565" s="71" t="s">
        <v>2604</v>
      </c>
      <c r="J565" s="71" t="s">
        <v>752</v>
      </c>
      <c r="K565" s="71" t="s">
        <v>2675</v>
      </c>
      <c r="L565" s="71" t="s">
        <v>2712</v>
      </c>
      <c r="M565" s="71" t="s">
        <v>2776</v>
      </c>
      <c r="N565" s="71" t="s">
        <v>2777</v>
      </c>
      <c r="O565" s="71" t="s">
        <v>2640</v>
      </c>
      <c r="P565" s="71" t="s">
        <v>2604</v>
      </c>
      <c r="Q565" s="71" t="s">
        <v>2778</v>
      </c>
      <c r="R565" s="71" t="s">
        <v>2604</v>
      </c>
      <c r="S565" s="71" t="s">
        <v>2604</v>
      </c>
      <c r="T565" s="71" t="s">
        <v>2604</v>
      </c>
      <c r="U565" s="71" t="s">
        <v>2604</v>
      </c>
      <c r="V565" s="71" t="s">
        <v>2664</v>
      </c>
    </row>
    <row r="566" spans="1:22">
      <c r="A566" s="71" t="s">
        <v>2659</v>
      </c>
      <c r="B566" s="71" t="s">
        <v>56</v>
      </c>
      <c r="C566" s="72">
        <v>45946.780098703704</v>
      </c>
      <c r="D566" s="72">
        <v>45946.780098703704</v>
      </c>
      <c r="E566" s="71" t="s">
        <v>365</v>
      </c>
      <c r="F566" s="71" t="s">
        <v>886</v>
      </c>
      <c r="G566" s="71" t="s">
        <v>887</v>
      </c>
      <c r="H566" s="71" t="s">
        <v>885</v>
      </c>
      <c r="I566" s="71" t="s">
        <v>2604</v>
      </c>
      <c r="J566" s="71" t="s">
        <v>813</v>
      </c>
      <c r="K566" s="71" t="s">
        <v>2648</v>
      </c>
      <c r="L566" s="71" t="s">
        <v>2649</v>
      </c>
      <c r="M566" s="71" t="s">
        <v>2726</v>
      </c>
      <c r="N566" s="71" t="s">
        <v>2726</v>
      </c>
      <c r="O566" s="71" t="s">
        <v>2640</v>
      </c>
      <c r="P566" s="71" t="s">
        <v>2604</v>
      </c>
      <c r="Q566" s="71" t="s">
        <v>3220</v>
      </c>
      <c r="R566" s="71" t="s">
        <v>2604</v>
      </c>
      <c r="S566" s="71" t="s">
        <v>2604</v>
      </c>
      <c r="T566" s="71" t="s">
        <v>2604</v>
      </c>
      <c r="U566" s="71" t="s">
        <v>2604</v>
      </c>
      <c r="V566" s="71" t="s">
        <v>2664</v>
      </c>
    </row>
    <row r="567" spans="1:22">
      <c r="A567" s="71" t="s">
        <v>2659</v>
      </c>
      <c r="B567" s="71" t="s">
        <v>56</v>
      </c>
      <c r="C567" s="72">
        <v>45861.726970532407</v>
      </c>
      <c r="D567" s="72">
        <v>45861.726970532407</v>
      </c>
      <c r="E567" s="71" t="s">
        <v>135</v>
      </c>
      <c r="F567" s="71" t="s">
        <v>3245</v>
      </c>
      <c r="G567" s="71" t="s">
        <v>623</v>
      </c>
      <c r="H567" s="71" t="s">
        <v>621</v>
      </c>
      <c r="I567" s="71" t="s">
        <v>2604</v>
      </c>
      <c r="J567" s="71" t="s">
        <v>752</v>
      </c>
      <c r="K567" s="71" t="s">
        <v>2723</v>
      </c>
      <c r="L567" s="71" t="s">
        <v>2665</v>
      </c>
      <c r="M567" s="71" t="s">
        <v>3246</v>
      </c>
      <c r="N567" s="71" t="s">
        <v>3247</v>
      </c>
      <c r="O567" s="71" t="s">
        <v>2640</v>
      </c>
      <c r="P567" s="71" t="s">
        <v>2604</v>
      </c>
      <c r="Q567" s="71" t="s">
        <v>3248</v>
      </c>
      <c r="R567" s="71" t="s">
        <v>2604</v>
      </c>
      <c r="S567" s="71" t="s">
        <v>2604</v>
      </c>
      <c r="T567" s="71" t="s">
        <v>2604</v>
      </c>
      <c r="U567" s="71" t="s">
        <v>2604</v>
      </c>
      <c r="V567" s="71" t="s">
        <v>2664</v>
      </c>
    </row>
    <row r="568" spans="1:22">
      <c r="A568" s="71" t="s">
        <v>2659</v>
      </c>
      <c r="B568" s="71" t="s">
        <v>2646</v>
      </c>
      <c r="C568" s="72">
        <v>45769.453627256946</v>
      </c>
      <c r="D568" s="72">
        <v>45769.453627256946</v>
      </c>
      <c r="E568" s="71" t="s">
        <v>365</v>
      </c>
      <c r="F568" s="71" t="s">
        <v>432</v>
      </c>
      <c r="G568" s="71" t="s">
        <v>433</v>
      </c>
      <c r="H568" s="71" t="s">
        <v>431</v>
      </c>
      <c r="I568" s="71" t="s">
        <v>2604</v>
      </c>
      <c r="J568" s="71" t="s">
        <v>752</v>
      </c>
      <c r="K568" s="71" t="s">
        <v>2723</v>
      </c>
      <c r="L568" s="71" t="s">
        <v>2665</v>
      </c>
      <c r="M568" s="71" t="s">
        <v>2876</v>
      </c>
      <c r="N568" s="71" t="s">
        <v>2877</v>
      </c>
      <c r="O568" s="71" t="s">
        <v>2692</v>
      </c>
      <c r="P568" s="71" t="s">
        <v>2604</v>
      </c>
      <c r="Q568" s="71" t="s">
        <v>2878</v>
      </c>
      <c r="R568" s="71" t="s">
        <v>2604</v>
      </c>
      <c r="S568" s="71" t="s">
        <v>2604</v>
      </c>
      <c r="T568" s="71" t="s">
        <v>2604</v>
      </c>
      <c r="U568" s="71" t="s">
        <v>2604</v>
      </c>
      <c r="V568" s="71" t="s">
        <v>2658</v>
      </c>
    </row>
    <row r="569" spans="1:22">
      <c r="A569" s="71" t="s">
        <v>2659</v>
      </c>
      <c r="B569" s="71" t="s">
        <v>724</v>
      </c>
      <c r="C569" s="72">
        <v>45902.408470856484</v>
      </c>
      <c r="D569" s="72">
        <v>45902.408470856484</v>
      </c>
      <c r="E569" s="71" t="s">
        <v>365</v>
      </c>
      <c r="F569" s="71" t="s">
        <v>761</v>
      </c>
      <c r="G569" s="71" t="s">
        <v>762</v>
      </c>
      <c r="H569" s="71" t="s">
        <v>760</v>
      </c>
      <c r="I569" s="71" t="s">
        <v>2604</v>
      </c>
      <c r="J569" s="71" t="s">
        <v>744</v>
      </c>
      <c r="K569" s="71" t="s">
        <v>2665</v>
      </c>
      <c r="L569" s="71" t="s">
        <v>2821</v>
      </c>
      <c r="M569" s="71" t="s">
        <v>2671</v>
      </c>
      <c r="N569" s="71" t="s">
        <v>3015</v>
      </c>
      <c r="O569" s="71" t="s">
        <v>2640</v>
      </c>
      <c r="P569" s="71" t="s">
        <v>2604</v>
      </c>
      <c r="Q569" s="71" t="s">
        <v>3016</v>
      </c>
      <c r="R569" s="71" t="s">
        <v>2604</v>
      </c>
      <c r="S569" s="71" t="s">
        <v>2604</v>
      </c>
      <c r="T569" s="71" t="s">
        <v>2604</v>
      </c>
      <c r="U569" s="71" t="s">
        <v>2604</v>
      </c>
      <c r="V569" s="71" t="s">
        <v>2635</v>
      </c>
    </row>
    <row r="570" spans="1:22">
      <c r="A570" s="71" t="s">
        <v>2659</v>
      </c>
      <c r="B570" s="71" t="s">
        <v>2646</v>
      </c>
      <c r="C570" s="72">
        <v>45770.572392187503</v>
      </c>
      <c r="D570" s="72">
        <v>45770.572392187503</v>
      </c>
      <c r="E570" s="71" t="s">
        <v>365</v>
      </c>
      <c r="F570" s="71" t="s">
        <v>435</v>
      </c>
      <c r="G570" s="71" t="s">
        <v>436</v>
      </c>
      <c r="H570" s="71" t="s">
        <v>434</v>
      </c>
      <c r="I570" s="71" t="s">
        <v>2604</v>
      </c>
      <c r="J570" s="71" t="s">
        <v>774</v>
      </c>
      <c r="K570" s="71" t="s">
        <v>3026</v>
      </c>
      <c r="L570" s="71" t="s">
        <v>2604</v>
      </c>
      <c r="M570" s="71" t="s">
        <v>3027</v>
      </c>
      <c r="N570" s="71" t="s">
        <v>2671</v>
      </c>
      <c r="O570" s="71" t="s">
        <v>2692</v>
      </c>
      <c r="P570" s="71" t="s">
        <v>2604</v>
      </c>
      <c r="Q570" s="71" t="s">
        <v>3028</v>
      </c>
      <c r="R570" s="71" t="s">
        <v>2604</v>
      </c>
      <c r="S570" s="71" t="s">
        <v>2604</v>
      </c>
      <c r="T570" s="71" t="s">
        <v>2604</v>
      </c>
      <c r="U570" s="71" t="s">
        <v>2604</v>
      </c>
      <c r="V570" s="71" t="s">
        <v>2635</v>
      </c>
    </row>
    <row r="571" spans="1:22">
      <c r="A571" s="71" t="s">
        <v>2659</v>
      </c>
      <c r="B571" s="71" t="s">
        <v>2646</v>
      </c>
      <c r="C571" s="72">
        <v>45811.65802422454</v>
      </c>
      <c r="D571" s="72">
        <v>45811.65802422454</v>
      </c>
      <c r="E571" s="71" t="s">
        <v>365</v>
      </c>
      <c r="F571" s="71" t="s">
        <v>488</v>
      </c>
      <c r="G571" s="71" t="s">
        <v>489</v>
      </c>
      <c r="H571" s="71" t="s">
        <v>487</v>
      </c>
      <c r="I571" s="71" t="s">
        <v>2604</v>
      </c>
      <c r="J571" s="71" t="s">
        <v>752</v>
      </c>
      <c r="K571" s="71" t="s">
        <v>2723</v>
      </c>
      <c r="L571" s="71" t="s">
        <v>2665</v>
      </c>
      <c r="M571" s="71" t="s">
        <v>2826</v>
      </c>
      <c r="N571" s="71" t="s">
        <v>2826</v>
      </c>
      <c r="O571" s="71" t="s">
        <v>2692</v>
      </c>
      <c r="P571" s="71" t="s">
        <v>2604</v>
      </c>
      <c r="Q571" s="71" t="s">
        <v>2827</v>
      </c>
      <c r="R571" s="71" t="s">
        <v>2604</v>
      </c>
      <c r="S571" s="71" t="s">
        <v>2604</v>
      </c>
      <c r="T571" s="71" t="s">
        <v>2604</v>
      </c>
      <c r="U571" s="71" t="s">
        <v>2604</v>
      </c>
      <c r="V571" s="71" t="s">
        <v>2658</v>
      </c>
    </row>
    <row r="572" spans="1:22">
      <c r="A572" s="71" t="s">
        <v>2659</v>
      </c>
      <c r="B572" s="71" t="s">
        <v>2646</v>
      </c>
      <c r="C572" s="72">
        <v>45770.572392187503</v>
      </c>
      <c r="D572" s="72">
        <v>45770.572392187503</v>
      </c>
      <c r="E572" s="71" t="s">
        <v>365</v>
      </c>
      <c r="F572" s="71" t="s">
        <v>435</v>
      </c>
      <c r="G572" s="71" t="s">
        <v>436</v>
      </c>
      <c r="H572" s="71" t="s">
        <v>434</v>
      </c>
      <c r="I572" s="71" t="s">
        <v>2604</v>
      </c>
      <c r="J572" s="71" t="s">
        <v>774</v>
      </c>
      <c r="K572" s="71" t="s">
        <v>3026</v>
      </c>
      <c r="L572" s="71" t="s">
        <v>2604</v>
      </c>
      <c r="M572" s="71" t="s">
        <v>3027</v>
      </c>
      <c r="N572" s="71" t="s">
        <v>2671</v>
      </c>
      <c r="O572" s="71" t="s">
        <v>2692</v>
      </c>
      <c r="P572" s="71" t="s">
        <v>2604</v>
      </c>
      <c r="Q572" s="71" t="s">
        <v>3028</v>
      </c>
      <c r="R572" s="71" t="s">
        <v>2604</v>
      </c>
      <c r="S572" s="71" t="s">
        <v>2604</v>
      </c>
      <c r="T572" s="71" t="s">
        <v>2604</v>
      </c>
      <c r="U572" s="71" t="s">
        <v>2604</v>
      </c>
      <c r="V572" s="71" t="s">
        <v>2658</v>
      </c>
    </row>
    <row r="573" spans="1:22">
      <c r="A573" s="71" t="s">
        <v>2659</v>
      </c>
      <c r="B573" s="71" t="s">
        <v>84</v>
      </c>
      <c r="C573" s="72">
        <v>46043.463382337963</v>
      </c>
      <c r="D573" s="72">
        <v>46043.463382337963</v>
      </c>
      <c r="E573" s="71" t="s">
        <v>135</v>
      </c>
      <c r="F573" s="71" t="s">
        <v>1046</v>
      </c>
      <c r="G573" s="71" t="s">
        <v>1047</v>
      </c>
      <c r="H573" s="71" t="s">
        <v>1045</v>
      </c>
      <c r="I573" s="71" t="s">
        <v>2604</v>
      </c>
      <c r="J573" s="71" t="s">
        <v>744</v>
      </c>
      <c r="K573" s="71" t="s">
        <v>2665</v>
      </c>
      <c r="L573" s="71" t="s">
        <v>2821</v>
      </c>
      <c r="M573" s="71" t="s">
        <v>2928</v>
      </c>
      <c r="N573" s="71" t="s">
        <v>3146</v>
      </c>
      <c r="O573" s="71" t="s">
        <v>2640</v>
      </c>
      <c r="P573" s="71" t="s">
        <v>2604</v>
      </c>
      <c r="Q573" s="71" t="s">
        <v>3147</v>
      </c>
      <c r="R573" s="71" t="s">
        <v>2604</v>
      </c>
      <c r="S573" s="71" t="s">
        <v>2604</v>
      </c>
      <c r="T573" s="71" t="s">
        <v>2604</v>
      </c>
      <c r="U573" s="71" t="s">
        <v>2604</v>
      </c>
      <c r="V573" s="71" t="s">
        <v>2635</v>
      </c>
    </row>
    <row r="574" spans="1:22">
      <c r="A574" s="71" t="s">
        <v>2659</v>
      </c>
      <c r="B574" s="71" t="s">
        <v>84</v>
      </c>
      <c r="C574" s="72">
        <v>45874.465534074072</v>
      </c>
      <c r="D574" s="72">
        <v>45874.465534074072</v>
      </c>
      <c r="E574" s="71" t="s">
        <v>365</v>
      </c>
      <c r="F574" s="71" t="s">
        <v>669</v>
      </c>
      <c r="G574" s="71" t="s">
        <v>670</v>
      </c>
      <c r="H574" s="71" t="s">
        <v>668</v>
      </c>
      <c r="I574" s="71" t="s">
        <v>2604</v>
      </c>
      <c r="J574" s="71" t="s">
        <v>752</v>
      </c>
      <c r="K574" s="71" t="s">
        <v>2680</v>
      </c>
      <c r="L574" s="71" t="s">
        <v>3158</v>
      </c>
      <c r="M574" s="71" t="s">
        <v>3221</v>
      </c>
      <c r="N574" s="71" t="s">
        <v>3221</v>
      </c>
      <c r="O574" s="71" t="s">
        <v>2640</v>
      </c>
      <c r="P574" s="71" t="s">
        <v>2604</v>
      </c>
      <c r="Q574" s="71" t="s">
        <v>3222</v>
      </c>
      <c r="R574" s="71" t="s">
        <v>2604</v>
      </c>
      <c r="S574" s="71" t="s">
        <v>2604</v>
      </c>
      <c r="T574" s="71" t="s">
        <v>2604</v>
      </c>
      <c r="U574" s="71" t="s">
        <v>2604</v>
      </c>
      <c r="V574" s="71" t="s">
        <v>2604</v>
      </c>
    </row>
    <row r="575" spans="1:22">
      <c r="A575" s="71" t="s">
        <v>2659</v>
      </c>
      <c r="B575" s="71" t="s">
        <v>2646</v>
      </c>
      <c r="C575" s="72">
        <v>45786.479872372685</v>
      </c>
      <c r="D575" s="72">
        <v>45786.479872372685</v>
      </c>
      <c r="E575" s="71" t="s">
        <v>365</v>
      </c>
      <c r="F575" s="71" t="s">
        <v>455</v>
      </c>
      <c r="G575" s="71" t="s">
        <v>456</v>
      </c>
      <c r="H575" s="71" t="s">
        <v>454</v>
      </c>
      <c r="I575" s="71" t="s">
        <v>2604</v>
      </c>
      <c r="J575" s="71" t="s">
        <v>813</v>
      </c>
      <c r="K575" s="71" t="s">
        <v>2648</v>
      </c>
      <c r="L575" s="71" t="s">
        <v>2649</v>
      </c>
      <c r="M575" s="71" t="s">
        <v>2650</v>
      </c>
      <c r="N575" s="71" t="s">
        <v>3172</v>
      </c>
      <c r="O575" s="71" t="s">
        <v>2692</v>
      </c>
      <c r="P575" s="71" t="s">
        <v>2604</v>
      </c>
      <c r="Q575" s="71" t="s">
        <v>3173</v>
      </c>
      <c r="R575" s="71" t="s">
        <v>2604</v>
      </c>
      <c r="S575" s="71" t="s">
        <v>2604</v>
      </c>
      <c r="T575" s="71" t="s">
        <v>2604</v>
      </c>
      <c r="U575" s="71" t="s">
        <v>2604</v>
      </c>
      <c r="V575" s="71" t="s">
        <v>2658</v>
      </c>
    </row>
    <row r="576" spans="1:22">
      <c r="A576" s="71" t="s">
        <v>2659</v>
      </c>
      <c r="B576" s="71" t="s">
        <v>724</v>
      </c>
      <c r="C576" s="72">
        <v>45988.389495717594</v>
      </c>
      <c r="D576" s="72">
        <v>45988.389495717594</v>
      </c>
      <c r="E576" s="71" t="s">
        <v>365</v>
      </c>
      <c r="F576" s="71" t="s">
        <v>970</v>
      </c>
      <c r="G576" s="71" t="s">
        <v>971</v>
      </c>
      <c r="H576" s="71" t="s">
        <v>969</v>
      </c>
      <c r="I576" s="71" t="s">
        <v>2604</v>
      </c>
      <c r="J576" s="71" t="s">
        <v>752</v>
      </c>
      <c r="K576" s="71" t="s">
        <v>2675</v>
      </c>
      <c r="L576" s="71" t="s">
        <v>2790</v>
      </c>
      <c r="M576" s="71" t="s">
        <v>3211</v>
      </c>
      <c r="N576" s="71" t="s">
        <v>2671</v>
      </c>
      <c r="O576" s="71" t="s">
        <v>2640</v>
      </c>
      <c r="P576" s="71" t="s">
        <v>2604</v>
      </c>
      <c r="Q576" s="71" t="s">
        <v>3212</v>
      </c>
      <c r="R576" s="71" t="s">
        <v>2604</v>
      </c>
      <c r="S576" s="71" t="s">
        <v>2604</v>
      </c>
      <c r="T576" s="71" t="s">
        <v>2604</v>
      </c>
      <c r="U576" s="71" t="s">
        <v>2604</v>
      </c>
      <c r="V576" s="71" t="s">
        <v>2635</v>
      </c>
    </row>
    <row r="577" spans="1:22">
      <c r="A577" s="71" t="s">
        <v>2659</v>
      </c>
      <c r="B577" s="71" t="s">
        <v>84</v>
      </c>
      <c r="C577" s="72">
        <v>45856.404490937501</v>
      </c>
      <c r="D577" s="72">
        <v>45856.404490937501</v>
      </c>
      <c r="E577" s="71" t="s">
        <v>365</v>
      </c>
      <c r="F577" s="71" t="s">
        <v>583</v>
      </c>
      <c r="G577" s="71" t="s">
        <v>584</v>
      </c>
      <c r="H577" s="71" t="s">
        <v>582</v>
      </c>
      <c r="I577" s="71" t="s">
        <v>2604</v>
      </c>
      <c r="J577" s="71" t="s">
        <v>769</v>
      </c>
      <c r="K577" s="71" t="s">
        <v>3213</v>
      </c>
      <c r="L577" s="71" t="s">
        <v>3214</v>
      </c>
      <c r="M577" s="71" t="s">
        <v>2671</v>
      </c>
      <c r="N577" s="71" t="s">
        <v>3215</v>
      </c>
      <c r="O577" s="71" t="s">
        <v>2640</v>
      </c>
      <c r="P577" s="71" t="s">
        <v>2604</v>
      </c>
      <c r="Q577" s="71" t="s">
        <v>3216</v>
      </c>
      <c r="R577" s="71" t="s">
        <v>2604</v>
      </c>
      <c r="S577" s="71" t="s">
        <v>2604</v>
      </c>
      <c r="T577" s="71" t="s">
        <v>2604</v>
      </c>
      <c r="U577" s="71" t="s">
        <v>2604</v>
      </c>
      <c r="V577" s="71" t="s">
        <v>2635</v>
      </c>
    </row>
    <row r="578" spans="1:22">
      <c r="A578" s="71" t="s">
        <v>2659</v>
      </c>
      <c r="B578" s="71" t="s">
        <v>56</v>
      </c>
      <c r="C578" s="72">
        <v>45855.412680289352</v>
      </c>
      <c r="D578" s="72">
        <v>45855.412680289352</v>
      </c>
      <c r="E578" s="71" t="s">
        <v>365</v>
      </c>
      <c r="F578" s="71" t="s">
        <v>2567</v>
      </c>
      <c r="G578" s="71" t="s">
        <v>573</v>
      </c>
      <c r="H578" s="71" t="s">
        <v>571</v>
      </c>
      <c r="I578" s="71" t="s">
        <v>2604</v>
      </c>
      <c r="J578" s="71" t="s">
        <v>813</v>
      </c>
      <c r="K578" s="71" t="s">
        <v>2648</v>
      </c>
      <c r="L578" s="71" t="s">
        <v>2649</v>
      </c>
      <c r="M578" s="71" t="s">
        <v>2726</v>
      </c>
      <c r="N578" s="71" t="s">
        <v>2726</v>
      </c>
      <c r="O578" s="71" t="s">
        <v>2640</v>
      </c>
      <c r="P578" s="71" t="s">
        <v>2604</v>
      </c>
      <c r="Q578" s="71" t="s">
        <v>3041</v>
      </c>
      <c r="R578" s="71" t="s">
        <v>2604</v>
      </c>
      <c r="S578" s="71" t="s">
        <v>2604</v>
      </c>
      <c r="T578" s="71" t="s">
        <v>2604</v>
      </c>
      <c r="U578" s="71" t="s">
        <v>2604</v>
      </c>
      <c r="V578" s="71" t="s">
        <v>2664</v>
      </c>
    </row>
    <row r="579" spans="1:22">
      <c r="A579" s="71" t="s">
        <v>2659</v>
      </c>
      <c r="B579" s="71" t="s">
        <v>56</v>
      </c>
      <c r="C579" s="72">
        <v>45867.448190960647</v>
      </c>
      <c r="D579" s="72">
        <v>45867.448190960647</v>
      </c>
      <c r="E579" s="71" t="s">
        <v>365</v>
      </c>
      <c r="F579" s="71" t="s">
        <v>3081</v>
      </c>
      <c r="G579" s="71" t="s">
        <v>653</v>
      </c>
      <c r="H579" s="71" t="s">
        <v>651</v>
      </c>
      <c r="I579" s="71" t="s">
        <v>2604</v>
      </c>
      <c r="J579" s="71" t="s">
        <v>769</v>
      </c>
      <c r="K579" s="71" t="s">
        <v>2773</v>
      </c>
      <c r="L579" s="71" t="s">
        <v>2670</v>
      </c>
      <c r="M579" s="71" t="s">
        <v>2774</v>
      </c>
      <c r="N579" s="71" t="s">
        <v>2638</v>
      </c>
      <c r="O579" s="71" t="s">
        <v>2640</v>
      </c>
      <c r="P579" s="71" t="s">
        <v>2604</v>
      </c>
      <c r="Q579" s="71" t="s">
        <v>3082</v>
      </c>
      <c r="R579" s="71" t="s">
        <v>2604</v>
      </c>
      <c r="S579" s="71" t="s">
        <v>2604</v>
      </c>
      <c r="T579" s="71" t="s">
        <v>2604</v>
      </c>
      <c r="U579" s="71" t="s">
        <v>2604</v>
      </c>
      <c r="V579" s="71" t="s">
        <v>2635</v>
      </c>
    </row>
    <row r="580" spans="1:22">
      <c r="A580" s="71" t="s">
        <v>2659</v>
      </c>
      <c r="B580" s="71" t="s">
        <v>84</v>
      </c>
      <c r="C580" s="72">
        <v>46034.596374247689</v>
      </c>
      <c r="D580" s="72">
        <v>46034.596374247689</v>
      </c>
      <c r="E580" s="71" t="s">
        <v>365</v>
      </c>
      <c r="F580" s="71" t="s">
        <v>1040</v>
      </c>
      <c r="G580" s="71" t="s">
        <v>1041</v>
      </c>
      <c r="H580" s="71" t="s">
        <v>1039</v>
      </c>
      <c r="I580" s="71" t="s">
        <v>2604</v>
      </c>
      <c r="J580" s="71" t="s">
        <v>769</v>
      </c>
      <c r="K580" s="71" t="s">
        <v>2773</v>
      </c>
      <c r="L580" s="71" t="s">
        <v>2670</v>
      </c>
      <c r="M580" s="71" t="s">
        <v>2638</v>
      </c>
      <c r="N580" s="71" t="s">
        <v>2774</v>
      </c>
      <c r="O580" s="71" t="s">
        <v>2640</v>
      </c>
      <c r="P580" s="71" t="s">
        <v>2604</v>
      </c>
      <c r="Q580" s="71" t="s">
        <v>2775</v>
      </c>
      <c r="R580" s="71" t="s">
        <v>2604</v>
      </c>
      <c r="S580" s="71" t="s">
        <v>2604</v>
      </c>
      <c r="T580" s="71" t="s">
        <v>2604</v>
      </c>
      <c r="U580" s="71" t="s">
        <v>2604</v>
      </c>
      <c r="V580" s="71" t="s">
        <v>2635</v>
      </c>
    </row>
    <row r="581" spans="1:22">
      <c r="A581" s="71" t="s">
        <v>2659</v>
      </c>
      <c r="B581" s="71" t="s">
        <v>2646</v>
      </c>
      <c r="C581" s="72">
        <v>45832.549302268519</v>
      </c>
      <c r="D581" s="72">
        <v>45832.549302268519</v>
      </c>
      <c r="E581" s="71" t="s">
        <v>365</v>
      </c>
      <c r="F581" s="71" t="s">
        <v>530</v>
      </c>
      <c r="G581" s="71" t="s">
        <v>532</v>
      </c>
      <c r="H581" s="71" t="s">
        <v>529</v>
      </c>
      <c r="I581" s="71" t="s">
        <v>2604</v>
      </c>
      <c r="J581" s="71" t="s">
        <v>774</v>
      </c>
      <c r="K581" s="71" t="s">
        <v>2670</v>
      </c>
      <c r="L581" s="71" t="s">
        <v>2604</v>
      </c>
      <c r="M581" s="71" t="s">
        <v>2671</v>
      </c>
      <c r="N581" s="71" t="s">
        <v>2911</v>
      </c>
      <c r="O581" s="71" t="s">
        <v>2692</v>
      </c>
      <c r="P581" s="71" t="s">
        <v>2604</v>
      </c>
      <c r="Q581" s="71" t="s">
        <v>2912</v>
      </c>
      <c r="R581" s="71" t="s">
        <v>2604</v>
      </c>
      <c r="S581" s="71" t="s">
        <v>2604</v>
      </c>
      <c r="T581" s="71" t="s">
        <v>2604</v>
      </c>
      <c r="U581" s="71" t="s">
        <v>2604</v>
      </c>
      <c r="V581" s="71" t="s">
        <v>2658</v>
      </c>
    </row>
    <row r="582" spans="1:22">
      <c r="A582" s="71" t="s">
        <v>2659</v>
      </c>
      <c r="B582" s="71" t="s">
        <v>2646</v>
      </c>
      <c r="C582" s="72">
        <v>45810.444206087966</v>
      </c>
      <c r="D582" s="72">
        <v>45810.444206087966</v>
      </c>
      <c r="E582" s="71" t="s">
        <v>365</v>
      </c>
      <c r="F582" s="71" t="s">
        <v>485</v>
      </c>
      <c r="G582" s="71" t="s">
        <v>486</v>
      </c>
      <c r="H582" s="71" t="s">
        <v>484</v>
      </c>
      <c r="I582" s="71" t="s">
        <v>2604</v>
      </c>
      <c r="J582" s="71" t="s">
        <v>752</v>
      </c>
      <c r="K582" s="71" t="s">
        <v>2723</v>
      </c>
      <c r="L582" s="71" t="s">
        <v>2665</v>
      </c>
      <c r="M582" s="71" t="s">
        <v>2759</v>
      </c>
      <c r="N582" s="71" t="s">
        <v>2759</v>
      </c>
      <c r="O582" s="71" t="s">
        <v>2692</v>
      </c>
      <c r="P582" s="71" t="s">
        <v>2604</v>
      </c>
      <c r="Q582" s="71" t="s">
        <v>2760</v>
      </c>
      <c r="R582" s="71" t="s">
        <v>2604</v>
      </c>
      <c r="S582" s="71" t="s">
        <v>2604</v>
      </c>
      <c r="T582" s="71" t="s">
        <v>2604</v>
      </c>
      <c r="U582" s="71" t="s">
        <v>2604</v>
      </c>
      <c r="V582" s="71" t="s">
        <v>2635</v>
      </c>
    </row>
    <row r="583" spans="1:22">
      <c r="A583" s="71" t="s">
        <v>2659</v>
      </c>
      <c r="B583" s="71" t="s">
        <v>56</v>
      </c>
      <c r="C583" s="72">
        <v>45890.58737011574</v>
      </c>
      <c r="D583" s="72">
        <v>45890.58737011574</v>
      </c>
      <c r="E583" s="71" t="s">
        <v>365</v>
      </c>
      <c r="F583" s="71" t="s">
        <v>713</v>
      </c>
      <c r="G583" s="71" t="s">
        <v>714</v>
      </c>
      <c r="H583" s="71" t="s">
        <v>712</v>
      </c>
      <c r="I583" s="71" t="s">
        <v>2604</v>
      </c>
      <c r="J583" s="71" t="s">
        <v>752</v>
      </c>
      <c r="K583" s="71" t="s">
        <v>2675</v>
      </c>
      <c r="L583" s="71" t="s">
        <v>2712</v>
      </c>
      <c r="M583" s="71" t="s">
        <v>2713</v>
      </c>
      <c r="N583" s="71" t="s">
        <v>2713</v>
      </c>
      <c r="O583" s="71" t="s">
        <v>2640</v>
      </c>
      <c r="P583" s="71" t="s">
        <v>2604</v>
      </c>
      <c r="Q583" s="71" t="s">
        <v>2714</v>
      </c>
      <c r="R583" s="71" t="s">
        <v>2604</v>
      </c>
      <c r="S583" s="71" t="s">
        <v>2604</v>
      </c>
      <c r="T583" s="71" t="s">
        <v>2604</v>
      </c>
      <c r="U583" s="71" t="s">
        <v>2604</v>
      </c>
      <c r="V583" s="71" t="s">
        <v>2664</v>
      </c>
    </row>
    <row r="584" spans="1:22">
      <c r="A584" s="71" t="s">
        <v>2659</v>
      </c>
      <c r="B584" s="71" t="s">
        <v>84</v>
      </c>
      <c r="C584" s="72">
        <v>45860.424292361109</v>
      </c>
      <c r="D584" s="72">
        <v>45860.424292361109</v>
      </c>
      <c r="E584" s="71" t="s">
        <v>365</v>
      </c>
      <c r="F584" s="71" t="s">
        <v>2805</v>
      </c>
      <c r="G584" s="71" t="s">
        <v>2806</v>
      </c>
      <c r="H584" s="71" t="s">
        <v>613</v>
      </c>
      <c r="I584" s="71" t="s">
        <v>2604</v>
      </c>
      <c r="J584" s="71" t="s">
        <v>774</v>
      </c>
      <c r="K584" s="71" t="s">
        <v>2670</v>
      </c>
      <c r="L584" s="71" t="s">
        <v>2604</v>
      </c>
      <c r="M584" s="71" t="s">
        <v>2671</v>
      </c>
      <c r="N584" s="71" t="s">
        <v>2671</v>
      </c>
      <c r="O584" s="71" t="s">
        <v>2640</v>
      </c>
      <c r="P584" s="71" t="s">
        <v>2604</v>
      </c>
      <c r="Q584" s="71" t="s">
        <v>2807</v>
      </c>
      <c r="R584" s="71" t="s">
        <v>2604</v>
      </c>
      <c r="S584" s="71" t="s">
        <v>2604</v>
      </c>
      <c r="T584" s="71" t="s">
        <v>2604</v>
      </c>
      <c r="U584" s="71" t="s">
        <v>2604</v>
      </c>
      <c r="V584" s="71" t="s">
        <v>2635</v>
      </c>
    </row>
    <row r="585" spans="1:22">
      <c r="A585" s="71" t="s">
        <v>2659</v>
      </c>
      <c r="B585" s="71" t="s">
        <v>2646</v>
      </c>
      <c r="C585" s="72">
        <v>45771.468429016204</v>
      </c>
      <c r="D585" s="72">
        <v>45771.468429016204</v>
      </c>
      <c r="E585" s="71" t="s">
        <v>365</v>
      </c>
      <c r="F585" s="71" t="s">
        <v>438</v>
      </c>
      <c r="G585" s="71" t="s">
        <v>439</v>
      </c>
      <c r="H585" s="71" t="s">
        <v>437</v>
      </c>
      <c r="I585" s="71" t="s">
        <v>2604</v>
      </c>
      <c r="J585" s="71" t="s">
        <v>752</v>
      </c>
      <c r="K585" s="71" t="s">
        <v>2723</v>
      </c>
      <c r="L585" s="71" t="s">
        <v>2665</v>
      </c>
      <c r="M585" s="71" t="s">
        <v>2969</v>
      </c>
      <c r="N585" s="71" t="s">
        <v>2836</v>
      </c>
      <c r="O585" s="71" t="s">
        <v>2692</v>
      </c>
      <c r="P585" s="71" t="s">
        <v>2604</v>
      </c>
      <c r="Q585" s="71" t="s">
        <v>2970</v>
      </c>
      <c r="R585" s="71" t="s">
        <v>2604</v>
      </c>
      <c r="S585" s="71" t="s">
        <v>2604</v>
      </c>
      <c r="T585" s="71" t="s">
        <v>2604</v>
      </c>
      <c r="U585" s="71" t="s">
        <v>2604</v>
      </c>
      <c r="V585" s="71" t="s">
        <v>2635</v>
      </c>
    </row>
    <row r="586" spans="1:22">
      <c r="A586" s="71" t="s">
        <v>2659</v>
      </c>
      <c r="B586" s="71" t="s">
        <v>659</v>
      </c>
      <c r="C586" s="72">
        <v>45889.492178900466</v>
      </c>
      <c r="D586" s="72">
        <v>45889.492178900466</v>
      </c>
      <c r="E586" s="71" t="s">
        <v>365</v>
      </c>
      <c r="F586" s="71" t="s">
        <v>707</v>
      </c>
      <c r="G586" s="71" t="s">
        <v>3201</v>
      </c>
      <c r="H586" s="71" t="s">
        <v>706</v>
      </c>
      <c r="I586" s="71" t="s">
        <v>2604</v>
      </c>
      <c r="J586" s="71" t="s">
        <v>744</v>
      </c>
      <c r="K586" s="71" t="s">
        <v>2665</v>
      </c>
      <c r="L586" s="71" t="s">
        <v>2821</v>
      </c>
      <c r="M586" s="71" t="s">
        <v>2671</v>
      </c>
      <c r="N586" s="71" t="s">
        <v>2662</v>
      </c>
      <c r="O586" s="71" t="s">
        <v>2604</v>
      </c>
      <c r="P586" s="71" t="s">
        <v>2604</v>
      </c>
      <c r="Q586" s="71" t="s">
        <v>3202</v>
      </c>
      <c r="R586" s="71" t="s">
        <v>2604</v>
      </c>
      <c r="S586" s="71" t="s">
        <v>2604</v>
      </c>
      <c r="T586" s="71" t="s">
        <v>2604</v>
      </c>
      <c r="U586" s="71" t="s">
        <v>2604</v>
      </c>
      <c r="V586" s="71" t="s">
        <v>2657</v>
      </c>
    </row>
    <row r="587" spans="1:22">
      <c r="A587" s="71" t="s">
        <v>2659</v>
      </c>
      <c r="B587" s="71" t="s">
        <v>659</v>
      </c>
      <c r="C587" s="72">
        <v>46031.594303344908</v>
      </c>
      <c r="D587" s="72">
        <v>46031.594303344908</v>
      </c>
      <c r="E587" s="71" t="s">
        <v>365</v>
      </c>
      <c r="F587" s="71" t="s">
        <v>1037</v>
      </c>
      <c r="G587" s="71" t="s">
        <v>1038</v>
      </c>
      <c r="H587" s="71" t="s">
        <v>1036</v>
      </c>
      <c r="I587" s="71" t="s">
        <v>2604</v>
      </c>
      <c r="J587" s="71" t="s">
        <v>744</v>
      </c>
      <c r="K587" s="71" t="s">
        <v>2665</v>
      </c>
      <c r="L587" s="71" t="s">
        <v>2821</v>
      </c>
      <c r="M587" s="71" t="s">
        <v>3134</v>
      </c>
      <c r="N587" s="71" t="s">
        <v>3134</v>
      </c>
      <c r="O587" s="71" t="s">
        <v>2640</v>
      </c>
      <c r="P587" s="71" t="s">
        <v>2604</v>
      </c>
      <c r="Q587" s="71" t="s">
        <v>3135</v>
      </c>
      <c r="R587" s="71" t="s">
        <v>2604</v>
      </c>
      <c r="S587" s="71" t="s">
        <v>2604</v>
      </c>
      <c r="T587" s="71" t="s">
        <v>2604</v>
      </c>
      <c r="U587" s="71" t="s">
        <v>2604</v>
      </c>
      <c r="V587" s="71" t="s">
        <v>2635</v>
      </c>
    </row>
    <row r="588" spans="1:22">
      <c r="A588" s="71" t="s">
        <v>2659</v>
      </c>
      <c r="B588" s="71" t="s">
        <v>56</v>
      </c>
      <c r="C588" s="72">
        <v>45853.654062280089</v>
      </c>
      <c r="D588" s="72">
        <v>45853.654062280089</v>
      </c>
      <c r="E588" s="71" t="s">
        <v>365</v>
      </c>
      <c r="F588" s="71" t="s">
        <v>2895</v>
      </c>
      <c r="G588" s="71" t="s">
        <v>564</v>
      </c>
      <c r="H588" s="71" t="s">
        <v>562</v>
      </c>
      <c r="I588" s="71" t="s">
        <v>2604</v>
      </c>
      <c r="J588" s="71" t="s">
        <v>813</v>
      </c>
      <c r="K588" s="71" t="s">
        <v>2648</v>
      </c>
      <c r="L588" s="71" t="s">
        <v>2649</v>
      </c>
      <c r="M588" s="71" t="s">
        <v>2650</v>
      </c>
      <c r="N588" s="71" t="s">
        <v>2896</v>
      </c>
      <c r="O588" s="71" t="s">
        <v>2640</v>
      </c>
      <c r="P588" s="71" t="s">
        <v>2604</v>
      </c>
      <c r="Q588" s="71" t="s">
        <v>2897</v>
      </c>
      <c r="R588" s="71" t="s">
        <v>2604</v>
      </c>
      <c r="S588" s="71" t="s">
        <v>2604</v>
      </c>
      <c r="T588" s="71" t="s">
        <v>2604</v>
      </c>
      <c r="U588" s="71" t="s">
        <v>2604</v>
      </c>
      <c r="V588" s="71" t="s">
        <v>2664</v>
      </c>
    </row>
    <row r="589" spans="1:22">
      <c r="A589" s="71" t="s">
        <v>2659</v>
      </c>
      <c r="B589" s="71" t="s">
        <v>84</v>
      </c>
      <c r="C589" s="72">
        <v>45947.461418981482</v>
      </c>
      <c r="D589" s="72">
        <v>45947.461418981482</v>
      </c>
      <c r="E589" s="71" t="s">
        <v>380</v>
      </c>
      <c r="F589" s="71" t="s">
        <v>891</v>
      </c>
      <c r="G589" s="71" t="s">
        <v>892</v>
      </c>
      <c r="H589" s="71" t="s">
        <v>890</v>
      </c>
      <c r="I589" s="71" t="s">
        <v>2604</v>
      </c>
      <c r="J589" s="71" t="s">
        <v>744</v>
      </c>
      <c r="K589" s="71" t="s">
        <v>2665</v>
      </c>
      <c r="L589" s="71" t="s">
        <v>2704</v>
      </c>
      <c r="M589" s="71" t="s">
        <v>2671</v>
      </c>
      <c r="N589" s="71" t="s">
        <v>3249</v>
      </c>
      <c r="O589" s="71" t="s">
        <v>2640</v>
      </c>
      <c r="P589" s="71" t="s">
        <v>2604</v>
      </c>
      <c r="Q589" s="71" t="s">
        <v>3250</v>
      </c>
      <c r="R589" s="71" t="s">
        <v>2604</v>
      </c>
      <c r="S589" s="71" t="s">
        <v>2604</v>
      </c>
      <c r="T589" s="71" t="s">
        <v>2604</v>
      </c>
      <c r="U589" s="71" t="s">
        <v>2604</v>
      </c>
      <c r="V589" s="71" t="s">
        <v>2635</v>
      </c>
    </row>
    <row r="590" spans="1:22">
      <c r="A590" s="71" t="s">
        <v>2659</v>
      </c>
      <c r="B590" s="71" t="s">
        <v>56</v>
      </c>
      <c r="C590" s="72">
        <v>45924.816488009259</v>
      </c>
      <c r="D590" s="72">
        <v>45924.816488009259</v>
      </c>
      <c r="E590" s="71" t="s">
        <v>473</v>
      </c>
      <c r="F590" s="71" t="s">
        <v>836</v>
      </c>
      <c r="G590" s="71" t="s">
        <v>3074</v>
      </c>
      <c r="H590" s="71" t="s">
        <v>835</v>
      </c>
      <c r="I590" s="71" t="s">
        <v>2604</v>
      </c>
      <c r="J590" s="71" t="s">
        <v>813</v>
      </c>
      <c r="K590" s="71" t="s">
        <v>2648</v>
      </c>
      <c r="L590" s="71" t="s">
        <v>2649</v>
      </c>
      <c r="M590" s="71" t="s">
        <v>2726</v>
      </c>
      <c r="N590" s="71" t="s">
        <v>2726</v>
      </c>
      <c r="O590" s="71" t="s">
        <v>2640</v>
      </c>
      <c r="P590" s="71" t="s">
        <v>2604</v>
      </c>
      <c r="Q590" s="71" t="s">
        <v>3075</v>
      </c>
      <c r="R590" s="71" t="s">
        <v>2604</v>
      </c>
      <c r="S590" s="71" t="s">
        <v>2604</v>
      </c>
      <c r="T590" s="71" t="s">
        <v>2604</v>
      </c>
      <c r="U590" s="71" t="s">
        <v>2604</v>
      </c>
      <c r="V590" s="71" t="s">
        <v>2618</v>
      </c>
    </row>
    <row r="591" spans="1:22">
      <c r="A591" s="71" t="s">
        <v>2659</v>
      </c>
      <c r="B591" s="71" t="s">
        <v>56</v>
      </c>
      <c r="C591" s="72">
        <v>45860.2882503125</v>
      </c>
      <c r="D591" s="72">
        <v>45860.2882503125</v>
      </c>
      <c r="E591" s="71" t="s">
        <v>365</v>
      </c>
      <c r="F591" s="71" t="s">
        <v>608</v>
      </c>
      <c r="G591" s="71" t="s">
        <v>609</v>
      </c>
      <c r="H591" s="71" t="s">
        <v>607</v>
      </c>
      <c r="I591" s="71" t="s">
        <v>2604</v>
      </c>
      <c r="J591" s="71" t="s">
        <v>774</v>
      </c>
      <c r="K591" s="71" t="s">
        <v>2670</v>
      </c>
      <c r="L591" s="71" t="s">
        <v>2604</v>
      </c>
      <c r="M591" s="71" t="s">
        <v>2671</v>
      </c>
      <c r="N591" s="71" t="s">
        <v>2671</v>
      </c>
      <c r="O591" s="71" t="s">
        <v>2640</v>
      </c>
      <c r="P591" s="71" t="s">
        <v>2604</v>
      </c>
      <c r="Q591" s="71" t="s">
        <v>3199</v>
      </c>
      <c r="R591" s="71" t="s">
        <v>2604</v>
      </c>
      <c r="S591" s="71" t="s">
        <v>2604</v>
      </c>
      <c r="T591" s="71" t="s">
        <v>2604</v>
      </c>
      <c r="U591" s="71" t="s">
        <v>2604</v>
      </c>
      <c r="V591" s="71" t="s">
        <v>2635</v>
      </c>
    </row>
    <row r="592" spans="1:22">
      <c r="A592" s="71" t="s">
        <v>2659</v>
      </c>
      <c r="B592" s="71" t="s">
        <v>56</v>
      </c>
      <c r="C592" s="72">
        <v>45861.726970532407</v>
      </c>
      <c r="D592" s="72">
        <v>45861.726970532407</v>
      </c>
      <c r="E592" s="71" t="s">
        <v>135</v>
      </c>
      <c r="F592" s="71" t="s">
        <v>3245</v>
      </c>
      <c r="G592" s="71" t="s">
        <v>623</v>
      </c>
      <c r="H592" s="71" t="s">
        <v>621</v>
      </c>
      <c r="I592" s="71" t="s">
        <v>2604</v>
      </c>
      <c r="J592" s="71" t="s">
        <v>752</v>
      </c>
      <c r="K592" s="71" t="s">
        <v>2723</v>
      </c>
      <c r="L592" s="71" t="s">
        <v>2665</v>
      </c>
      <c r="M592" s="71" t="s">
        <v>3246</v>
      </c>
      <c r="N592" s="71" t="s">
        <v>3247</v>
      </c>
      <c r="O592" s="71" t="s">
        <v>2640</v>
      </c>
      <c r="P592" s="71" t="s">
        <v>2604</v>
      </c>
      <c r="Q592" s="71" t="s">
        <v>3248</v>
      </c>
      <c r="R592" s="71" t="s">
        <v>2604</v>
      </c>
      <c r="S592" s="71" t="s">
        <v>2604</v>
      </c>
      <c r="T592" s="71" t="s">
        <v>2604</v>
      </c>
      <c r="U592" s="71" t="s">
        <v>2604</v>
      </c>
      <c r="V592" s="71" t="s">
        <v>2604</v>
      </c>
    </row>
    <row r="593" spans="1:22">
      <c r="A593" s="71" t="s">
        <v>2659</v>
      </c>
      <c r="B593" s="71" t="s">
        <v>2646</v>
      </c>
      <c r="C593" s="72">
        <v>45796.596171620367</v>
      </c>
      <c r="D593" s="72">
        <v>45796.596171620367</v>
      </c>
      <c r="E593" s="71" t="s">
        <v>365</v>
      </c>
      <c r="F593" s="71" t="s">
        <v>468</v>
      </c>
      <c r="G593" s="71" t="s">
        <v>469</v>
      </c>
      <c r="H593" s="71" t="s">
        <v>467</v>
      </c>
      <c r="I593" s="71" t="s">
        <v>2604</v>
      </c>
      <c r="J593" s="71" t="s">
        <v>774</v>
      </c>
      <c r="K593" s="71" t="s">
        <v>2670</v>
      </c>
      <c r="L593" s="71" t="s">
        <v>2604</v>
      </c>
      <c r="M593" s="71" t="s">
        <v>2671</v>
      </c>
      <c r="N593" s="71" t="s">
        <v>2671</v>
      </c>
      <c r="O593" s="71" t="s">
        <v>2692</v>
      </c>
      <c r="P593" s="71" t="s">
        <v>2604</v>
      </c>
      <c r="Q593" s="71" t="s">
        <v>3176</v>
      </c>
      <c r="R593" s="71" t="s">
        <v>2604</v>
      </c>
      <c r="S593" s="71" t="s">
        <v>2604</v>
      </c>
      <c r="T593" s="71" t="s">
        <v>2604</v>
      </c>
      <c r="U593" s="71" t="s">
        <v>2604</v>
      </c>
      <c r="V593" s="71" t="s">
        <v>2604</v>
      </c>
    </row>
    <row r="594" spans="1:22">
      <c r="A594" s="71" t="s">
        <v>2659</v>
      </c>
      <c r="B594" s="71" t="s">
        <v>84</v>
      </c>
      <c r="C594" s="72">
        <v>45892.431569884262</v>
      </c>
      <c r="D594" s="72">
        <v>45892.431569884262</v>
      </c>
      <c r="E594" s="71" t="s">
        <v>365</v>
      </c>
      <c r="F594" s="71" t="s">
        <v>722</v>
      </c>
      <c r="G594" s="71" t="s">
        <v>723</v>
      </c>
      <c r="H594" s="71" t="s">
        <v>721</v>
      </c>
      <c r="I594" s="71" t="s">
        <v>2604</v>
      </c>
      <c r="J594" s="71" t="s">
        <v>744</v>
      </c>
      <c r="K594" s="71" t="s">
        <v>2665</v>
      </c>
      <c r="L594" s="71" t="s">
        <v>2704</v>
      </c>
      <c r="M594" s="71" t="s">
        <v>2671</v>
      </c>
      <c r="N594" s="71" t="s">
        <v>3251</v>
      </c>
      <c r="O594" s="71" t="s">
        <v>2640</v>
      </c>
      <c r="P594" s="71" t="s">
        <v>2604</v>
      </c>
      <c r="Q594" s="71" t="s">
        <v>3252</v>
      </c>
      <c r="R594" s="71" t="s">
        <v>2604</v>
      </c>
      <c r="S594" s="71" t="s">
        <v>2604</v>
      </c>
      <c r="T594" s="71" t="s">
        <v>2604</v>
      </c>
      <c r="U594" s="71" t="s">
        <v>2604</v>
      </c>
      <c r="V594" s="71" t="s">
        <v>2604</v>
      </c>
    </row>
    <row r="595" spans="1:22">
      <c r="A595" s="71" t="s">
        <v>2659</v>
      </c>
      <c r="B595" s="71" t="s">
        <v>724</v>
      </c>
      <c r="C595" s="72">
        <v>46066.686810057872</v>
      </c>
      <c r="D595" s="72">
        <v>46066.686810057872</v>
      </c>
      <c r="E595" s="71" t="s">
        <v>365</v>
      </c>
      <c r="F595" s="71" t="s">
        <v>1101</v>
      </c>
      <c r="G595" s="71" t="s">
        <v>1102</v>
      </c>
      <c r="H595" s="71" t="s">
        <v>1100</v>
      </c>
      <c r="I595" s="71" t="s">
        <v>2604</v>
      </c>
      <c r="J595" s="71" t="s">
        <v>774</v>
      </c>
      <c r="K595" s="71" t="s">
        <v>2738</v>
      </c>
      <c r="L595" s="71" t="s">
        <v>2604</v>
      </c>
      <c r="M595" s="71" t="s">
        <v>2739</v>
      </c>
      <c r="N595" s="71" t="s">
        <v>3218</v>
      </c>
      <c r="O595" s="71" t="s">
        <v>2640</v>
      </c>
      <c r="P595" s="71" t="s">
        <v>2604</v>
      </c>
      <c r="Q595" s="71" t="s">
        <v>3219</v>
      </c>
      <c r="R595" s="71" t="s">
        <v>2604</v>
      </c>
      <c r="S595" s="71" t="s">
        <v>2604</v>
      </c>
      <c r="T595" s="71" t="s">
        <v>2604</v>
      </c>
      <c r="U595" s="71" t="s">
        <v>2604</v>
      </c>
      <c r="V595" s="71" t="s">
        <v>2604</v>
      </c>
    </row>
    <row r="596" spans="1:22">
      <c r="A596" s="71" t="s">
        <v>2659</v>
      </c>
      <c r="B596" s="71" t="s">
        <v>56</v>
      </c>
      <c r="C596" s="72">
        <v>46001.45137077546</v>
      </c>
      <c r="D596" s="72">
        <v>46001.45137077546</v>
      </c>
      <c r="E596" s="71" t="s">
        <v>135</v>
      </c>
      <c r="F596" s="71" t="s">
        <v>995</v>
      </c>
      <c r="G596" s="71" t="s">
        <v>3089</v>
      </c>
      <c r="H596" s="71" t="s">
        <v>994</v>
      </c>
      <c r="I596" s="71" t="s">
        <v>2604</v>
      </c>
      <c r="J596" s="71" t="s">
        <v>752</v>
      </c>
      <c r="K596" s="71" t="s">
        <v>2675</v>
      </c>
      <c r="L596" s="71" t="s">
        <v>2790</v>
      </c>
      <c r="M596" s="71" t="s">
        <v>3090</v>
      </c>
      <c r="N596" s="71" t="s">
        <v>3090</v>
      </c>
      <c r="O596" s="71" t="s">
        <v>2640</v>
      </c>
      <c r="P596" s="71" t="s">
        <v>2604</v>
      </c>
      <c r="Q596" s="71" t="s">
        <v>3091</v>
      </c>
      <c r="R596" s="71" t="s">
        <v>2604</v>
      </c>
      <c r="S596" s="71" t="s">
        <v>2604</v>
      </c>
      <c r="T596" s="71" t="s">
        <v>2604</v>
      </c>
      <c r="U596" s="71" t="s">
        <v>2604</v>
      </c>
      <c r="V596" s="71" t="s">
        <v>2618</v>
      </c>
    </row>
    <row r="597" spans="1:22">
      <c r="A597" s="71" t="s">
        <v>2659</v>
      </c>
      <c r="B597" s="71" t="s">
        <v>84</v>
      </c>
      <c r="C597" s="72">
        <v>45913.685771608798</v>
      </c>
      <c r="D597" s="72">
        <v>45913.685771608798</v>
      </c>
      <c r="E597" s="71" t="s">
        <v>365</v>
      </c>
      <c r="F597" s="71" t="s">
        <v>801</v>
      </c>
      <c r="G597" s="71" t="s">
        <v>802</v>
      </c>
      <c r="H597" s="71" t="s">
        <v>800</v>
      </c>
      <c r="I597" s="71" t="s">
        <v>2604</v>
      </c>
      <c r="J597" s="71" t="s">
        <v>769</v>
      </c>
      <c r="K597" s="71" t="s">
        <v>2773</v>
      </c>
      <c r="L597" s="71" t="s">
        <v>2670</v>
      </c>
      <c r="M597" s="71" t="s">
        <v>3225</v>
      </c>
      <c r="N597" s="71" t="s">
        <v>3225</v>
      </c>
      <c r="O597" s="71" t="s">
        <v>2640</v>
      </c>
      <c r="P597" s="71" t="s">
        <v>2604</v>
      </c>
      <c r="Q597" s="71" t="s">
        <v>3226</v>
      </c>
      <c r="R597" s="71" t="s">
        <v>2604</v>
      </c>
      <c r="S597" s="71" t="s">
        <v>2604</v>
      </c>
      <c r="T597" s="71" t="s">
        <v>2604</v>
      </c>
      <c r="U597" s="71" t="s">
        <v>2604</v>
      </c>
      <c r="V597" s="71" t="s">
        <v>2604</v>
      </c>
    </row>
    <row r="598" spans="1:22">
      <c r="A598" s="71" t="s">
        <v>2659</v>
      </c>
      <c r="B598" s="71" t="s">
        <v>56</v>
      </c>
      <c r="C598" s="72">
        <v>46057.682791874999</v>
      </c>
      <c r="D598" s="72">
        <v>46057.682791874999</v>
      </c>
      <c r="E598" s="71" t="s">
        <v>365</v>
      </c>
      <c r="F598" s="71" t="s">
        <v>1077</v>
      </c>
      <c r="G598" s="71" t="s">
        <v>1078</v>
      </c>
      <c r="H598" s="71" t="s">
        <v>1076</v>
      </c>
      <c r="I598" s="71" t="s">
        <v>2604</v>
      </c>
      <c r="J598" s="71" t="s">
        <v>747</v>
      </c>
      <c r="K598" s="71" t="s">
        <v>2768</v>
      </c>
      <c r="L598" s="71" t="s">
        <v>2769</v>
      </c>
      <c r="M598" s="71" t="s">
        <v>2782</v>
      </c>
      <c r="N598" s="71" t="s">
        <v>2783</v>
      </c>
      <c r="O598" s="71" t="s">
        <v>2640</v>
      </c>
      <c r="P598" s="71" t="s">
        <v>2604</v>
      </c>
      <c r="Q598" s="71" t="s">
        <v>2784</v>
      </c>
      <c r="R598" s="71" t="s">
        <v>2604</v>
      </c>
      <c r="S598" s="71" t="s">
        <v>2604</v>
      </c>
      <c r="T598" s="71" t="s">
        <v>2604</v>
      </c>
      <c r="U598" s="71" t="s">
        <v>2604</v>
      </c>
      <c r="V598" s="71" t="s">
        <v>2604</v>
      </c>
    </row>
    <row r="599" spans="1:22">
      <c r="A599" s="71" t="s">
        <v>2659</v>
      </c>
      <c r="B599" s="71" t="s">
        <v>2646</v>
      </c>
      <c r="C599" s="72">
        <v>45826.598249976851</v>
      </c>
      <c r="D599" s="72">
        <v>45826.598249976851</v>
      </c>
      <c r="E599" s="71" t="s">
        <v>365</v>
      </c>
      <c r="F599" s="71" t="s">
        <v>524</v>
      </c>
      <c r="G599" s="71" t="s">
        <v>525</v>
      </c>
      <c r="H599" s="71" t="s">
        <v>523</v>
      </c>
      <c r="I599" s="71" t="s">
        <v>2604</v>
      </c>
      <c r="J599" s="71" t="s">
        <v>774</v>
      </c>
      <c r="K599" s="71" t="s">
        <v>2660</v>
      </c>
      <c r="L599" s="71" t="s">
        <v>2604</v>
      </c>
      <c r="M599" s="71" t="s">
        <v>2928</v>
      </c>
      <c r="N599" s="71" t="s">
        <v>3052</v>
      </c>
      <c r="O599" s="71" t="s">
        <v>2692</v>
      </c>
      <c r="P599" s="71" t="s">
        <v>2604</v>
      </c>
      <c r="Q599" s="71" t="s">
        <v>3053</v>
      </c>
      <c r="R599" s="71" t="s">
        <v>2604</v>
      </c>
      <c r="S599" s="71" t="s">
        <v>2604</v>
      </c>
      <c r="T599" s="71" t="s">
        <v>2604</v>
      </c>
      <c r="U599" s="71" t="s">
        <v>2604</v>
      </c>
      <c r="V599" s="71" t="s">
        <v>2604</v>
      </c>
    </row>
    <row r="600" spans="1:22">
      <c r="A600" s="71" t="s">
        <v>2659</v>
      </c>
      <c r="B600" s="71" t="s">
        <v>2646</v>
      </c>
      <c r="C600" s="72">
        <v>45779.342285416664</v>
      </c>
      <c r="D600" s="72">
        <v>45779.342285416664</v>
      </c>
      <c r="E600" s="71" t="s">
        <v>380</v>
      </c>
      <c r="F600" s="71" t="s">
        <v>444</v>
      </c>
      <c r="G600" s="71" t="s">
        <v>2879</v>
      </c>
      <c r="H600" s="71" t="s">
        <v>443</v>
      </c>
      <c r="I600" s="71" t="s">
        <v>2604</v>
      </c>
      <c r="J600" s="71" t="s">
        <v>752</v>
      </c>
      <c r="K600" s="71" t="s">
        <v>2723</v>
      </c>
      <c r="L600" s="71" t="s">
        <v>2665</v>
      </c>
      <c r="M600" s="71" t="s">
        <v>2880</v>
      </c>
      <c r="N600" s="71" t="s">
        <v>2881</v>
      </c>
      <c r="O600" s="71" t="s">
        <v>2692</v>
      </c>
      <c r="P600" s="71" t="s">
        <v>2604</v>
      </c>
      <c r="Q600" s="71" t="s">
        <v>2882</v>
      </c>
      <c r="R600" s="71" t="s">
        <v>2604</v>
      </c>
      <c r="S600" s="71" t="s">
        <v>2604</v>
      </c>
      <c r="T600" s="71" t="s">
        <v>2604</v>
      </c>
      <c r="U600" s="71" t="s">
        <v>2604</v>
      </c>
      <c r="V600" s="71" t="s">
        <v>2604</v>
      </c>
    </row>
    <row r="601" spans="1:22">
      <c r="A601" s="71" t="s">
        <v>2659</v>
      </c>
      <c r="B601" s="71" t="s">
        <v>56</v>
      </c>
      <c r="C601" s="72">
        <v>45867.448190960647</v>
      </c>
      <c r="D601" s="72">
        <v>45867.448190960647</v>
      </c>
      <c r="E601" s="71" t="s">
        <v>365</v>
      </c>
      <c r="F601" s="71" t="s">
        <v>3081</v>
      </c>
      <c r="G601" s="71" t="s">
        <v>653</v>
      </c>
      <c r="H601" s="71" t="s">
        <v>651</v>
      </c>
      <c r="I601" s="71" t="s">
        <v>2604</v>
      </c>
      <c r="J601" s="71" t="s">
        <v>769</v>
      </c>
      <c r="K601" s="71" t="s">
        <v>2773</v>
      </c>
      <c r="L601" s="71" t="s">
        <v>2670</v>
      </c>
      <c r="M601" s="71" t="s">
        <v>2774</v>
      </c>
      <c r="N601" s="71" t="s">
        <v>2638</v>
      </c>
      <c r="O601" s="71" t="s">
        <v>2640</v>
      </c>
      <c r="P601" s="71" t="s">
        <v>2604</v>
      </c>
      <c r="Q601" s="71" t="s">
        <v>3082</v>
      </c>
      <c r="R601" s="71" t="s">
        <v>2604</v>
      </c>
      <c r="S601" s="71" t="s">
        <v>2604</v>
      </c>
      <c r="T601" s="71" t="s">
        <v>2604</v>
      </c>
      <c r="U601" s="71" t="s">
        <v>2604</v>
      </c>
      <c r="V601" s="71" t="s">
        <v>2604</v>
      </c>
    </row>
    <row r="602" spans="1:22">
      <c r="A602" s="71" t="s">
        <v>2659</v>
      </c>
      <c r="B602" s="71" t="s">
        <v>84</v>
      </c>
      <c r="C602" s="72">
        <v>45902.624083344905</v>
      </c>
      <c r="D602" s="72">
        <v>45902.624083344905</v>
      </c>
      <c r="E602" s="71" t="s">
        <v>365</v>
      </c>
      <c r="F602" s="71" t="s">
        <v>764</v>
      </c>
      <c r="G602" s="71" t="s">
        <v>765</v>
      </c>
      <c r="H602" s="71" t="s">
        <v>763</v>
      </c>
      <c r="I602" s="71" t="s">
        <v>2604</v>
      </c>
      <c r="J602" s="71" t="s">
        <v>744</v>
      </c>
      <c r="K602" s="71" t="s">
        <v>2665</v>
      </c>
      <c r="L602" s="71" t="s">
        <v>2821</v>
      </c>
      <c r="M602" s="71" t="s">
        <v>2671</v>
      </c>
      <c r="N602" s="71" t="s">
        <v>3253</v>
      </c>
      <c r="O602" s="71" t="s">
        <v>2640</v>
      </c>
      <c r="P602" s="71" t="s">
        <v>2604</v>
      </c>
      <c r="Q602" s="71" t="s">
        <v>3254</v>
      </c>
      <c r="R602" s="71" t="s">
        <v>2604</v>
      </c>
      <c r="S602" s="71" t="s">
        <v>2604</v>
      </c>
      <c r="T602" s="71" t="s">
        <v>2604</v>
      </c>
      <c r="U602" s="71" t="s">
        <v>2604</v>
      </c>
      <c r="V602" s="71" t="s">
        <v>2604</v>
      </c>
    </row>
    <row r="603" spans="1:22">
      <c r="A603" s="71" t="s">
        <v>2659</v>
      </c>
      <c r="B603" s="71" t="s">
        <v>84</v>
      </c>
      <c r="C603" s="72">
        <v>45927.823777673613</v>
      </c>
      <c r="D603" s="72">
        <v>45927.823777673613</v>
      </c>
      <c r="E603" s="71" t="s">
        <v>365</v>
      </c>
      <c r="F603" s="71" t="s">
        <v>846</v>
      </c>
      <c r="G603" s="71" t="s">
        <v>3068</v>
      </c>
      <c r="H603" s="71" t="s">
        <v>845</v>
      </c>
      <c r="I603" s="71" t="s">
        <v>2604</v>
      </c>
      <c r="J603" s="71" t="s">
        <v>769</v>
      </c>
      <c r="K603" s="71" t="s">
        <v>2773</v>
      </c>
      <c r="L603" s="71" t="s">
        <v>2670</v>
      </c>
      <c r="M603" s="71" t="s">
        <v>2638</v>
      </c>
      <c r="N603" s="71" t="s">
        <v>3069</v>
      </c>
      <c r="O603" s="71" t="s">
        <v>2640</v>
      </c>
      <c r="P603" s="71" t="s">
        <v>2604</v>
      </c>
      <c r="Q603" s="71" t="s">
        <v>3070</v>
      </c>
      <c r="R603" s="71" t="s">
        <v>2604</v>
      </c>
      <c r="S603" s="71" t="s">
        <v>2604</v>
      </c>
      <c r="T603" s="71" t="s">
        <v>2604</v>
      </c>
      <c r="U603" s="71" t="s">
        <v>2604</v>
      </c>
      <c r="V603" s="71" t="s">
        <v>2604</v>
      </c>
    </row>
    <row r="604" spans="1:22">
      <c r="A604" s="71" t="s">
        <v>2659</v>
      </c>
      <c r="B604" s="71" t="s">
        <v>56</v>
      </c>
      <c r="C604" s="72">
        <v>45959.759778692132</v>
      </c>
      <c r="D604" s="72">
        <v>45959.759778692132</v>
      </c>
      <c r="E604" s="71" t="s">
        <v>365</v>
      </c>
      <c r="F604" s="71" t="s">
        <v>912</v>
      </c>
      <c r="G604" s="71" t="s">
        <v>913</v>
      </c>
      <c r="H604" s="71" t="s">
        <v>911</v>
      </c>
      <c r="I604" s="71" t="s">
        <v>2604</v>
      </c>
      <c r="J604" s="71" t="s">
        <v>774</v>
      </c>
      <c r="K604" s="71" t="s">
        <v>2670</v>
      </c>
      <c r="L604" s="71" t="s">
        <v>2604</v>
      </c>
      <c r="M604" s="71" t="s">
        <v>2671</v>
      </c>
      <c r="N604" s="71" t="s">
        <v>2803</v>
      </c>
      <c r="O604" s="71" t="s">
        <v>2640</v>
      </c>
      <c r="P604" s="71" t="s">
        <v>2604</v>
      </c>
      <c r="Q604" s="71" t="s">
        <v>2804</v>
      </c>
      <c r="R604" s="71" t="s">
        <v>2604</v>
      </c>
      <c r="S604" s="71" t="s">
        <v>2604</v>
      </c>
      <c r="T604" s="71" t="s">
        <v>2604</v>
      </c>
      <c r="U604" s="71" t="s">
        <v>2604</v>
      </c>
      <c r="V604" s="71" t="s">
        <v>2604</v>
      </c>
    </row>
    <row r="605" spans="1:22">
      <c r="A605" s="71" t="s">
        <v>2659</v>
      </c>
      <c r="B605" s="71" t="s">
        <v>56</v>
      </c>
      <c r="C605" s="72">
        <v>45917.498420682874</v>
      </c>
      <c r="D605" s="72">
        <v>45917.498420682874</v>
      </c>
      <c r="E605" s="71" t="s">
        <v>473</v>
      </c>
      <c r="F605" s="71" t="s">
        <v>811</v>
      </c>
      <c r="G605" s="71" t="s">
        <v>812</v>
      </c>
      <c r="H605" s="71" t="s">
        <v>810</v>
      </c>
      <c r="I605" s="71" t="s">
        <v>2604</v>
      </c>
      <c r="J605" s="71" t="s">
        <v>813</v>
      </c>
      <c r="K605" s="71" t="s">
        <v>2648</v>
      </c>
      <c r="L605" s="71" t="s">
        <v>2649</v>
      </c>
      <c r="M605" s="71" t="s">
        <v>2726</v>
      </c>
      <c r="N605" s="71" t="s">
        <v>2726</v>
      </c>
      <c r="O605" s="71" t="s">
        <v>2640</v>
      </c>
      <c r="P605" s="71" t="s">
        <v>2604</v>
      </c>
      <c r="Q605" s="71" t="s">
        <v>2965</v>
      </c>
      <c r="R605" s="71" t="s">
        <v>2604</v>
      </c>
      <c r="S605" s="71" t="s">
        <v>2604</v>
      </c>
      <c r="T605" s="71" t="s">
        <v>2604</v>
      </c>
      <c r="U605" s="71" t="s">
        <v>2604</v>
      </c>
      <c r="V605" s="71" t="s">
        <v>2604</v>
      </c>
    </row>
    <row r="606" spans="1:22">
      <c r="A606" s="71" t="s">
        <v>2659</v>
      </c>
      <c r="B606" s="71" t="s">
        <v>56</v>
      </c>
      <c r="C606" s="72">
        <v>45860.2882503125</v>
      </c>
      <c r="D606" s="72">
        <v>45860.2882503125</v>
      </c>
      <c r="E606" s="71" t="s">
        <v>365</v>
      </c>
      <c r="F606" s="71" t="s">
        <v>608</v>
      </c>
      <c r="G606" s="71" t="s">
        <v>609</v>
      </c>
      <c r="H606" s="71" t="s">
        <v>607</v>
      </c>
      <c r="I606" s="71" t="s">
        <v>2604</v>
      </c>
      <c r="J606" s="71" t="s">
        <v>774</v>
      </c>
      <c r="K606" s="71" t="s">
        <v>2670</v>
      </c>
      <c r="L606" s="71" t="s">
        <v>2604</v>
      </c>
      <c r="M606" s="71" t="s">
        <v>2671</v>
      </c>
      <c r="N606" s="71" t="s">
        <v>2671</v>
      </c>
      <c r="O606" s="71" t="s">
        <v>2640</v>
      </c>
      <c r="P606" s="71" t="s">
        <v>2604</v>
      </c>
      <c r="Q606" s="71" t="s">
        <v>3199</v>
      </c>
      <c r="R606" s="71" t="s">
        <v>2604</v>
      </c>
      <c r="S606" s="71" t="s">
        <v>2604</v>
      </c>
      <c r="T606" s="71" t="s">
        <v>2604</v>
      </c>
      <c r="U606" s="71" t="s">
        <v>2604</v>
      </c>
      <c r="V606" s="71" t="s">
        <v>2604</v>
      </c>
    </row>
    <row r="607" spans="1:22">
      <c r="A607" s="71" t="s">
        <v>2659</v>
      </c>
      <c r="B607" s="71" t="s">
        <v>56</v>
      </c>
      <c r="C607" s="72">
        <v>46063.574311504628</v>
      </c>
      <c r="D607" s="72">
        <v>46063.574311504628</v>
      </c>
      <c r="E607" s="71" t="s">
        <v>135</v>
      </c>
      <c r="F607" s="71" t="s">
        <v>1093</v>
      </c>
      <c r="G607" s="71" t="s">
        <v>1094</v>
      </c>
      <c r="H607" s="71" t="s">
        <v>1092</v>
      </c>
      <c r="I607" s="71" t="s">
        <v>2604</v>
      </c>
      <c r="J607" s="71" t="s">
        <v>744</v>
      </c>
      <c r="K607" s="71" t="s">
        <v>2665</v>
      </c>
      <c r="L607" s="71" t="s">
        <v>2666</v>
      </c>
      <c r="M607" s="71" t="s">
        <v>2671</v>
      </c>
      <c r="N607" s="71" t="s">
        <v>2707</v>
      </c>
      <c r="O607" s="71" t="s">
        <v>2640</v>
      </c>
      <c r="P607" s="71" t="s">
        <v>2604</v>
      </c>
      <c r="Q607" s="71" t="s">
        <v>2708</v>
      </c>
      <c r="R607" s="71" t="s">
        <v>2604</v>
      </c>
      <c r="S607" s="71" t="s">
        <v>2604</v>
      </c>
      <c r="T607" s="71" t="s">
        <v>2604</v>
      </c>
      <c r="U607" s="71" t="s">
        <v>2604</v>
      </c>
      <c r="V607" s="71" t="s">
        <v>2604</v>
      </c>
    </row>
    <row r="608" spans="1:22">
      <c r="A608" s="71" t="s">
        <v>2659</v>
      </c>
      <c r="B608" s="71" t="s">
        <v>84</v>
      </c>
      <c r="C608" s="72">
        <v>45925.570581099535</v>
      </c>
      <c r="D608" s="72">
        <v>45925.570581099535</v>
      </c>
      <c r="E608" s="71" t="s">
        <v>473</v>
      </c>
      <c r="F608" s="71" t="s">
        <v>839</v>
      </c>
      <c r="G608" s="71" t="s">
        <v>840</v>
      </c>
      <c r="H608" s="71" t="s">
        <v>838</v>
      </c>
      <c r="I608" s="71" t="s">
        <v>2604</v>
      </c>
      <c r="J608" s="71" t="s">
        <v>752</v>
      </c>
      <c r="K608" s="71" t="s">
        <v>2680</v>
      </c>
      <c r="L608" s="71" t="s">
        <v>2812</v>
      </c>
      <c r="M608" s="71" t="s">
        <v>2828</v>
      </c>
      <c r="N608" s="71" t="s">
        <v>2829</v>
      </c>
      <c r="O608" s="71" t="s">
        <v>2640</v>
      </c>
      <c r="P608" s="71" t="s">
        <v>2604</v>
      </c>
      <c r="Q608" s="71" t="s">
        <v>2830</v>
      </c>
      <c r="R608" s="71" t="s">
        <v>2604</v>
      </c>
      <c r="S608" s="71" t="s">
        <v>2604</v>
      </c>
      <c r="T608" s="71" t="s">
        <v>2604</v>
      </c>
      <c r="U608" s="71" t="s">
        <v>2604</v>
      </c>
      <c r="V608" s="71" t="s">
        <v>2604</v>
      </c>
    </row>
    <row r="609" spans="1:22">
      <c r="A609" s="71" t="s">
        <v>2659</v>
      </c>
      <c r="B609" s="71" t="s">
        <v>2646</v>
      </c>
      <c r="C609" s="72">
        <v>45793.740437337961</v>
      </c>
      <c r="D609" s="72">
        <v>45793.740437337961</v>
      </c>
      <c r="E609" s="71" t="s">
        <v>365</v>
      </c>
      <c r="F609" s="71" t="s">
        <v>465</v>
      </c>
      <c r="G609" s="71" t="s">
        <v>466</v>
      </c>
      <c r="H609" s="71" t="s">
        <v>464</v>
      </c>
      <c r="I609" s="71" t="s">
        <v>2604</v>
      </c>
      <c r="J609" s="71" t="s">
        <v>774</v>
      </c>
      <c r="K609" s="71" t="s">
        <v>2670</v>
      </c>
      <c r="L609" s="71" t="s">
        <v>2604</v>
      </c>
      <c r="M609" s="71" t="s">
        <v>2671</v>
      </c>
      <c r="N609" s="71" t="s">
        <v>2755</v>
      </c>
      <c r="O609" s="71" t="s">
        <v>2692</v>
      </c>
      <c r="P609" s="71" t="s">
        <v>2604</v>
      </c>
      <c r="Q609" s="71" t="s">
        <v>2756</v>
      </c>
      <c r="R609" s="71" t="s">
        <v>2604</v>
      </c>
      <c r="S609" s="71" t="s">
        <v>2604</v>
      </c>
      <c r="T609" s="71" t="s">
        <v>2604</v>
      </c>
      <c r="U609" s="71" t="s">
        <v>2604</v>
      </c>
      <c r="V609" s="71" t="s">
        <v>2604</v>
      </c>
    </row>
    <row r="610" spans="1:22">
      <c r="A610" s="71" t="s">
        <v>2659</v>
      </c>
      <c r="B610" s="71" t="s">
        <v>51</v>
      </c>
      <c r="C610" s="72">
        <v>45863.415494988425</v>
      </c>
      <c r="D610" s="72">
        <v>45863.415494988425</v>
      </c>
      <c r="E610" s="71" t="s">
        <v>365</v>
      </c>
      <c r="F610" s="71" t="s">
        <v>629</v>
      </c>
      <c r="G610" s="71" t="s">
        <v>630</v>
      </c>
      <c r="H610" s="71" t="s">
        <v>628</v>
      </c>
      <c r="I610" s="71" t="s">
        <v>2604</v>
      </c>
      <c r="J610" s="71" t="s">
        <v>774</v>
      </c>
      <c r="K610" s="71" t="s">
        <v>2670</v>
      </c>
      <c r="L610" s="71" t="s">
        <v>2604</v>
      </c>
      <c r="M610" s="71" t="s">
        <v>2671</v>
      </c>
      <c r="N610" s="71" t="s">
        <v>2726</v>
      </c>
      <c r="O610" s="71" t="s">
        <v>2640</v>
      </c>
      <c r="P610" s="71" t="s">
        <v>2604</v>
      </c>
      <c r="Q610" s="71" t="s">
        <v>2765</v>
      </c>
      <c r="R610" s="71" t="s">
        <v>2604</v>
      </c>
      <c r="S610" s="71" t="s">
        <v>2604</v>
      </c>
      <c r="T610" s="71" t="s">
        <v>2604</v>
      </c>
      <c r="U610" s="71" t="s">
        <v>2604</v>
      </c>
      <c r="V610" s="71" t="s">
        <v>2604</v>
      </c>
    </row>
    <row r="611" spans="1:22">
      <c r="A611" s="71" t="s">
        <v>2659</v>
      </c>
      <c r="B611" s="71" t="s">
        <v>84</v>
      </c>
      <c r="C611" s="72">
        <v>45876.809328148149</v>
      </c>
      <c r="D611" s="72">
        <v>45876.809328148149</v>
      </c>
      <c r="E611" s="71" t="s">
        <v>365</v>
      </c>
      <c r="F611" s="71" t="s">
        <v>675</v>
      </c>
      <c r="G611" s="71" t="s">
        <v>676</v>
      </c>
      <c r="H611" s="71" t="s">
        <v>674</v>
      </c>
      <c r="I611" s="71" t="s">
        <v>2604</v>
      </c>
      <c r="J611" s="71" t="s">
        <v>774</v>
      </c>
      <c r="K611" s="71" t="s">
        <v>2670</v>
      </c>
      <c r="L611" s="71" t="s">
        <v>2604</v>
      </c>
      <c r="M611" s="71" t="s">
        <v>2671</v>
      </c>
      <c r="N611" s="71" t="s">
        <v>3114</v>
      </c>
      <c r="O611" s="71" t="s">
        <v>2640</v>
      </c>
      <c r="P611" s="71" t="s">
        <v>2604</v>
      </c>
      <c r="Q611" s="71" t="s">
        <v>3115</v>
      </c>
      <c r="R611" s="71" t="s">
        <v>2604</v>
      </c>
      <c r="S611" s="71" t="s">
        <v>2604</v>
      </c>
      <c r="T611" s="71" t="s">
        <v>2604</v>
      </c>
      <c r="U611" s="71" t="s">
        <v>2604</v>
      </c>
      <c r="V611" s="71" t="s">
        <v>2604</v>
      </c>
    </row>
    <row r="612" spans="1:22">
      <c r="A612" s="71" t="s">
        <v>2659</v>
      </c>
      <c r="B612" s="71" t="s">
        <v>56</v>
      </c>
      <c r="C612" s="72">
        <v>45991.663798877315</v>
      </c>
      <c r="D612" s="72">
        <v>45991.663798877315</v>
      </c>
      <c r="E612" s="71" t="s">
        <v>365</v>
      </c>
      <c r="F612" s="71" t="s">
        <v>985</v>
      </c>
      <c r="G612" s="71" t="s">
        <v>986</v>
      </c>
      <c r="H612" s="71" t="s">
        <v>984</v>
      </c>
      <c r="I612" s="71" t="s">
        <v>2604</v>
      </c>
      <c r="J612" s="71" t="s">
        <v>813</v>
      </c>
      <c r="K612" s="71" t="s">
        <v>2648</v>
      </c>
      <c r="L612" s="71" t="s">
        <v>2649</v>
      </c>
      <c r="M612" s="71" t="s">
        <v>2726</v>
      </c>
      <c r="N612" s="71" t="s">
        <v>2726</v>
      </c>
      <c r="O612" s="71" t="s">
        <v>2640</v>
      </c>
      <c r="P612" s="71" t="s">
        <v>2604</v>
      </c>
      <c r="Q612" s="71" t="s">
        <v>3185</v>
      </c>
      <c r="R612" s="71" t="s">
        <v>2604</v>
      </c>
      <c r="S612" s="71" t="s">
        <v>2604</v>
      </c>
      <c r="T612" s="71" t="s">
        <v>2604</v>
      </c>
      <c r="U612" s="71" t="s">
        <v>2604</v>
      </c>
      <c r="V612" s="71" t="s">
        <v>2604</v>
      </c>
    </row>
    <row r="613" spans="1:22">
      <c r="A613" s="71" t="s">
        <v>2659</v>
      </c>
      <c r="B613" s="71" t="s">
        <v>56</v>
      </c>
      <c r="C613" s="72">
        <v>45959.412241412036</v>
      </c>
      <c r="D613" s="72">
        <v>45959.412241412036</v>
      </c>
      <c r="E613" s="71" t="s">
        <v>365</v>
      </c>
      <c r="F613" s="71" t="s">
        <v>910</v>
      </c>
      <c r="G613" s="71" t="s">
        <v>910</v>
      </c>
      <c r="H613" s="71" t="s">
        <v>909</v>
      </c>
      <c r="I613" s="71" t="s">
        <v>2604</v>
      </c>
      <c r="J613" s="71" t="s">
        <v>813</v>
      </c>
      <c r="K613" s="71" t="s">
        <v>2648</v>
      </c>
      <c r="L613" s="71" t="s">
        <v>2649</v>
      </c>
      <c r="M613" s="71" t="s">
        <v>2726</v>
      </c>
      <c r="N613" s="71" t="s">
        <v>2727</v>
      </c>
      <c r="O613" s="71" t="s">
        <v>2640</v>
      </c>
      <c r="P613" s="71" t="s">
        <v>2604</v>
      </c>
      <c r="Q613" s="71" t="s">
        <v>2728</v>
      </c>
      <c r="R613" s="71" t="s">
        <v>2604</v>
      </c>
      <c r="S613" s="71" t="s">
        <v>2604</v>
      </c>
      <c r="T613" s="71" t="s">
        <v>2604</v>
      </c>
      <c r="U613" s="71" t="s">
        <v>2604</v>
      </c>
      <c r="V613" s="71" t="s">
        <v>2604</v>
      </c>
    </row>
    <row r="614" spans="1:22">
      <c r="A614" s="71" t="s">
        <v>2659</v>
      </c>
      <c r="B614" s="71" t="s">
        <v>56</v>
      </c>
      <c r="C614" s="72">
        <v>45841.883658090279</v>
      </c>
      <c r="D614" s="72">
        <v>45841.883658090279</v>
      </c>
      <c r="E614" s="71" t="s">
        <v>365</v>
      </c>
      <c r="F614" s="71" t="s">
        <v>537</v>
      </c>
      <c r="G614" s="71" t="s">
        <v>538</v>
      </c>
      <c r="H614" s="71" t="s">
        <v>536</v>
      </c>
      <c r="I614" s="71" t="s">
        <v>2604</v>
      </c>
      <c r="J614" s="71" t="s">
        <v>752</v>
      </c>
      <c r="K614" s="71" t="s">
        <v>2723</v>
      </c>
      <c r="L614" s="71" t="s">
        <v>2665</v>
      </c>
      <c r="M614" s="71" t="s">
        <v>2892</v>
      </c>
      <c r="N614" s="71" t="s">
        <v>2893</v>
      </c>
      <c r="O614" s="71" t="s">
        <v>2640</v>
      </c>
      <c r="P614" s="71" t="s">
        <v>2604</v>
      </c>
      <c r="Q614" s="71" t="s">
        <v>2894</v>
      </c>
      <c r="R614" s="71" t="s">
        <v>2604</v>
      </c>
      <c r="S614" s="71" t="s">
        <v>2604</v>
      </c>
      <c r="T614" s="71" t="s">
        <v>2604</v>
      </c>
      <c r="U614" s="71" t="s">
        <v>2604</v>
      </c>
      <c r="V614" s="71" t="s">
        <v>2604</v>
      </c>
    </row>
    <row r="615" spans="1:22">
      <c r="A615" s="71" t="s">
        <v>2659</v>
      </c>
      <c r="B615" s="71" t="s">
        <v>84</v>
      </c>
      <c r="C615" s="72">
        <v>45987.464755636574</v>
      </c>
      <c r="D615" s="72">
        <v>45987.464755636574</v>
      </c>
      <c r="E615" s="71" t="s">
        <v>365</v>
      </c>
      <c r="F615" s="71" t="s">
        <v>967</v>
      </c>
      <c r="G615" s="71" t="s">
        <v>968</v>
      </c>
      <c r="H615" s="71" t="s">
        <v>966</v>
      </c>
      <c r="I615" s="71" t="s">
        <v>2604</v>
      </c>
      <c r="J615" s="71" t="s">
        <v>752</v>
      </c>
      <c r="K615" s="71" t="s">
        <v>2680</v>
      </c>
      <c r="L615" s="71" t="s">
        <v>2686</v>
      </c>
      <c r="M615" s="71" t="s">
        <v>2687</v>
      </c>
      <c r="N615" s="71" t="s">
        <v>2687</v>
      </c>
      <c r="O615" s="71" t="s">
        <v>2640</v>
      </c>
      <c r="P615" s="71" t="s">
        <v>2604</v>
      </c>
      <c r="Q615" s="71" t="s">
        <v>2688</v>
      </c>
      <c r="R615" s="71" t="s">
        <v>2604</v>
      </c>
      <c r="S615" s="71" t="s">
        <v>2604</v>
      </c>
      <c r="T615" s="71" t="s">
        <v>2604</v>
      </c>
      <c r="U615" s="71" t="s">
        <v>2604</v>
      </c>
      <c r="V615" s="71" t="s">
        <v>2604</v>
      </c>
    </row>
    <row r="616" spans="1:22">
      <c r="A616" s="71" t="s">
        <v>2659</v>
      </c>
      <c r="B616" s="71" t="s">
        <v>56</v>
      </c>
      <c r="C616" s="72">
        <v>46071.768705092596</v>
      </c>
      <c r="D616" s="72">
        <v>46071.768705092596</v>
      </c>
      <c r="E616" s="71" t="s">
        <v>473</v>
      </c>
      <c r="F616" s="71" t="s">
        <v>2843</v>
      </c>
      <c r="G616" s="71" t="s">
        <v>1105</v>
      </c>
      <c r="H616" s="71" t="s">
        <v>1103</v>
      </c>
      <c r="I616" s="71" t="s">
        <v>2604</v>
      </c>
      <c r="J616" s="71" t="s">
        <v>752</v>
      </c>
      <c r="K616" s="71" t="s">
        <v>2675</v>
      </c>
      <c r="L616" s="71" t="s">
        <v>2790</v>
      </c>
      <c r="M616" s="71" t="s">
        <v>2844</v>
      </c>
      <c r="N616" s="71" t="s">
        <v>2845</v>
      </c>
      <c r="O616" s="71" t="s">
        <v>2640</v>
      </c>
      <c r="P616" s="71" t="s">
        <v>2604</v>
      </c>
      <c r="Q616" s="71" t="s">
        <v>2846</v>
      </c>
      <c r="R616" s="71" t="s">
        <v>2604</v>
      </c>
      <c r="S616" s="71" t="s">
        <v>2604</v>
      </c>
      <c r="T616" s="71" t="s">
        <v>2604</v>
      </c>
      <c r="U616" s="71" t="s">
        <v>2604</v>
      </c>
      <c r="V616" s="71" t="s">
        <v>2664</v>
      </c>
    </row>
    <row r="617" spans="1:22">
      <c r="A617" s="71" t="s">
        <v>2659</v>
      </c>
      <c r="B617" s="71" t="s">
        <v>84</v>
      </c>
      <c r="C617" s="72">
        <v>45877.691919583332</v>
      </c>
      <c r="D617" s="72">
        <v>45877.691919583332</v>
      </c>
      <c r="E617" s="71" t="s">
        <v>365</v>
      </c>
      <c r="F617" s="71" t="s">
        <v>686</v>
      </c>
      <c r="G617" s="71" t="s">
        <v>687</v>
      </c>
      <c r="H617" s="71" t="s">
        <v>685</v>
      </c>
      <c r="I617" s="71" t="s">
        <v>2604</v>
      </c>
      <c r="J617" s="71" t="s">
        <v>752</v>
      </c>
      <c r="K617" s="71" t="s">
        <v>2675</v>
      </c>
      <c r="L617" s="71" t="s">
        <v>2676</v>
      </c>
      <c r="M617" s="71" t="s">
        <v>3071</v>
      </c>
      <c r="N617" s="71" t="s">
        <v>3072</v>
      </c>
      <c r="O617" s="71" t="s">
        <v>2640</v>
      </c>
      <c r="P617" s="71" t="s">
        <v>2604</v>
      </c>
      <c r="Q617" s="71" t="s">
        <v>3073</v>
      </c>
      <c r="R617" s="71" t="s">
        <v>2604</v>
      </c>
      <c r="S617" s="71" t="s">
        <v>2604</v>
      </c>
      <c r="T617" s="71" t="s">
        <v>2604</v>
      </c>
      <c r="U617" s="71" t="s">
        <v>2604</v>
      </c>
      <c r="V617" s="71" t="s">
        <v>2635</v>
      </c>
    </row>
    <row r="618" spans="1:22">
      <c r="A618" s="71" t="s">
        <v>2659</v>
      </c>
      <c r="B618" s="71" t="s">
        <v>84</v>
      </c>
      <c r="C618" s="72">
        <v>45999.691890810187</v>
      </c>
      <c r="D618" s="72">
        <v>45999.691890810187</v>
      </c>
      <c r="E618" s="71" t="s">
        <v>380</v>
      </c>
      <c r="F618" s="71" t="s">
        <v>991</v>
      </c>
      <c r="G618" s="71" t="s">
        <v>992</v>
      </c>
      <c r="H618" s="71" t="s">
        <v>990</v>
      </c>
      <c r="I618" s="71" t="s">
        <v>2604</v>
      </c>
      <c r="J618" s="71" t="s">
        <v>744</v>
      </c>
      <c r="K618" s="71" t="s">
        <v>2665</v>
      </c>
      <c r="L618" s="71" t="s">
        <v>2821</v>
      </c>
      <c r="M618" s="71" t="s">
        <v>2671</v>
      </c>
      <c r="N618" s="71" t="s">
        <v>2671</v>
      </c>
      <c r="O618" s="71" t="s">
        <v>2640</v>
      </c>
      <c r="P618" s="71" t="s">
        <v>2604</v>
      </c>
      <c r="Q618" s="71" t="s">
        <v>3200</v>
      </c>
      <c r="R618" s="71" t="s">
        <v>2604</v>
      </c>
      <c r="S618" s="71" t="s">
        <v>2604</v>
      </c>
      <c r="T618" s="71" t="s">
        <v>2604</v>
      </c>
      <c r="U618" s="71" t="s">
        <v>2604</v>
      </c>
      <c r="V618" s="71" t="s">
        <v>2635</v>
      </c>
    </row>
    <row r="619" spans="1:22">
      <c r="A619" s="71" t="s">
        <v>2659</v>
      </c>
      <c r="B619" s="71" t="s">
        <v>56</v>
      </c>
      <c r="C619" s="72">
        <v>45925.784411875</v>
      </c>
      <c r="D619" s="72">
        <v>45925.784411875</v>
      </c>
      <c r="E619" s="71" t="s">
        <v>365</v>
      </c>
      <c r="F619" s="71" t="s">
        <v>843</v>
      </c>
      <c r="G619" s="71" t="s">
        <v>844</v>
      </c>
      <c r="H619" s="71" t="s">
        <v>842</v>
      </c>
      <c r="I619" s="71" t="s">
        <v>2604</v>
      </c>
      <c r="J619" s="71" t="s">
        <v>744</v>
      </c>
      <c r="K619" s="71" t="s">
        <v>2665</v>
      </c>
      <c r="L619" s="71" t="s">
        <v>2666</v>
      </c>
      <c r="M619" s="71" t="s">
        <v>3022</v>
      </c>
      <c r="N619" s="71" t="s">
        <v>3170</v>
      </c>
      <c r="O619" s="71" t="s">
        <v>2640</v>
      </c>
      <c r="P619" s="71" t="s">
        <v>2604</v>
      </c>
      <c r="Q619" s="71" t="s">
        <v>3171</v>
      </c>
      <c r="R619" s="71" t="s">
        <v>2604</v>
      </c>
      <c r="S619" s="71" t="s">
        <v>2604</v>
      </c>
      <c r="T619" s="71" t="s">
        <v>2604</v>
      </c>
      <c r="U619" s="71" t="s">
        <v>2604</v>
      </c>
      <c r="V619" s="71" t="s">
        <v>2664</v>
      </c>
    </row>
    <row r="620" spans="1:22">
      <c r="A620" s="71" t="s">
        <v>2659</v>
      </c>
      <c r="B620" s="71" t="s">
        <v>84</v>
      </c>
      <c r="C620" s="72">
        <v>45852.387783368053</v>
      </c>
      <c r="D620" s="72">
        <v>45852.387783368053</v>
      </c>
      <c r="E620" s="71" t="s">
        <v>365</v>
      </c>
      <c r="F620" s="71" t="s">
        <v>552</v>
      </c>
      <c r="G620" s="71" t="s">
        <v>553</v>
      </c>
      <c r="H620" s="71" t="s">
        <v>551</v>
      </c>
      <c r="I620" s="71" t="s">
        <v>2604</v>
      </c>
      <c r="J620" s="71" t="s">
        <v>774</v>
      </c>
      <c r="K620" s="71" t="s">
        <v>2670</v>
      </c>
      <c r="L620" s="71" t="s">
        <v>2604</v>
      </c>
      <c r="M620" s="71" t="s">
        <v>2671</v>
      </c>
      <c r="N620" s="71" t="s">
        <v>3240</v>
      </c>
      <c r="O620" s="71" t="s">
        <v>2640</v>
      </c>
      <c r="P620" s="71" t="s">
        <v>2604</v>
      </c>
      <c r="Q620" s="71" t="s">
        <v>3241</v>
      </c>
      <c r="R620" s="71" t="s">
        <v>2604</v>
      </c>
      <c r="S620" s="71" t="s">
        <v>2604</v>
      </c>
      <c r="T620" s="71" t="s">
        <v>2604</v>
      </c>
      <c r="U620" s="71" t="s">
        <v>2604</v>
      </c>
      <c r="V620" s="71" t="s">
        <v>2635</v>
      </c>
    </row>
    <row r="621" spans="1:22">
      <c r="A621" s="71" t="s">
        <v>2659</v>
      </c>
      <c r="B621" s="71" t="s">
        <v>724</v>
      </c>
      <c r="C621" s="72">
        <v>45894.755202037035</v>
      </c>
      <c r="D621" s="72">
        <v>45894.755202037035</v>
      </c>
      <c r="E621" s="71" t="s">
        <v>365</v>
      </c>
      <c r="F621" s="71" t="s">
        <v>731</v>
      </c>
      <c r="G621" s="71" t="s">
        <v>732</v>
      </c>
      <c r="H621" s="71" t="s">
        <v>730</v>
      </c>
      <c r="I621" s="71" t="s">
        <v>2604</v>
      </c>
      <c r="J621" s="71" t="s">
        <v>774</v>
      </c>
      <c r="K621" s="71" t="s">
        <v>2670</v>
      </c>
      <c r="L621" s="71" t="s">
        <v>2604</v>
      </c>
      <c r="M621" s="71" t="s">
        <v>2671</v>
      </c>
      <c r="N621" s="71" t="s">
        <v>2937</v>
      </c>
      <c r="O621" s="71" t="s">
        <v>2640</v>
      </c>
      <c r="P621" s="71" t="s">
        <v>2604</v>
      </c>
      <c r="Q621" s="71" t="s">
        <v>2938</v>
      </c>
      <c r="R621" s="71" t="s">
        <v>2604</v>
      </c>
      <c r="S621" s="71" t="s">
        <v>2604</v>
      </c>
      <c r="T621" s="71" t="s">
        <v>2604</v>
      </c>
      <c r="U621" s="71" t="s">
        <v>2604</v>
      </c>
      <c r="V621" s="71" t="s">
        <v>2635</v>
      </c>
    </row>
    <row r="622" spans="1:22">
      <c r="A622" s="71" t="s">
        <v>2659</v>
      </c>
      <c r="B622" s="71" t="s">
        <v>84</v>
      </c>
      <c r="C622" s="72">
        <v>45889.569269178239</v>
      </c>
      <c r="D622" s="72">
        <v>45889.569269178239</v>
      </c>
      <c r="E622" s="71" t="s">
        <v>365</v>
      </c>
      <c r="F622" s="71" t="s">
        <v>710</v>
      </c>
      <c r="G622" s="71" t="s">
        <v>711</v>
      </c>
      <c r="H622" s="71" t="s">
        <v>709</v>
      </c>
      <c r="I622" s="71" t="s">
        <v>2604</v>
      </c>
      <c r="J622" s="71" t="s">
        <v>752</v>
      </c>
      <c r="K622" s="71" t="s">
        <v>2675</v>
      </c>
      <c r="L622" s="71" t="s">
        <v>2676</v>
      </c>
      <c r="M622" s="71" t="s">
        <v>3182</v>
      </c>
      <c r="N622" s="71" t="s">
        <v>3183</v>
      </c>
      <c r="O622" s="71" t="s">
        <v>2640</v>
      </c>
      <c r="P622" s="71" t="s">
        <v>2604</v>
      </c>
      <c r="Q622" s="71" t="s">
        <v>3184</v>
      </c>
      <c r="R622" s="71" t="s">
        <v>2604</v>
      </c>
      <c r="S622" s="71" t="s">
        <v>2604</v>
      </c>
      <c r="T622" s="71" t="s">
        <v>2604</v>
      </c>
      <c r="U622" s="71" t="s">
        <v>2604</v>
      </c>
      <c r="V622" s="71" t="s">
        <v>2604</v>
      </c>
    </row>
    <row r="623" spans="1:22">
      <c r="A623" s="71" t="s">
        <v>2659</v>
      </c>
      <c r="B623" s="71" t="s">
        <v>56</v>
      </c>
      <c r="C623" s="72">
        <v>45954.655897141201</v>
      </c>
      <c r="D623" s="72">
        <v>45954.655897141201</v>
      </c>
      <c r="E623" s="71" t="s">
        <v>365</v>
      </c>
      <c r="F623" s="71" t="s">
        <v>900</v>
      </c>
      <c r="G623" s="71" t="s">
        <v>901</v>
      </c>
      <c r="H623" s="71" t="s">
        <v>899</v>
      </c>
      <c r="I623" s="71" t="s">
        <v>2604</v>
      </c>
      <c r="J623" s="71" t="s">
        <v>752</v>
      </c>
      <c r="K623" s="71" t="s">
        <v>2675</v>
      </c>
      <c r="L623" s="71" t="s">
        <v>2712</v>
      </c>
      <c r="M623" s="71" t="s">
        <v>2776</v>
      </c>
      <c r="N623" s="71" t="s">
        <v>2777</v>
      </c>
      <c r="O623" s="71" t="s">
        <v>2640</v>
      </c>
      <c r="P623" s="71" t="s">
        <v>2604</v>
      </c>
      <c r="Q623" s="71" t="s">
        <v>2778</v>
      </c>
      <c r="R623" s="71" t="s">
        <v>2604</v>
      </c>
      <c r="S623" s="71" t="s">
        <v>2604</v>
      </c>
      <c r="T623" s="71" t="s">
        <v>2604</v>
      </c>
      <c r="U623" s="71" t="s">
        <v>2604</v>
      </c>
      <c r="V623" s="71" t="s">
        <v>2604</v>
      </c>
    </row>
    <row r="624" spans="1:22">
      <c r="A624" s="71" t="s">
        <v>2659</v>
      </c>
      <c r="B624" s="71" t="s">
        <v>84</v>
      </c>
      <c r="C624" s="72">
        <v>45980.604882372689</v>
      </c>
      <c r="D624" s="72">
        <v>45980.604882372689</v>
      </c>
      <c r="E624" s="71" t="s">
        <v>473</v>
      </c>
      <c r="F624" s="71" t="s">
        <v>961</v>
      </c>
      <c r="G624" s="71" t="s">
        <v>2913</v>
      </c>
      <c r="H624" s="71" t="s">
        <v>960</v>
      </c>
      <c r="I624" s="71" t="s">
        <v>2604</v>
      </c>
      <c r="J624" s="71" t="s">
        <v>774</v>
      </c>
      <c r="K624" s="71" t="s">
        <v>2670</v>
      </c>
      <c r="L624" s="71" t="s">
        <v>2604</v>
      </c>
      <c r="M624" s="71" t="s">
        <v>2671</v>
      </c>
      <c r="N624" s="71" t="s">
        <v>2914</v>
      </c>
      <c r="O624" s="71" t="s">
        <v>2640</v>
      </c>
      <c r="P624" s="71" t="s">
        <v>2604</v>
      </c>
      <c r="Q624" s="71" t="s">
        <v>2915</v>
      </c>
      <c r="R624" s="71" t="s">
        <v>2604</v>
      </c>
      <c r="S624" s="71" t="s">
        <v>2604</v>
      </c>
      <c r="T624" s="71" t="s">
        <v>2604</v>
      </c>
      <c r="U624" s="71" t="s">
        <v>2604</v>
      </c>
      <c r="V624" s="71" t="s">
        <v>2635</v>
      </c>
    </row>
    <row r="625" spans="1:22">
      <c r="A625" s="71" t="s">
        <v>2659</v>
      </c>
      <c r="B625" s="71" t="s">
        <v>84</v>
      </c>
      <c r="C625" s="72">
        <v>45892.431569884262</v>
      </c>
      <c r="D625" s="72">
        <v>45892.431569884262</v>
      </c>
      <c r="E625" s="71" t="s">
        <v>365</v>
      </c>
      <c r="F625" s="71" t="s">
        <v>722</v>
      </c>
      <c r="G625" s="71" t="s">
        <v>723</v>
      </c>
      <c r="H625" s="71" t="s">
        <v>721</v>
      </c>
      <c r="I625" s="71" t="s">
        <v>2604</v>
      </c>
      <c r="J625" s="71" t="s">
        <v>744</v>
      </c>
      <c r="K625" s="71" t="s">
        <v>2665</v>
      </c>
      <c r="L625" s="71" t="s">
        <v>2704</v>
      </c>
      <c r="M625" s="71" t="s">
        <v>2671</v>
      </c>
      <c r="N625" s="71" t="s">
        <v>3251</v>
      </c>
      <c r="O625" s="71" t="s">
        <v>2640</v>
      </c>
      <c r="P625" s="71" t="s">
        <v>2604</v>
      </c>
      <c r="Q625" s="71" t="s">
        <v>3252</v>
      </c>
      <c r="R625" s="71" t="s">
        <v>2604</v>
      </c>
      <c r="S625" s="71" t="s">
        <v>2604</v>
      </c>
      <c r="T625" s="71" t="s">
        <v>2604</v>
      </c>
      <c r="U625" s="71" t="s">
        <v>2604</v>
      </c>
      <c r="V625" s="71" t="s">
        <v>2635</v>
      </c>
    </row>
    <row r="626" spans="1:22">
      <c r="A626" s="71" t="s">
        <v>2659</v>
      </c>
      <c r="B626" s="71" t="s">
        <v>84</v>
      </c>
      <c r="C626" s="72">
        <v>45902.624083344905</v>
      </c>
      <c r="D626" s="72">
        <v>45902.624083344905</v>
      </c>
      <c r="E626" s="71" t="s">
        <v>365</v>
      </c>
      <c r="F626" s="71" t="s">
        <v>764</v>
      </c>
      <c r="G626" s="71" t="s">
        <v>765</v>
      </c>
      <c r="H626" s="71" t="s">
        <v>763</v>
      </c>
      <c r="I626" s="71" t="s">
        <v>2604</v>
      </c>
      <c r="J626" s="71" t="s">
        <v>744</v>
      </c>
      <c r="K626" s="71" t="s">
        <v>2665</v>
      </c>
      <c r="L626" s="71" t="s">
        <v>2821</v>
      </c>
      <c r="M626" s="71" t="s">
        <v>2671</v>
      </c>
      <c r="N626" s="71" t="s">
        <v>3253</v>
      </c>
      <c r="O626" s="71" t="s">
        <v>2640</v>
      </c>
      <c r="P626" s="71" t="s">
        <v>2604</v>
      </c>
      <c r="Q626" s="71" t="s">
        <v>3254</v>
      </c>
      <c r="R626" s="71" t="s">
        <v>2604</v>
      </c>
      <c r="S626" s="71" t="s">
        <v>2604</v>
      </c>
      <c r="T626" s="71" t="s">
        <v>2604</v>
      </c>
      <c r="U626" s="71" t="s">
        <v>2604</v>
      </c>
      <c r="V626" s="71" t="s">
        <v>2635</v>
      </c>
    </row>
    <row r="627" spans="1:22">
      <c r="A627" s="71" t="s">
        <v>2659</v>
      </c>
      <c r="B627" s="71" t="s">
        <v>84</v>
      </c>
      <c r="C627" s="72">
        <v>45937.626388055556</v>
      </c>
      <c r="D627" s="72">
        <v>45937.626388055556</v>
      </c>
      <c r="E627" s="71" t="s">
        <v>365</v>
      </c>
      <c r="F627" s="71" t="s">
        <v>861</v>
      </c>
      <c r="G627" s="71" t="s">
        <v>862</v>
      </c>
      <c r="H627" s="71" t="s">
        <v>860</v>
      </c>
      <c r="I627" s="71" t="s">
        <v>2604</v>
      </c>
      <c r="J627" s="71" t="s">
        <v>863</v>
      </c>
      <c r="K627" s="71" t="s">
        <v>3043</v>
      </c>
      <c r="L627" s="71" t="s">
        <v>2604</v>
      </c>
      <c r="M627" s="71" t="s">
        <v>3044</v>
      </c>
      <c r="N627" s="71" t="s">
        <v>3045</v>
      </c>
      <c r="O627" s="71" t="s">
        <v>2640</v>
      </c>
      <c r="P627" s="71" t="s">
        <v>2604</v>
      </c>
      <c r="Q627" s="71" t="s">
        <v>3046</v>
      </c>
      <c r="R627" s="71" t="s">
        <v>2604</v>
      </c>
      <c r="S627" s="71" t="s">
        <v>2604</v>
      </c>
      <c r="T627" s="71" t="s">
        <v>2604</v>
      </c>
      <c r="U627" s="71" t="s">
        <v>2604</v>
      </c>
      <c r="V627" s="71" t="s">
        <v>2664</v>
      </c>
    </row>
    <row r="628" spans="1:22">
      <c r="A628" s="71" t="s">
        <v>2659</v>
      </c>
      <c r="B628" s="71" t="s">
        <v>84</v>
      </c>
      <c r="C628" s="72">
        <v>45938.476830613428</v>
      </c>
      <c r="D628" s="72">
        <v>45938.476830613428</v>
      </c>
      <c r="E628" s="71" t="s">
        <v>473</v>
      </c>
      <c r="F628" s="71" t="s">
        <v>865</v>
      </c>
      <c r="G628" s="71" t="s">
        <v>866</v>
      </c>
      <c r="H628" s="71" t="s">
        <v>864</v>
      </c>
      <c r="I628" s="71" t="s">
        <v>2604</v>
      </c>
      <c r="J628" s="71" t="s">
        <v>752</v>
      </c>
      <c r="K628" s="71" t="s">
        <v>2675</v>
      </c>
      <c r="L628" s="71" t="s">
        <v>2712</v>
      </c>
      <c r="M628" s="71" t="s">
        <v>2823</v>
      </c>
      <c r="N628" s="71" t="s">
        <v>2824</v>
      </c>
      <c r="O628" s="71" t="s">
        <v>2640</v>
      </c>
      <c r="P628" s="71" t="s">
        <v>2604</v>
      </c>
      <c r="Q628" s="71" t="s">
        <v>2825</v>
      </c>
      <c r="R628" s="71" t="s">
        <v>2604</v>
      </c>
      <c r="S628" s="71" t="s">
        <v>2604</v>
      </c>
      <c r="T628" s="71" t="s">
        <v>2604</v>
      </c>
      <c r="U628" s="71" t="s">
        <v>2604</v>
      </c>
      <c r="V628" s="71" t="s">
        <v>2664</v>
      </c>
    </row>
    <row r="629" spans="1:22">
      <c r="A629" s="71" t="s">
        <v>2659</v>
      </c>
      <c r="B629" s="71" t="s">
        <v>56</v>
      </c>
      <c r="C629" s="72">
        <v>45975.286535393519</v>
      </c>
      <c r="D629" s="72">
        <v>45975.286535393519</v>
      </c>
      <c r="E629" s="71" t="s">
        <v>365</v>
      </c>
      <c r="F629" s="71" t="s">
        <v>949</v>
      </c>
      <c r="G629" s="71" t="s">
        <v>950</v>
      </c>
      <c r="H629" s="71" t="s">
        <v>948</v>
      </c>
      <c r="I629" s="71" t="s">
        <v>2604</v>
      </c>
      <c r="J629" s="71" t="s">
        <v>769</v>
      </c>
      <c r="K629" s="71" t="s">
        <v>2773</v>
      </c>
      <c r="L629" s="71" t="s">
        <v>2670</v>
      </c>
      <c r="M629" s="71" t="s">
        <v>2774</v>
      </c>
      <c r="N629" s="71" t="s">
        <v>2774</v>
      </c>
      <c r="O629" s="71" t="s">
        <v>2640</v>
      </c>
      <c r="P629" s="71" t="s">
        <v>2604</v>
      </c>
      <c r="Q629" s="71" t="s">
        <v>3014</v>
      </c>
      <c r="R629" s="71" t="s">
        <v>2604</v>
      </c>
      <c r="S629" s="71" t="s">
        <v>2604</v>
      </c>
      <c r="T629" s="71" t="s">
        <v>2604</v>
      </c>
      <c r="U629" s="71" t="s">
        <v>2604</v>
      </c>
      <c r="V629" s="71" t="s">
        <v>2664</v>
      </c>
    </row>
    <row r="630" spans="1:22">
      <c r="A630" s="71" t="s">
        <v>2659</v>
      </c>
      <c r="B630" s="71" t="s">
        <v>56</v>
      </c>
      <c r="C630" s="72">
        <v>45940.434554409723</v>
      </c>
      <c r="D630" s="72">
        <v>45940.434554409723</v>
      </c>
      <c r="E630" s="71" t="s">
        <v>365</v>
      </c>
      <c r="F630" s="71" t="s">
        <v>870</v>
      </c>
      <c r="G630" s="71" t="s">
        <v>871</v>
      </c>
      <c r="H630" s="71" t="s">
        <v>869</v>
      </c>
      <c r="I630" s="71" t="s">
        <v>2604</v>
      </c>
      <c r="J630" s="71" t="s">
        <v>752</v>
      </c>
      <c r="K630" s="71" t="s">
        <v>2675</v>
      </c>
      <c r="L630" s="71" t="s">
        <v>2790</v>
      </c>
      <c r="M630" s="71" t="s">
        <v>2847</v>
      </c>
      <c r="N630" s="71" t="s">
        <v>2848</v>
      </c>
      <c r="O630" s="71" t="s">
        <v>2640</v>
      </c>
      <c r="P630" s="71" t="s">
        <v>2604</v>
      </c>
      <c r="Q630" s="71" t="s">
        <v>2849</v>
      </c>
      <c r="R630" s="71" t="s">
        <v>2604</v>
      </c>
      <c r="S630" s="71" t="s">
        <v>2604</v>
      </c>
      <c r="T630" s="71" t="s">
        <v>2604</v>
      </c>
      <c r="U630" s="71" t="s">
        <v>2604</v>
      </c>
      <c r="V630" s="71" t="s">
        <v>2664</v>
      </c>
    </row>
    <row r="631" spans="1:22">
      <c r="A631" s="71" t="s">
        <v>2659</v>
      </c>
      <c r="B631" s="71" t="s">
        <v>659</v>
      </c>
      <c r="C631" s="72">
        <v>45911.606232534723</v>
      </c>
      <c r="D631" s="72">
        <v>45911.606232534723</v>
      </c>
      <c r="E631" s="71" t="s">
        <v>135</v>
      </c>
      <c r="F631" s="71" t="s">
        <v>799</v>
      </c>
      <c r="G631" s="71" t="s">
        <v>3227</v>
      </c>
      <c r="H631" s="71" t="s">
        <v>798</v>
      </c>
      <c r="I631" s="71" t="s">
        <v>2604</v>
      </c>
      <c r="J631" s="71" t="s">
        <v>744</v>
      </c>
      <c r="K631" s="71" t="s">
        <v>2665</v>
      </c>
      <c r="L631" s="71" t="s">
        <v>2666</v>
      </c>
      <c r="M631" s="71" t="s">
        <v>2671</v>
      </c>
      <c r="N631" s="71" t="s">
        <v>2671</v>
      </c>
      <c r="O631" s="71" t="s">
        <v>2640</v>
      </c>
      <c r="P631" s="71" t="s">
        <v>2604</v>
      </c>
      <c r="Q631" s="71" t="s">
        <v>3228</v>
      </c>
      <c r="R631" s="71" t="s">
        <v>2604</v>
      </c>
      <c r="S631" s="71" t="s">
        <v>2604</v>
      </c>
      <c r="T631" s="71" t="s">
        <v>2604</v>
      </c>
      <c r="U631" s="71" t="s">
        <v>2604</v>
      </c>
      <c r="V631" s="71" t="s">
        <v>2635</v>
      </c>
    </row>
    <row r="632" spans="1:22">
      <c r="A632" s="71" t="s">
        <v>2659</v>
      </c>
      <c r="B632" s="71" t="s">
        <v>56</v>
      </c>
      <c r="C632" s="72">
        <v>45855.999216782409</v>
      </c>
      <c r="D632" s="72">
        <v>45855.999216782409</v>
      </c>
      <c r="E632" s="71" t="s">
        <v>473</v>
      </c>
      <c r="F632" s="71" t="s">
        <v>575</v>
      </c>
      <c r="G632" s="71" t="s">
        <v>576</v>
      </c>
      <c r="H632" s="71" t="s">
        <v>574</v>
      </c>
      <c r="I632" s="71" t="s">
        <v>2604</v>
      </c>
      <c r="J632" s="71" t="s">
        <v>813</v>
      </c>
      <c r="K632" s="71" t="s">
        <v>2648</v>
      </c>
      <c r="L632" s="71" t="s">
        <v>2649</v>
      </c>
      <c r="M632" s="71" t="s">
        <v>2726</v>
      </c>
      <c r="N632" s="71" t="s">
        <v>2726</v>
      </c>
      <c r="O632" s="71" t="s">
        <v>2640</v>
      </c>
      <c r="P632" s="71" t="s">
        <v>2604</v>
      </c>
      <c r="Q632" s="71" t="s">
        <v>2953</v>
      </c>
      <c r="R632" s="71" t="s">
        <v>2604</v>
      </c>
      <c r="S632" s="71" t="s">
        <v>2604</v>
      </c>
      <c r="T632" s="71" t="s">
        <v>2604</v>
      </c>
      <c r="U632" s="71" t="s">
        <v>2604</v>
      </c>
      <c r="V632" s="71" t="s">
        <v>2664</v>
      </c>
    </row>
    <row r="633" spans="1:22">
      <c r="A633" s="71" t="s">
        <v>2659</v>
      </c>
      <c r="B633" s="71" t="s">
        <v>84</v>
      </c>
      <c r="C633" s="72">
        <v>45988.516852824076</v>
      </c>
      <c r="D633" s="72">
        <v>45988.516852824076</v>
      </c>
      <c r="E633" s="71" t="s">
        <v>365</v>
      </c>
      <c r="F633" s="71" t="s">
        <v>924</v>
      </c>
      <c r="G633" s="71" t="s">
        <v>973</v>
      </c>
      <c r="H633" s="71" t="s">
        <v>972</v>
      </c>
      <c r="I633" s="71" t="s">
        <v>2604</v>
      </c>
      <c r="J633" s="71" t="s">
        <v>744</v>
      </c>
      <c r="K633" s="71" t="s">
        <v>2665</v>
      </c>
      <c r="L633" s="71" t="s">
        <v>2666</v>
      </c>
      <c r="M633" s="71" t="s">
        <v>2671</v>
      </c>
      <c r="N633" s="71" t="s">
        <v>3059</v>
      </c>
      <c r="O633" s="71" t="s">
        <v>2640</v>
      </c>
      <c r="P633" s="71" t="s">
        <v>2604</v>
      </c>
      <c r="Q633" s="71" t="s">
        <v>3060</v>
      </c>
      <c r="R633" s="71" t="s">
        <v>2604</v>
      </c>
      <c r="S633" s="71" t="s">
        <v>2604</v>
      </c>
      <c r="T633" s="71" t="s">
        <v>2604</v>
      </c>
      <c r="U633" s="71" t="s">
        <v>2604</v>
      </c>
      <c r="V633" s="71" t="s">
        <v>2664</v>
      </c>
    </row>
    <row r="634" spans="1:22">
      <c r="A634" s="71" t="s">
        <v>2659</v>
      </c>
      <c r="B634" s="71" t="s">
        <v>2646</v>
      </c>
      <c r="C634" s="72">
        <v>45816.375078055557</v>
      </c>
      <c r="D634" s="72">
        <v>45816.375078055557</v>
      </c>
      <c r="E634" s="71" t="s">
        <v>365</v>
      </c>
      <c r="F634" s="71" t="s">
        <v>504</v>
      </c>
      <c r="G634" s="71" t="s">
        <v>505</v>
      </c>
      <c r="H634" s="71" t="s">
        <v>503</v>
      </c>
      <c r="I634" s="71" t="s">
        <v>2604</v>
      </c>
      <c r="J634" s="71" t="s">
        <v>774</v>
      </c>
      <c r="K634" s="71" t="s">
        <v>2670</v>
      </c>
      <c r="L634" s="71" t="s">
        <v>2604</v>
      </c>
      <c r="M634" s="71" t="s">
        <v>2671</v>
      </c>
      <c r="N634" s="71" t="s">
        <v>3151</v>
      </c>
      <c r="O634" s="71" t="s">
        <v>2692</v>
      </c>
      <c r="P634" s="71" t="s">
        <v>2604</v>
      </c>
      <c r="Q634" s="71" t="s">
        <v>3152</v>
      </c>
      <c r="R634" s="71" t="s">
        <v>2604</v>
      </c>
      <c r="S634" s="71" t="s">
        <v>2604</v>
      </c>
      <c r="T634" s="71" t="s">
        <v>2604</v>
      </c>
      <c r="U634" s="71" t="s">
        <v>2604</v>
      </c>
      <c r="V634" s="71" t="s">
        <v>2635</v>
      </c>
    </row>
    <row r="635" spans="1:22">
      <c r="A635" s="71" t="s">
        <v>2659</v>
      </c>
      <c r="B635" s="71" t="s">
        <v>56</v>
      </c>
      <c r="C635" s="72">
        <v>45971.391454629629</v>
      </c>
      <c r="D635" s="72">
        <v>45971.391454629629</v>
      </c>
      <c r="E635" s="71" t="s">
        <v>365</v>
      </c>
      <c r="F635" s="71" t="s">
        <v>927</v>
      </c>
      <c r="G635" s="71" t="s">
        <v>928</v>
      </c>
      <c r="H635" s="71" t="s">
        <v>926</v>
      </c>
      <c r="I635" s="71" t="s">
        <v>2604</v>
      </c>
      <c r="J635" s="71" t="s">
        <v>774</v>
      </c>
      <c r="K635" s="71" t="s">
        <v>2670</v>
      </c>
      <c r="L635" s="71" t="s">
        <v>2604</v>
      </c>
      <c r="M635" s="71" t="s">
        <v>2671</v>
      </c>
      <c r="N635" s="71" t="s">
        <v>2797</v>
      </c>
      <c r="O635" s="71" t="s">
        <v>2640</v>
      </c>
      <c r="P635" s="71" t="s">
        <v>2604</v>
      </c>
      <c r="Q635" s="71" t="s">
        <v>2798</v>
      </c>
      <c r="R635" s="71" t="s">
        <v>2604</v>
      </c>
      <c r="S635" s="71" t="s">
        <v>2604</v>
      </c>
      <c r="T635" s="71" t="s">
        <v>2604</v>
      </c>
      <c r="U635" s="71" t="s">
        <v>2604</v>
      </c>
      <c r="V635" s="71" t="s">
        <v>2664</v>
      </c>
    </row>
    <row r="636" spans="1:22">
      <c r="A636" s="71" t="s">
        <v>2659</v>
      </c>
      <c r="B636" s="71" t="s">
        <v>84</v>
      </c>
      <c r="C636" s="72">
        <v>45853.451382766201</v>
      </c>
      <c r="D636" s="72">
        <v>45853.451382766201</v>
      </c>
      <c r="E636" s="71" t="s">
        <v>380</v>
      </c>
      <c r="F636" s="71" t="s">
        <v>3035</v>
      </c>
      <c r="G636" s="71" t="s">
        <v>557</v>
      </c>
      <c r="H636" s="71" t="s">
        <v>555</v>
      </c>
      <c r="I636" s="71" t="s">
        <v>2604</v>
      </c>
      <c r="J636" s="71" t="s">
        <v>744</v>
      </c>
      <c r="K636" s="71" t="s">
        <v>2665</v>
      </c>
      <c r="L636" s="71" t="s">
        <v>2821</v>
      </c>
      <c r="M636" s="71" t="s">
        <v>2671</v>
      </c>
      <c r="N636" s="71" t="s">
        <v>3036</v>
      </c>
      <c r="O636" s="71" t="s">
        <v>2640</v>
      </c>
      <c r="P636" s="71" t="s">
        <v>2604</v>
      </c>
      <c r="Q636" s="71" t="s">
        <v>3037</v>
      </c>
      <c r="R636" s="71" t="s">
        <v>2604</v>
      </c>
      <c r="S636" s="71" t="s">
        <v>2604</v>
      </c>
      <c r="T636" s="71" t="s">
        <v>2604</v>
      </c>
      <c r="U636" s="71" t="s">
        <v>2604</v>
      </c>
      <c r="V636" s="71" t="s">
        <v>2664</v>
      </c>
    </row>
    <row r="637" spans="1:22">
      <c r="A637" s="71" t="s">
        <v>2659</v>
      </c>
      <c r="B637" s="71" t="s">
        <v>84</v>
      </c>
      <c r="C637" s="72">
        <v>45937.583702361109</v>
      </c>
      <c r="D637" s="72">
        <v>45937.583702361109</v>
      </c>
      <c r="E637" s="71" t="s">
        <v>365</v>
      </c>
      <c r="F637" s="71" t="s">
        <v>857</v>
      </c>
      <c r="G637" s="71" t="s">
        <v>858</v>
      </c>
      <c r="H637" s="71" t="s">
        <v>856</v>
      </c>
      <c r="I637" s="71" t="s">
        <v>2604</v>
      </c>
      <c r="J637" s="71" t="s">
        <v>744</v>
      </c>
      <c r="K637" s="71" t="s">
        <v>2665</v>
      </c>
      <c r="L637" s="71" t="s">
        <v>2666</v>
      </c>
      <c r="M637" s="71" t="s">
        <v>2671</v>
      </c>
      <c r="N637" s="71" t="s">
        <v>3209</v>
      </c>
      <c r="O637" s="71" t="s">
        <v>2640</v>
      </c>
      <c r="P637" s="71" t="s">
        <v>2604</v>
      </c>
      <c r="Q637" s="71" t="s">
        <v>3210</v>
      </c>
      <c r="R637" s="71" t="s">
        <v>2604</v>
      </c>
      <c r="S637" s="71" t="s">
        <v>2604</v>
      </c>
      <c r="T637" s="71" t="s">
        <v>2604</v>
      </c>
      <c r="U637" s="71" t="s">
        <v>2604</v>
      </c>
      <c r="V637" s="71" t="s">
        <v>2635</v>
      </c>
    </row>
    <row r="638" spans="1:22">
      <c r="A638" s="71" t="s">
        <v>2659</v>
      </c>
      <c r="B638" s="71" t="s">
        <v>56</v>
      </c>
      <c r="C638" s="72">
        <v>45877.369801064815</v>
      </c>
      <c r="D638" s="72">
        <v>45877.369801064815</v>
      </c>
      <c r="E638" s="71" t="s">
        <v>365</v>
      </c>
      <c r="F638" s="71" t="s">
        <v>680</v>
      </c>
      <c r="G638" s="71" t="s">
        <v>681</v>
      </c>
      <c r="H638" s="71" t="s">
        <v>679</v>
      </c>
      <c r="I638" s="71" t="s">
        <v>2604</v>
      </c>
      <c r="J638" s="71" t="s">
        <v>774</v>
      </c>
      <c r="K638" s="71" t="s">
        <v>2670</v>
      </c>
      <c r="L638" s="71" t="s">
        <v>2604</v>
      </c>
      <c r="M638" s="71" t="s">
        <v>2671</v>
      </c>
      <c r="N638" s="71" t="s">
        <v>2726</v>
      </c>
      <c r="O638" s="71" t="s">
        <v>2640</v>
      </c>
      <c r="P638" s="71" t="s">
        <v>2604</v>
      </c>
      <c r="Q638" s="71" t="s">
        <v>3189</v>
      </c>
      <c r="R638" s="71" t="s">
        <v>2604</v>
      </c>
      <c r="S638" s="71" t="s">
        <v>2604</v>
      </c>
      <c r="T638" s="71" t="s">
        <v>2604</v>
      </c>
      <c r="U638" s="71" t="s">
        <v>2604</v>
      </c>
      <c r="V638" s="71" t="s">
        <v>2635</v>
      </c>
    </row>
    <row r="639" spans="1:22">
      <c r="A639" s="71" t="s">
        <v>2659</v>
      </c>
      <c r="B639" s="71" t="s">
        <v>84</v>
      </c>
      <c r="C639" s="72">
        <v>45908.437577627315</v>
      </c>
      <c r="D639" s="72">
        <v>45908.437577627315</v>
      </c>
      <c r="E639" s="71" t="s">
        <v>365</v>
      </c>
      <c r="F639" s="71" t="s">
        <v>2931</v>
      </c>
      <c r="G639" s="71" t="s">
        <v>2932</v>
      </c>
      <c r="H639" s="71" t="s">
        <v>778</v>
      </c>
      <c r="I639" s="71" t="s">
        <v>2604</v>
      </c>
      <c r="J639" s="71" t="s">
        <v>769</v>
      </c>
      <c r="K639" s="71" t="s">
        <v>2933</v>
      </c>
      <c r="L639" s="71" t="s">
        <v>2934</v>
      </c>
      <c r="M639" s="71" t="s">
        <v>2928</v>
      </c>
      <c r="N639" s="71" t="s">
        <v>2935</v>
      </c>
      <c r="O639" s="71" t="s">
        <v>2640</v>
      </c>
      <c r="P639" s="71" t="s">
        <v>2604</v>
      </c>
      <c r="Q639" s="71" t="s">
        <v>2936</v>
      </c>
      <c r="R639" s="71" t="s">
        <v>2604</v>
      </c>
      <c r="S639" s="71" t="s">
        <v>2604</v>
      </c>
      <c r="T639" s="71" t="s">
        <v>2604</v>
      </c>
      <c r="U639" s="71" t="s">
        <v>2604</v>
      </c>
      <c r="V639" s="71" t="s">
        <v>2635</v>
      </c>
    </row>
    <row r="640" spans="1:22">
      <c r="A640" s="71" t="s">
        <v>2659</v>
      </c>
      <c r="B640" s="71" t="s">
        <v>56</v>
      </c>
      <c r="C640" s="72">
        <v>45861.726970532407</v>
      </c>
      <c r="D640" s="72">
        <v>45861.726970532407</v>
      </c>
      <c r="E640" s="71" t="s">
        <v>135</v>
      </c>
      <c r="F640" s="71" t="s">
        <v>3245</v>
      </c>
      <c r="G640" s="71" t="s">
        <v>623</v>
      </c>
      <c r="H640" s="71" t="s">
        <v>621</v>
      </c>
      <c r="I640" s="71" t="s">
        <v>2604</v>
      </c>
      <c r="J640" s="71" t="s">
        <v>752</v>
      </c>
      <c r="K640" s="71" t="s">
        <v>2723</v>
      </c>
      <c r="L640" s="71" t="s">
        <v>2665</v>
      </c>
      <c r="M640" s="71" t="s">
        <v>3246</v>
      </c>
      <c r="N640" s="71" t="s">
        <v>3247</v>
      </c>
      <c r="O640" s="71" t="s">
        <v>2640</v>
      </c>
      <c r="P640" s="71" t="s">
        <v>2604</v>
      </c>
      <c r="Q640" s="71" t="s">
        <v>3248</v>
      </c>
      <c r="R640" s="71" t="s">
        <v>2604</v>
      </c>
      <c r="S640" s="71" t="s">
        <v>2604</v>
      </c>
      <c r="T640" s="71" t="s">
        <v>2604</v>
      </c>
      <c r="U640" s="71" t="s">
        <v>2604</v>
      </c>
      <c r="V640" s="71" t="s">
        <v>2635</v>
      </c>
    </row>
    <row r="641" spans="1:22">
      <c r="A641" s="71" t="s">
        <v>2659</v>
      </c>
      <c r="B641" s="71" t="s">
        <v>84</v>
      </c>
      <c r="C641" s="72">
        <v>45910.577502743057</v>
      </c>
      <c r="D641" s="72">
        <v>45910.577502743057</v>
      </c>
      <c r="E641" s="71" t="s">
        <v>365</v>
      </c>
      <c r="F641" s="71" t="s">
        <v>796</v>
      </c>
      <c r="G641" s="71" t="s">
        <v>797</v>
      </c>
      <c r="H641" s="71" t="s">
        <v>795</v>
      </c>
      <c r="I641" s="71" t="s">
        <v>2604</v>
      </c>
      <c r="J641" s="71" t="s">
        <v>752</v>
      </c>
      <c r="K641" s="71" t="s">
        <v>2675</v>
      </c>
      <c r="L641" s="71" t="s">
        <v>2712</v>
      </c>
      <c r="M641" s="71" t="s">
        <v>3005</v>
      </c>
      <c r="N641" s="71" t="s">
        <v>3006</v>
      </c>
      <c r="O641" s="71" t="s">
        <v>2640</v>
      </c>
      <c r="P641" s="71" t="s">
        <v>2604</v>
      </c>
      <c r="Q641" s="71" t="s">
        <v>3007</v>
      </c>
      <c r="R641" s="71" t="s">
        <v>2604</v>
      </c>
      <c r="S641" s="71" t="s">
        <v>2604</v>
      </c>
      <c r="T641" s="71" t="s">
        <v>2604</v>
      </c>
      <c r="U641" s="71" t="s">
        <v>2604</v>
      </c>
      <c r="V641" s="71" t="s">
        <v>2664</v>
      </c>
    </row>
    <row r="642" spans="1:22">
      <c r="A642" s="71" t="s">
        <v>2659</v>
      </c>
      <c r="B642" s="71" t="s">
        <v>56</v>
      </c>
      <c r="C642" s="72">
        <v>46045.710965115744</v>
      </c>
      <c r="D642" s="72">
        <v>46045.710965115744</v>
      </c>
      <c r="E642" s="71" t="s">
        <v>365</v>
      </c>
      <c r="F642" s="71" t="s">
        <v>1056</v>
      </c>
      <c r="G642" s="71" t="s">
        <v>1057</v>
      </c>
      <c r="H642" s="71" t="s">
        <v>1055</v>
      </c>
      <c r="I642" s="71" t="s">
        <v>2604</v>
      </c>
      <c r="J642" s="71" t="s">
        <v>813</v>
      </c>
      <c r="K642" s="71" t="s">
        <v>2648</v>
      </c>
      <c r="L642" s="71" t="s">
        <v>2649</v>
      </c>
      <c r="M642" s="71" t="s">
        <v>2726</v>
      </c>
      <c r="N642" s="71" t="s">
        <v>2726</v>
      </c>
      <c r="O642" s="71" t="s">
        <v>2640</v>
      </c>
      <c r="P642" s="71" t="s">
        <v>2604</v>
      </c>
      <c r="Q642" s="71" t="s">
        <v>2819</v>
      </c>
      <c r="R642" s="71" t="s">
        <v>2604</v>
      </c>
      <c r="S642" s="71" t="s">
        <v>2604</v>
      </c>
      <c r="T642" s="71" t="s">
        <v>2604</v>
      </c>
      <c r="U642" s="71" t="s">
        <v>2604</v>
      </c>
      <c r="V642" s="71" t="s">
        <v>2635</v>
      </c>
    </row>
    <row r="643" spans="1:22">
      <c r="A643" s="71" t="s">
        <v>2659</v>
      </c>
      <c r="B643" s="71" t="s">
        <v>56</v>
      </c>
      <c r="C643" s="72">
        <v>46014.804086956021</v>
      </c>
      <c r="D643" s="72">
        <v>46014.804086956021</v>
      </c>
      <c r="E643" s="71" t="s">
        <v>380</v>
      </c>
      <c r="F643" s="71" t="s">
        <v>1023</v>
      </c>
      <c r="G643" s="71" t="s">
        <v>1024</v>
      </c>
      <c r="H643" s="71" t="s">
        <v>1022</v>
      </c>
      <c r="I643" s="71" t="s">
        <v>2604</v>
      </c>
      <c r="J643" s="71" t="s">
        <v>744</v>
      </c>
      <c r="K643" s="71" t="s">
        <v>2665</v>
      </c>
      <c r="L643" s="71" t="s">
        <v>2666</v>
      </c>
      <c r="M643" s="71" t="s">
        <v>2671</v>
      </c>
      <c r="N643" s="71" t="s">
        <v>2671</v>
      </c>
      <c r="O643" s="71" t="s">
        <v>2640</v>
      </c>
      <c r="P643" s="71" t="s">
        <v>2604</v>
      </c>
      <c r="Q643" s="71" t="s">
        <v>3239</v>
      </c>
      <c r="R643" s="71" t="s">
        <v>2604</v>
      </c>
      <c r="S643" s="71" t="s">
        <v>2604</v>
      </c>
      <c r="T643" s="71" t="s">
        <v>2604</v>
      </c>
      <c r="U643" s="71" t="s">
        <v>2604</v>
      </c>
      <c r="V643" s="71" t="s">
        <v>2664</v>
      </c>
    </row>
    <row r="644" spans="1:22">
      <c r="A644" s="71" t="s">
        <v>2659</v>
      </c>
      <c r="B644" s="71" t="s">
        <v>84</v>
      </c>
      <c r="C644" s="72">
        <v>45869.651242534725</v>
      </c>
      <c r="D644" s="72">
        <v>45869.651242534725</v>
      </c>
      <c r="E644" s="71" t="s">
        <v>365</v>
      </c>
      <c r="F644" s="71" t="s">
        <v>666</v>
      </c>
      <c r="G644" s="71" t="s">
        <v>667</v>
      </c>
      <c r="H644" s="71" t="s">
        <v>665</v>
      </c>
      <c r="I644" s="71" t="s">
        <v>2604</v>
      </c>
      <c r="J644" s="71" t="s">
        <v>744</v>
      </c>
      <c r="K644" s="71" t="s">
        <v>2665</v>
      </c>
      <c r="L644" s="71" t="s">
        <v>2666</v>
      </c>
      <c r="M644" s="71" t="s">
        <v>2691</v>
      </c>
      <c r="N644" s="71" t="s">
        <v>2662</v>
      </c>
      <c r="O644" s="71" t="s">
        <v>2640</v>
      </c>
      <c r="P644" s="71" t="s">
        <v>2604</v>
      </c>
      <c r="Q644" s="71" t="s">
        <v>3148</v>
      </c>
      <c r="R644" s="71" t="s">
        <v>2604</v>
      </c>
      <c r="S644" s="71" t="s">
        <v>2604</v>
      </c>
      <c r="T644" s="71" t="s">
        <v>2604</v>
      </c>
      <c r="U644" s="71" t="s">
        <v>2604</v>
      </c>
      <c r="V644" s="71" t="s">
        <v>2635</v>
      </c>
    </row>
    <row r="645" spans="1:22">
      <c r="A645" s="71" t="s">
        <v>2659</v>
      </c>
      <c r="B645" s="71" t="s">
        <v>2646</v>
      </c>
      <c r="C645" s="72">
        <v>45779.342285416664</v>
      </c>
      <c r="D645" s="72">
        <v>45779.342285416664</v>
      </c>
      <c r="E645" s="71" t="s">
        <v>380</v>
      </c>
      <c r="F645" s="71" t="s">
        <v>444</v>
      </c>
      <c r="G645" s="71" t="s">
        <v>2879</v>
      </c>
      <c r="H645" s="71" t="s">
        <v>443</v>
      </c>
      <c r="I645" s="71" t="s">
        <v>2604</v>
      </c>
      <c r="J645" s="71" t="s">
        <v>752</v>
      </c>
      <c r="K645" s="71" t="s">
        <v>2723</v>
      </c>
      <c r="L645" s="71" t="s">
        <v>2665</v>
      </c>
      <c r="M645" s="71" t="s">
        <v>2880</v>
      </c>
      <c r="N645" s="71" t="s">
        <v>2881</v>
      </c>
      <c r="O645" s="71" t="s">
        <v>2692</v>
      </c>
      <c r="P645" s="71" t="s">
        <v>2604</v>
      </c>
      <c r="Q645" s="71" t="s">
        <v>2882</v>
      </c>
      <c r="R645" s="71" t="s">
        <v>2604</v>
      </c>
      <c r="S645" s="71" t="s">
        <v>2604</v>
      </c>
      <c r="T645" s="71" t="s">
        <v>2604</v>
      </c>
      <c r="U645" s="71" t="s">
        <v>2604</v>
      </c>
      <c r="V645" s="71" t="s">
        <v>2618</v>
      </c>
    </row>
    <row r="646" spans="1:22">
      <c r="A646" s="71" t="s">
        <v>2659</v>
      </c>
      <c r="B646" s="71" t="s">
        <v>2646</v>
      </c>
      <c r="C646" s="72">
        <v>45814.672897685188</v>
      </c>
      <c r="D646" s="72">
        <v>45814.672897685188</v>
      </c>
      <c r="E646" s="71" t="s">
        <v>365</v>
      </c>
      <c r="F646" s="71" t="s">
        <v>501</v>
      </c>
      <c r="G646" s="71" t="s">
        <v>502</v>
      </c>
      <c r="H646" s="71" t="s">
        <v>500</v>
      </c>
      <c r="I646" s="71" t="s">
        <v>2604</v>
      </c>
      <c r="J646" s="71" t="s">
        <v>744</v>
      </c>
      <c r="K646" s="71" t="s">
        <v>2665</v>
      </c>
      <c r="L646" s="71" t="s">
        <v>2666</v>
      </c>
      <c r="M646" s="71" t="s">
        <v>2671</v>
      </c>
      <c r="N646" s="71" t="s">
        <v>3125</v>
      </c>
      <c r="O646" s="71" t="s">
        <v>2692</v>
      </c>
      <c r="P646" s="71" t="s">
        <v>2604</v>
      </c>
      <c r="Q646" s="71" t="s">
        <v>3126</v>
      </c>
      <c r="R646" s="71" t="s">
        <v>2604</v>
      </c>
      <c r="S646" s="71" t="s">
        <v>2604</v>
      </c>
      <c r="T646" s="71" t="s">
        <v>2604</v>
      </c>
      <c r="U646" s="71" t="s">
        <v>2604</v>
      </c>
      <c r="V646" s="71" t="s">
        <v>2658</v>
      </c>
    </row>
    <row r="647" spans="1:22">
      <c r="A647" s="71" t="s">
        <v>2659</v>
      </c>
      <c r="B647" s="71" t="s">
        <v>2646</v>
      </c>
      <c r="C647" s="72">
        <v>45771.491537928239</v>
      </c>
      <c r="D647" s="72">
        <v>45771.491537928239</v>
      </c>
      <c r="E647" s="71" t="s">
        <v>2604</v>
      </c>
      <c r="F647" s="71" t="s">
        <v>61</v>
      </c>
      <c r="G647" s="71" t="s">
        <v>62</v>
      </c>
      <c r="H647" s="71" t="s">
        <v>60</v>
      </c>
      <c r="I647" s="71" t="s">
        <v>2604</v>
      </c>
      <c r="J647" s="71" t="s">
        <v>774</v>
      </c>
      <c r="K647" s="71" t="s">
        <v>3026</v>
      </c>
      <c r="L647" s="71" t="s">
        <v>2604</v>
      </c>
      <c r="M647" s="71" t="s">
        <v>3066</v>
      </c>
      <c r="N647" s="71" t="s">
        <v>3066</v>
      </c>
      <c r="O647" s="71" t="s">
        <v>2692</v>
      </c>
      <c r="P647" s="71" t="s">
        <v>2604</v>
      </c>
      <c r="Q647" s="71" t="s">
        <v>3067</v>
      </c>
      <c r="R647" s="71" t="s">
        <v>2604</v>
      </c>
      <c r="S647" s="71" t="s">
        <v>2604</v>
      </c>
      <c r="T647" s="71" t="s">
        <v>2604</v>
      </c>
      <c r="U647" s="71" t="s">
        <v>2604</v>
      </c>
      <c r="V647" s="71" t="s">
        <v>2635</v>
      </c>
    </row>
    <row r="648" spans="1:22">
      <c r="A648" s="71" t="s">
        <v>2659</v>
      </c>
      <c r="B648" s="71" t="s">
        <v>84</v>
      </c>
      <c r="C648" s="72">
        <v>45891.762958877312</v>
      </c>
      <c r="D648" s="72">
        <v>45891.762958877312</v>
      </c>
      <c r="E648" s="71" t="s">
        <v>135</v>
      </c>
      <c r="F648" s="71" t="s">
        <v>719</v>
      </c>
      <c r="G648" s="71" t="s">
        <v>720</v>
      </c>
      <c r="H648" s="71" t="s">
        <v>718</v>
      </c>
      <c r="I648" s="71" t="s">
        <v>2604</v>
      </c>
      <c r="J648" s="71" t="s">
        <v>774</v>
      </c>
      <c r="K648" s="71" t="s">
        <v>2670</v>
      </c>
      <c r="L648" s="71" t="s">
        <v>2604</v>
      </c>
      <c r="M648" s="71" t="s">
        <v>2671</v>
      </c>
      <c r="N648" s="71" t="s">
        <v>3162</v>
      </c>
      <c r="O648" s="71" t="s">
        <v>2640</v>
      </c>
      <c r="P648" s="71" t="s">
        <v>2604</v>
      </c>
      <c r="Q648" s="71" t="s">
        <v>3163</v>
      </c>
      <c r="R648" s="71" t="s">
        <v>2604</v>
      </c>
      <c r="S648" s="71" t="s">
        <v>2604</v>
      </c>
      <c r="T648" s="71" t="s">
        <v>2604</v>
      </c>
      <c r="U648" s="71" t="s">
        <v>2604</v>
      </c>
      <c r="V648" s="71" t="s">
        <v>2635</v>
      </c>
    </row>
    <row r="649" spans="1:22">
      <c r="A649" s="71" t="s">
        <v>2659</v>
      </c>
      <c r="B649" s="71" t="s">
        <v>2646</v>
      </c>
      <c r="C649" s="72">
        <v>45778.935127974539</v>
      </c>
      <c r="D649" s="72">
        <v>45778.935127974539</v>
      </c>
      <c r="E649" s="71" t="s">
        <v>365</v>
      </c>
      <c r="F649" s="71" t="s">
        <v>441</v>
      </c>
      <c r="G649" s="71" t="s">
        <v>442</v>
      </c>
      <c r="H649" s="71" t="s">
        <v>440</v>
      </c>
      <c r="I649" s="71" t="s">
        <v>2604</v>
      </c>
      <c r="J649" s="71" t="s">
        <v>813</v>
      </c>
      <c r="K649" s="71" t="s">
        <v>2648</v>
      </c>
      <c r="L649" s="71" t="s">
        <v>2649</v>
      </c>
      <c r="M649" s="71" t="s">
        <v>2650</v>
      </c>
      <c r="N649" s="71" t="s">
        <v>2651</v>
      </c>
      <c r="O649" s="71" t="s">
        <v>2692</v>
      </c>
      <c r="P649" s="71" t="s">
        <v>2604</v>
      </c>
      <c r="Q649" s="71" t="s">
        <v>2811</v>
      </c>
      <c r="R649" s="71" t="s">
        <v>2604</v>
      </c>
      <c r="S649" s="71" t="s">
        <v>2604</v>
      </c>
      <c r="T649" s="71" t="s">
        <v>2604</v>
      </c>
      <c r="U649" s="71" t="s">
        <v>2604</v>
      </c>
      <c r="V649" s="71" t="s">
        <v>2658</v>
      </c>
    </row>
    <row r="650" spans="1:22">
      <c r="A650" s="71" t="s">
        <v>2659</v>
      </c>
      <c r="B650" s="71" t="s">
        <v>2646</v>
      </c>
      <c r="C650" s="72">
        <v>45812.500758009257</v>
      </c>
      <c r="D650" s="72">
        <v>45812.500758009257</v>
      </c>
      <c r="E650" s="71" t="s">
        <v>365</v>
      </c>
      <c r="F650" s="71" t="s">
        <v>491</v>
      </c>
      <c r="G650" s="71" t="s">
        <v>492</v>
      </c>
      <c r="H650" s="71" t="s">
        <v>490</v>
      </c>
      <c r="I650" s="71" t="s">
        <v>2604</v>
      </c>
      <c r="J650" s="71" t="s">
        <v>752</v>
      </c>
      <c r="K650" s="71" t="s">
        <v>2723</v>
      </c>
      <c r="L650" s="71" t="s">
        <v>2665</v>
      </c>
      <c r="M650" s="71" t="s">
        <v>3174</v>
      </c>
      <c r="N650" s="71" t="s">
        <v>3174</v>
      </c>
      <c r="O650" s="71" t="s">
        <v>2692</v>
      </c>
      <c r="P650" s="71" t="s">
        <v>2604</v>
      </c>
      <c r="Q650" s="71" t="s">
        <v>3175</v>
      </c>
      <c r="R650" s="71" t="s">
        <v>2604</v>
      </c>
      <c r="S650" s="71" t="s">
        <v>2604</v>
      </c>
      <c r="T650" s="71" t="s">
        <v>2604</v>
      </c>
      <c r="U650" s="71" t="s">
        <v>2604</v>
      </c>
      <c r="V650" s="71" t="s">
        <v>2655</v>
      </c>
    </row>
    <row r="651" spans="1:22">
      <c r="A651" s="71" t="s">
        <v>2659</v>
      </c>
      <c r="B651" s="71" t="s">
        <v>56</v>
      </c>
      <c r="C651" s="72">
        <v>45900.395212719908</v>
      </c>
      <c r="D651" s="72">
        <v>45900.395212719908</v>
      </c>
      <c r="E651" s="71" t="s">
        <v>365</v>
      </c>
      <c r="F651" s="71" t="s">
        <v>754</v>
      </c>
      <c r="G651" s="71" t="s">
        <v>755</v>
      </c>
      <c r="H651" s="71" t="s">
        <v>753</v>
      </c>
      <c r="I651" s="71" t="s">
        <v>2604</v>
      </c>
      <c r="J651" s="71" t="s">
        <v>744</v>
      </c>
      <c r="K651" s="71" t="s">
        <v>2665</v>
      </c>
      <c r="L651" s="71" t="s">
        <v>2821</v>
      </c>
      <c r="M651" s="71" t="s">
        <v>2671</v>
      </c>
      <c r="N651" s="71" t="s">
        <v>2831</v>
      </c>
      <c r="O651" s="71" t="s">
        <v>2640</v>
      </c>
      <c r="P651" s="71" t="s">
        <v>2604</v>
      </c>
      <c r="Q651" s="71" t="s">
        <v>2832</v>
      </c>
      <c r="R651" s="71" t="s">
        <v>2604</v>
      </c>
      <c r="S651" s="71" t="s">
        <v>2604</v>
      </c>
      <c r="T651" s="71" t="s">
        <v>2604</v>
      </c>
      <c r="U651" s="71" t="s">
        <v>2604</v>
      </c>
      <c r="V651" s="71" t="s">
        <v>2664</v>
      </c>
    </row>
    <row r="652" spans="1:22">
      <c r="A652" s="71" t="s">
        <v>2659</v>
      </c>
      <c r="B652" s="71" t="s">
        <v>2646</v>
      </c>
      <c r="C652" s="72">
        <v>45786.479872372685</v>
      </c>
      <c r="D652" s="72">
        <v>45786.479872372685</v>
      </c>
      <c r="E652" s="71" t="s">
        <v>365</v>
      </c>
      <c r="F652" s="71" t="s">
        <v>455</v>
      </c>
      <c r="G652" s="71" t="s">
        <v>456</v>
      </c>
      <c r="H652" s="71" t="s">
        <v>454</v>
      </c>
      <c r="I652" s="71" t="s">
        <v>2604</v>
      </c>
      <c r="J652" s="71" t="s">
        <v>813</v>
      </c>
      <c r="K652" s="71" t="s">
        <v>2648</v>
      </c>
      <c r="L652" s="71" t="s">
        <v>2649</v>
      </c>
      <c r="M652" s="71" t="s">
        <v>2650</v>
      </c>
      <c r="N652" s="71" t="s">
        <v>3172</v>
      </c>
      <c r="O652" s="71" t="s">
        <v>2692</v>
      </c>
      <c r="P652" s="71" t="s">
        <v>2604</v>
      </c>
      <c r="Q652" s="71" t="s">
        <v>3173</v>
      </c>
      <c r="R652" s="71" t="s">
        <v>2604</v>
      </c>
      <c r="S652" s="71" t="s">
        <v>2604</v>
      </c>
      <c r="T652" s="71" t="s">
        <v>2604</v>
      </c>
      <c r="U652" s="71" t="s">
        <v>2604</v>
      </c>
      <c r="V652" s="71" t="s">
        <v>2604</v>
      </c>
    </row>
    <row r="653" spans="1:22">
      <c r="A653" s="71" t="s">
        <v>2659</v>
      </c>
      <c r="B653" s="71" t="s">
        <v>84</v>
      </c>
      <c r="C653" s="72">
        <v>45879.807169976855</v>
      </c>
      <c r="D653" s="72">
        <v>45879.807169976855</v>
      </c>
      <c r="E653" s="71" t="s">
        <v>365</v>
      </c>
      <c r="F653" s="71" t="s">
        <v>689</v>
      </c>
      <c r="G653" s="71" t="s">
        <v>690</v>
      </c>
      <c r="H653" s="71" t="s">
        <v>688</v>
      </c>
      <c r="I653" s="71" t="s">
        <v>2604</v>
      </c>
      <c r="J653" s="71" t="s">
        <v>744</v>
      </c>
      <c r="K653" s="71" t="s">
        <v>2665</v>
      </c>
      <c r="L653" s="71" t="s">
        <v>2666</v>
      </c>
      <c r="M653" s="71" t="s">
        <v>2671</v>
      </c>
      <c r="N653" s="71" t="s">
        <v>2726</v>
      </c>
      <c r="O653" s="71" t="s">
        <v>2640</v>
      </c>
      <c r="P653" s="71" t="s">
        <v>2604</v>
      </c>
      <c r="Q653" s="71" t="s">
        <v>2796</v>
      </c>
      <c r="R653" s="71" t="s">
        <v>2604</v>
      </c>
      <c r="S653" s="71" t="s">
        <v>2604</v>
      </c>
      <c r="T653" s="71" t="s">
        <v>2604</v>
      </c>
      <c r="U653" s="71" t="s">
        <v>2604</v>
      </c>
      <c r="V653" s="71" t="s">
        <v>2664</v>
      </c>
    </row>
    <row r="654" spans="1:22">
      <c r="A654" s="71" t="s">
        <v>2659</v>
      </c>
      <c r="B654" s="71" t="s">
        <v>659</v>
      </c>
      <c r="C654" s="72">
        <v>46013.744940821758</v>
      </c>
      <c r="D654" s="72">
        <v>46013.744940821758</v>
      </c>
      <c r="E654" s="71" t="s">
        <v>135</v>
      </c>
      <c r="F654" s="71" t="s">
        <v>1190</v>
      </c>
      <c r="G654" s="71" t="s">
        <v>1018</v>
      </c>
      <c r="H654" s="71" t="s">
        <v>1016</v>
      </c>
      <c r="I654" s="71" t="s">
        <v>2604</v>
      </c>
      <c r="J654" s="71" t="s">
        <v>774</v>
      </c>
      <c r="K654" s="71" t="s">
        <v>3230</v>
      </c>
      <c r="L654" s="71" t="s">
        <v>2604</v>
      </c>
      <c r="M654" s="71" t="s">
        <v>3231</v>
      </c>
      <c r="N654" s="71" t="s">
        <v>3232</v>
      </c>
      <c r="O654" s="71" t="s">
        <v>2640</v>
      </c>
      <c r="P654" s="71" t="s">
        <v>2604</v>
      </c>
      <c r="Q654" s="71" t="s">
        <v>3233</v>
      </c>
      <c r="R654" s="71" t="s">
        <v>2604</v>
      </c>
      <c r="S654" s="71" t="s">
        <v>2604</v>
      </c>
      <c r="T654" s="71" t="s">
        <v>2604</v>
      </c>
      <c r="U654" s="71" t="s">
        <v>2604</v>
      </c>
      <c r="V654" s="71" t="s">
        <v>2635</v>
      </c>
    </row>
    <row r="655" spans="1:22">
      <c r="A655" s="71" t="s">
        <v>2659</v>
      </c>
      <c r="B655" s="71" t="s">
        <v>724</v>
      </c>
      <c r="C655" s="72">
        <v>45897.554412488425</v>
      </c>
      <c r="D655" s="72">
        <v>45897.554412488425</v>
      </c>
      <c r="E655" s="71" t="s">
        <v>365</v>
      </c>
      <c r="F655" s="71" t="s">
        <v>64</v>
      </c>
      <c r="G655" s="71" t="s">
        <v>3136</v>
      </c>
      <c r="H655" s="71" t="s">
        <v>63</v>
      </c>
      <c r="I655" s="71" t="s">
        <v>2604</v>
      </c>
      <c r="J655" s="71" t="s">
        <v>747</v>
      </c>
      <c r="K655" s="71" t="s">
        <v>2768</v>
      </c>
      <c r="L655" s="71" t="s">
        <v>3137</v>
      </c>
      <c r="M655" s="71" t="s">
        <v>3138</v>
      </c>
      <c r="N655" s="71" t="s">
        <v>3138</v>
      </c>
      <c r="O655" s="71" t="s">
        <v>2640</v>
      </c>
      <c r="P655" s="71" t="s">
        <v>3139</v>
      </c>
      <c r="Q655" s="71" t="s">
        <v>3140</v>
      </c>
      <c r="R655" s="71" t="s">
        <v>2604</v>
      </c>
      <c r="S655" s="71" t="s">
        <v>2604</v>
      </c>
      <c r="T655" s="71" t="s">
        <v>2604</v>
      </c>
      <c r="U655" s="71" t="s">
        <v>2604</v>
      </c>
      <c r="V655" s="71" t="s">
        <v>2618</v>
      </c>
    </row>
    <row r="656" spans="1:22">
      <c r="A656" s="71" t="s">
        <v>2659</v>
      </c>
      <c r="B656" s="71" t="s">
        <v>51</v>
      </c>
      <c r="C656" s="72">
        <v>45843.338491562499</v>
      </c>
      <c r="D656" s="72">
        <v>45843.338491562499</v>
      </c>
      <c r="E656" s="71" t="s">
        <v>365</v>
      </c>
      <c r="F656" s="71" t="s">
        <v>540</v>
      </c>
      <c r="G656" s="71" t="s">
        <v>541</v>
      </c>
      <c r="H656" s="71" t="s">
        <v>539</v>
      </c>
      <c r="I656" s="71" t="s">
        <v>2604</v>
      </c>
      <c r="J656" s="71" t="s">
        <v>744</v>
      </c>
      <c r="K656" s="71" t="s">
        <v>2665</v>
      </c>
      <c r="L656" s="71" t="s">
        <v>2821</v>
      </c>
      <c r="M656" s="71" t="s">
        <v>3119</v>
      </c>
      <c r="N656" s="71" t="s">
        <v>3120</v>
      </c>
      <c r="O656" s="71" t="s">
        <v>2640</v>
      </c>
      <c r="P656" s="71" t="s">
        <v>2604</v>
      </c>
      <c r="Q656" s="71" t="s">
        <v>3121</v>
      </c>
      <c r="R656" s="71" t="s">
        <v>2604</v>
      </c>
      <c r="S656" s="71" t="s">
        <v>2604</v>
      </c>
      <c r="T656" s="71" t="s">
        <v>2604</v>
      </c>
      <c r="U656" s="71" t="s">
        <v>2604</v>
      </c>
      <c r="V656" s="71" t="s">
        <v>2604</v>
      </c>
    </row>
    <row r="657" spans="1:22">
      <c r="A657" s="71" t="s">
        <v>2659</v>
      </c>
      <c r="B657" s="71" t="s">
        <v>56</v>
      </c>
      <c r="C657" s="72">
        <v>45923.504220196759</v>
      </c>
      <c r="D657" s="72">
        <v>45923.504220196759</v>
      </c>
      <c r="E657" s="71" t="s">
        <v>365</v>
      </c>
      <c r="F657" s="71" t="s">
        <v>830</v>
      </c>
      <c r="G657" s="71" t="s">
        <v>831</v>
      </c>
      <c r="H657" s="71" t="s">
        <v>829</v>
      </c>
      <c r="I657" s="71" t="s">
        <v>2604</v>
      </c>
      <c r="J657" s="71" t="s">
        <v>813</v>
      </c>
      <c r="K657" s="71" t="s">
        <v>2648</v>
      </c>
      <c r="L657" s="71" t="s">
        <v>2649</v>
      </c>
      <c r="M657" s="71" t="s">
        <v>2726</v>
      </c>
      <c r="N657" s="71" t="s">
        <v>2726</v>
      </c>
      <c r="O657" s="71" t="s">
        <v>2640</v>
      </c>
      <c r="P657" s="71" t="s">
        <v>2604</v>
      </c>
      <c r="Q657" s="71" t="s">
        <v>2842</v>
      </c>
      <c r="R657" s="71" t="s">
        <v>2604</v>
      </c>
      <c r="S657" s="71" t="s">
        <v>2604</v>
      </c>
      <c r="T657" s="71" t="s">
        <v>2604</v>
      </c>
      <c r="U657" s="71" t="s">
        <v>2604</v>
      </c>
      <c r="V657" s="71" t="s">
        <v>2635</v>
      </c>
    </row>
    <row r="658" spans="1:22">
      <c r="A658" s="71" t="s">
        <v>2659</v>
      </c>
      <c r="B658" s="71" t="s">
        <v>724</v>
      </c>
      <c r="C658" s="72">
        <v>46030.641658310182</v>
      </c>
      <c r="D658" s="72">
        <v>46030.641658310182</v>
      </c>
      <c r="E658" s="71" t="s">
        <v>365</v>
      </c>
      <c r="F658" s="71" t="s">
        <v>1033</v>
      </c>
      <c r="G658" s="71" t="s">
        <v>3203</v>
      </c>
      <c r="H658" s="71" t="s">
        <v>3204</v>
      </c>
      <c r="I658" s="71" t="s">
        <v>2604</v>
      </c>
      <c r="J658" s="71" t="s">
        <v>752</v>
      </c>
      <c r="K658" s="71" t="s">
        <v>2675</v>
      </c>
      <c r="L658" s="71" t="s">
        <v>2712</v>
      </c>
      <c r="M658" s="71" t="s">
        <v>3021</v>
      </c>
      <c r="N658" s="71" t="s">
        <v>2861</v>
      </c>
      <c r="O658" s="71" t="s">
        <v>2640</v>
      </c>
      <c r="P658" s="71" t="s">
        <v>2604</v>
      </c>
      <c r="Q658" s="71" t="s">
        <v>3205</v>
      </c>
      <c r="R658" s="71" t="s">
        <v>2604</v>
      </c>
      <c r="S658" s="71" t="s">
        <v>2604</v>
      </c>
      <c r="T658" s="71" t="s">
        <v>2604</v>
      </c>
      <c r="U658" s="71" t="s">
        <v>2604</v>
      </c>
      <c r="V658" s="71" t="s">
        <v>2635</v>
      </c>
    </row>
    <row r="659" spans="1:22">
      <c r="A659" s="71" t="s">
        <v>2659</v>
      </c>
      <c r="B659" s="71" t="s">
        <v>2646</v>
      </c>
      <c r="C659" s="72">
        <v>45824.613438009263</v>
      </c>
      <c r="D659" s="72">
        <v>45824.613438009263</v>
      </c>
      <c r="E659" s="71" t="s">
        <v>135</v>
      </c>
      <c r="F659" s="71" t="s">
        <v>517</v>
      </c>
      <c r="G659" s="71" t="s">
        <v>3206</v>
      </c>
      <c r="H659" s="71" t="s">
        <v>516</v>
      </c>
      <c r="I659" s="71" t="s">
        <v>2604</v>
      </c>
      <c r="J659" s="71" t="s">
        <v>774</v>
      </c>
      <c r="K659" s="71" t="s">
        <v>3207</v>
      </c>
      <c r="L659" s="71" t="s">
        <v>2604</v>
      </c>
      <c r="M659" s="71" t="s">
        <v>2848</v>
      </c>
      <c r="N659" s="71" t="s">
        <v>2763</v>
      </c>
      <c r="O659" s="71" t="s">
        <v>2692</v>
      </c>
      <c r="P659" s="71" t="s">
        <v>2604</v>
      </c>
      <c r="Q659" s="71" t="s">
        <v>3208</v>
      </c>
      <c r="R659" s="71" t="s">
        <v>2604</v>
      </c>
      <c r="S659" s="71" t="s">
        <v>2604</v>
      </c>
      <c r="T659" s="71" t="s">
        <v>2604</v>
      </c>
      <c r="U659" s="71" t="s">
        <v>2604</v>
      </c>
      <c r="V659" s="71" t="s">
        <v>2658</v>
      </c>
    </row>
    <row r="660" spans="1:22">
      <c r="A660" s="71" t="s">
        <v>2659</v>
      </c>
      <c r="B660" s="71" t="s">
        <v>2646</v>
      </c>
      <c r="C660" s="72">
        <v>45779.436436458331</v>
      </c>
      <c r="D660" s="72">
        <v>45779.436436458331</v>
      </c>
      <c r="E660" s="71" t="s">
        <v>365</v>
      </c>
      <c r="F660" s="71" t="s">
        <v>1266</v>
      </c>
      <c r="G660" s="71" t="s">
        <v>2761</v>
      </c>
      <c r="H660" s="71" t="s">
        <v>447</v>
      </c>
      <c r="I660" s="71" t="s">
        <v>2604</v>
      </c>
      <c r="J660" s="71" t="s">
        <v>752</v>
      </c>
      <c r="K660" s="71" t="s">
        <v>2723</v>
      </c>
      <c r="L660" s="71" t="s">
        <v>2665</v>
      </c>
      <c r="M660" s="71" t="s">
        <v>2762</v>
      </c>
      <c r="N660" s="71" t="s">
        <v>2763</v>
      </c>
      <c r="O660" s="71" t="s">
        <v>2692</v>
      </c>
      <c r="P660" s="71" t="s">
        <v>2604</v>
      </c>
      <c r="Q660" s="71" t="s">
        <v>2764</v>
      </c>
      <c r="R660" s="71" t="s">
        <v>2604</v>
      </c>
      <c r="S660" s="71" t="s">
        <v>2604</v>
      </c>
      <c r="T660" s="71" t="s">
        <v>2604</v>
      </c>
      <c r="U660" s="71" t="s">
        <v>2604</v>
      </c>
      <c r="V660" s="71" t="s">
        <v>2655</v>
      </c>
    </row>
    <row r="661" spans="1:22">
      <c r="A661" s="71" t="s">
        <v>2659</v>
      </c>
      <c r="B661" s="71" t="s">
        <v>724</v>
      </c>
      <c r="C661" s="72">
        <v>45897.554412488425</v>
      </c>
      <c r="D661" s="72">
        <v>45897.554412488425</v>
      </c>
      <c r="E661" s="71" t="s">
        <v>365</v>
      </c>
      <c r="F661" s="71" t="s">
        <v>64</v>
      </c>
      <c r="G661" s="71" t="s">
        <v>3136</v>
      </c>
      <c r="H661" s="71" t="s">
        <v>63</v>
      </c>
      <c r="I661" s="71" t="s">
        <v>2604</v>
      </c>
      <c r="J661" s="71" t="s">
        <v>747</v>
      </c>
      <c r="K661" s="71" t="s">
        <v>2768</v>
      </c>
      <c r="L661" s="71" t="s">
        <v>3137</v>
      </c>
      <c r="M661" s="71" t="s">
        <v>3138</v>
      </c>
      <c r="N661" s="71" t="s">
        <v>3138</v>
      </c>
      <c r="O661" s="71" t="s">
        <v>2640</v>
      </c>
      <c r="P661" s="71" t="s">
        <v>3139</v>
      </c>
      <c r="Q661" s="71" t="s">
        <v>3140</v>
      </c>
      <c r="R661" s="71" t="s">
        <v>2604</v>
      </c>
      <c r="S661" s="71" t="s">
        <v>2604</v>
      </c>
      <c r="T661" s="71" t="s">
        <v>2604</v>
      </c>
      <c r="U661" s="71" t="s">
        <v>2604</v>
      </c>
      <c r="V661" s="71" t="s">
        <v>2658</v>
      </c>
    </row>
    <row r="662" spans="1:22">
      <c r="A662" s="71" t="s">
        <v>2659</v>
      </c>
      <c r="B662" s="71" t="s">
        <v>659</v>
      </c>
      <c r="C662" s="72">
        <v>45877.335951168985</v>
      </c>
      <c r="D662" s="72">
        <v>45877.335951168985</v>
      </c>
      <c r="E662" s="71" t="s">
        <v>365</v>
      </c>
      <c r="F662" s="71" t="s">
        <v>678</v>
      </c>
      <c r="G662" s="71" t="s">
        <v>2700</v>
      </c>
      <c r="H662" s="71" t="s">
        <v>677</v>
      </c>
      <c r="I662" s="71" t="s">
        <v>2604</v>
      </c>
      <c r="J662" s="71" t="s">
        <v>752</v>
      </c>
      <c r="K662" s="71" t="s">
        <v>2675</v>
      </c>
      <c r="L662" s="71" t="s">
        <v>2676</v>
      </c>
      <c r="M662" s="71" t="s">
        <v>2701</v>
      </c>
      <c r="N662" s="71" t="s">
        <v>2702</v>
      </c>
      <c r="O662" s="71" t="s">
        <v>2640</v>
      </c>
      <c r="P662" s="71" t="s">
        <v>2604</v>
      </c>
      <c r="Q662" s="71" t="s">
        <v>2703</v>
      </c>
      <c r="R662" s="71" t="s">
        <v>2604</v>
      </c>
      <c r="S662" s="71" t="s">
        <v>2604</v>
      </c>
      <c r="T662" s="71" t="s">
        <v>2604</v>
      </c>
      <c r="U662" s="71" t="s">
        <v>2604</v>
      </c>
      <c r="V662" s="71" t="s">
        <v>2618</v>
      </c>
    </row>
    <row r="663" spans="1:22">
      <c r="A663" s="71" t="s">
        <v>2659</v>
      </c>
      <c r="B663" s="71" t="s">
        <v>659</v>
      </c>
      <c r="C663" s="72">
        <v>45889.492178900466</v>
      </c>
      <c r="D663" s="72">
        <v>45889.492178900466</v>
      </c>
      <c r="E663" s="71" t="s">
        <v>365</v>
      </c>
      <c r="F663" s="71" t="s">
        <v>707</v>
      </c>
      <c r="G663" s="71" t="s">
        <v>3201</v>
      </c>
      <c r="H663" s="71" t="s">
        <v>706</v>
      </c>
      <c r="I663" s="71" t="s">
        <v>2604</v>
      </c>
      <c r="J663" s="71" t="s">
        <v>744</v>
      </c>
      <c r="K663" s="71" t="s">
        <v>2665</v>
      </c>
      <c r="L663" s="71" t="s">
        <v>2821</v>
      </c>
      <c r="M663" s="71" t="s">
        <v>2671</v>
      </c>
      <c r="N663" s="71" t="s">
        <v>2662</v>
      </c>
      <c r="O663" s="71" t="s">
        <v>2604</v>
      </c>
      <c r="P663" s="71" t="s">
        <v>2604</v>
      </c>
      <c r="Q663" s="71" t="s">
        <v>3202</v>
      </c>
      <c r="R663" s="71" t="s">
        <v>2604</v>
      </c>
      <c r="S663" s="71" t="s">
        <v>2604</v>
      </c>
      <c r="T663" s="71" t="s">
        <v>2604</v>
      </c>
      <c r="U663" s="71" t="s">
        <v>2604</v>
      </c>
      <c r="V663" s="71" t="s">
        <v>2635</v>
      </c>
    </row>
    <row r="664" spans="1:22">
      <c r="A664" s="71" t="s">
        <v>2659</v>
      </c>
      <c r="B664" s="71" t="s">
        <v>2646</v>
      </c>
      <c r="C664" s="72">
        <v>45769.453627256946</v>
      </c>
      <c r="D664" s="72">
        <v>45769.453627256946</v>
      </c>
      <c r="E664" s="71" t="s">
        <v>365</v>
      </c>
      <c r="F664" s="71" t="s">
        <v>432</v>
      </c>
      <c r="G664" s="71" t="s">
        <v>433</v>
      </c>
      <c r="H664" s="71" t="s">
        <v>431</v>
      </c>
      <c r="I664" s="71" t="s">
        <v>2604</v>
      </c>
      <c r="J664" s="71" t="s">
        <v>752</v>
      </c>
      <c r="K664" s="71" t="s">
        <v>2723</v>
      </c>
      <c r="L664" s="71" t="s">
        <v>2665</v>
      </c>
      <c r="M664" s="71" t="s">
        <v>2876</v>
      </c>
      <c r="N664" s="71" t="s">
        <v>2877</v>
      </c>
      <c r="O664" s="71" t="s">
        <v>2692</v>
      </c>
      <c r="P664" s="71" t="s">
        <v>2604</v>
      </c>
      <c r="Q664" s="71" t="s">
        <v>2878</v>
      </c>
      <c r="R664" s="71" t="s">
        <v>2604</v>
      </c>
      <c r="S664" s="71" t="s">
        <v>2604</v>
      </c>
      <c r="T664" s="71" t="s">
        <v>2604</v>
      </c>
      <c r="U664" s="71" t="s">
        <v>2604</v>
      </c>
      <c r="V664" s="71" t="s">
        <v>2604</v>
      </c>
    </row>
    <row r="665" spans="1:22">
      <c r="A665" s="71" t="s">
        <v>2659</v>
      </c>
      <c r="B665" s="71" t="s">
        <v>84</v>
      </c>
      <c r="C665" s="72">
        <v>46034.596374247689</v>
      </c>
      <c r="D665" s="72">
        <v>46034.596374247689</v>
      </c>
      <c r="E665" s="71" t="s">
        <v>365</v>
      </c>
      <c r="F665" s="71" t="s">
        <v>1040</v>
      </c>
      <c r="G665" s="71" t="s">
        <v>1041</v>
      </c>
      <c r="H665" s="71" t="s">
        <v>1039</v>
      </c>
      <c r="I665" s="71" t="s">
        <v>2604</v>
      </c>
      <c r="J665" s="71" t="s">
        <v>769</v>
      </c>
      <c r="K665" s="71" t="s">
        <v>2773</v>
      </c>
      <c r="L665" s="71" t="s">
        <v>2670</v>
      </c>
      <c r="M665" s="71" t="s">
        <v>2638</v>
      </c>
      <c r="N665" s="71" t="s">
        <v>2774</v>
      </c>
      <c r="O665" s="71" t="s">
        <v>2640</v>
      </c>
      <c r="P665" s="71" t="s">
        <v>2604</v>
      </c>
      <c r="Q665" s="71" t="s">
        <v>2775</v>
      </c>
      <c r="R665" s="71" t="s">
        <v>2604</v>
      </c>
      <c r="S665" s="71" t="s">
        <v>2604</v>
      </c>
      <c r="T665" s="71" t="s">
        <v>2604</v>
      </c>
      <c r="U665" s="71" t="s">
        <v>2604</v>
      </c>
      <c r="V665" s="71" t="s">
        <v>2604</v>
      </c>
    </row>
    <row r="666" spans="1:22">
      <c r="A666" s="71" t="s">
        <v>2659</v>
      </c>
      <c r="B666" s="71" t="s">
        <v>56</v>
      </c>
      <c r="C666" s="72">
        <v>45978.691404155092</v>
      </c>
      <c r="D666" s="72">
        <v>45978.691404155092</v>
      </c>
      <c r="E666" s="71" t="s">
        <v>365</v>
      </c>
      <c r="F666" s="71" t="s">
        <v>955</v>
      </c>
      <c r="G666" s="71" t="s">
        <v>956</v>
      </c>
      <c r="H666" s="71" t="s">
        <v>954</v>
      </c>
      <c r="I666" s="71" t="s">
        <v>2604</v>
      </c>
      <c r="J666" s="71" t="s">
        <v>744</v>
      </c>
      <c r="K666" s="71" t="s">
        <v>2665</v>
      </c>
      <c r="L666" s="71" t="s">
        <v>2666</v>
      </c>
      <c r="M666" s="71" t="s">
        <v>3242</v>
      </c>
      <c r="N666" s="71" t="s">
        <v>3243</v>
      </c>
      <c r="O666" s="71" t="s">
        <v>2640</v>
      </c>
      <c r="P666" s="71" t="s">
        <v>2604</v>
      </c>
      <c r="Q666" s="71" t="s">
        <v>3244</v>
      </c>
      <c r="R666" s="71" t="s">
        <v>2604</v>
      </c>
      <c r="S666" s="71" t="s">
        <v>2604</v>
      </c>
      <c r="T666" s="71" t="s">
        <v>2604</v>
      </c>
      <c r="U666" s="71" t="s">
        <v>2604</v>
      </c>
      <c r="V666" s="71" t="s">
        <v>2604</v>
      </c>
    </row>
    <row r="667" spans="1:22">
      <c r="A667" s="71" t="s">
        <v>2659</v>
      </c>
      <c r="B667" s="71" t="s">
        <v>84</v>
      </c>
      <c r="C667" s="72">
        <v>45917.39422332176</v>
      </c>
      <c r="D667" s="72">
        <v>45917.39422332176</v>
      </c>
      <c r="E667" s="71" t="s">
        <v>380</v>
      </c>
      <c r="F667" s="71" t="s">
        <v>2939</v>
      </c>
      <c r="G667" s="71" t="s">
        <v>808</v>
      </c>
      <c r="H667" s="71" t="s">
        <v>806</v>
      </c>
      <c r="I667" s="71" t="s">
        <v>2604</v>
      </c>
      <c r="J667" s="71" t="s">
        <v>774</v>
      </c>
      <c r="K667" s="71" t="s">
        <v>2670</v>
      </c>
      <c r="L667" s="71" t="s">
        <v>2604</v>
      </c>
      <c r="M667" s="71" t="s">
        <v>2671</v>
      </c>
      <c r="N667" s="71" t="s">
        <v>2671</v>
      </c>
      <c r="O667" s="71" t="s">
        <v>2640</v>
      </c>
      <c r="P667" s="71" t="s">
        <v>2604</v>
      </c>
      <c r="Q667" s="71" t="s">
        <v>2940</v>
      </c>
      <c r="R667" s="71" t="s">
        <v>2604</v>
      </c>
      <c r="S667" s="71" t="s">
        <v>2604</v>
      </c>
      <c r="T667" s="71" t="s">
        <v>2604</v>
      </c>
      <c r="U667" s="71" t="s">
        <v>2604</v>
      </c>
      <c r="V667" s="71" t="s">
        <v>2664</v>
      </c>
    </row>
    <row r="668" spans="1:22">
      <c r="A668" s="71" t="s">
        <v>2659</v>
      </c>
      <c r="B668" s="71" t="s">
        <v>56</v>
      </c>
      <c r="C668" s="72">
        <v>45924.360120810183</v>
      </c>
      <c r="D668" s="72">
        <v>45924.360120810183</v>
      </c>
      <c r="E668" s="71" t="s">
        <v>365</v>
      </c>
      <c r="F668" s="71" t="s">
        <v>833</v>
      </c>
      <c r="G668" s="71" t="s">
        <v>834</v>
      </c>
      <c r="H668" s="71" t="s">
        <v>832</v>
      </c>
      <c r="I668" s="71" t="s">
        <v>2604</v>
      </c>
      <c r="J668" s="71" t="s">
        <v>769</v>
      </c>
      <c r="K668" s="71" t="s">
        <v>3255</v>
      </c>
      <c r="L668" s="71" t="s">
        <v>3256</v>
      </c>
      <c r="M668" s="71" t="s">
        <v>3257</v>
      </c>
      <c r="N668" s="71" t="s">
        <v>3258</v>
      </c>
      <c r="O668" s="71" t="s">
        <v>2640</v>
      </c>
      <c r="P668" s="71" t="s">
        <v>2604</v>
      </c>
      <c r="Q668" s="71" t="s">
        <v>3259</v>
      </c>
      <c r="R668" s="71" t="s">
        <v>2604</v>
      </c>
      <c r="S668" s="71" t="s">
        <v>2604</v>
      </c>
      <c r="T668" s="71" t="s">
        <v>2604</v>
      </c>
      <c r="U668" s="71" t="s">
        <v>2604</v>
      </c>
      <c r="V668" s="71" t="s">
        <v>2635</v>
      </c>
    </row>
    <row r="669" spans="1:22">
      <c r="A669" s="71" t="s">
        <v>2659</v>
      </c>
      <c r="B669" s="71" t="s">
        <v>56</v>
      </c>
      <c r="C669" s="72">
        <v>45922.448731932869</v>
      </c>
      <c r="D669" s="72">
        <v>45922.448731932869</v>
      </c>
      <c r="E669" s="71" t="s">
        <v>380</v>
      </c>
      <c r="F669" s="71" t="s">
        <v>821</v>
      </c>
      <c r="G669" s="71" t="s">
        <v>822</v>
      </c>
      <c r="H669" s="71" t="s">
        <v>820</v>
      </c>
      <c r="I669" s="71" t="s">
        <v>2604</v>
      </c>
      <c r="J669" s="71" t="s">
        <v>774</v>
      </c>
      <c r="K669" s="71" t="s">
        <v>2867</v>
      </c>
      <c r="L669" s="71" t="s">
        <v>2604</v>
      </c>
      <c r="M669" s="71" t="s">
        <v>2868</v>
      </c>
      <c r="N669" s="71" t="s">
        <v>2774</v>
      </c>
      <c r="O669" s="71" t="s">
        <v>2640</v>
      </c>
      <c r="P669" s="71" t="s">
        <v>2604</v>
      </c>
      <c r="Q669" s="71" t="s">
        <v>2869</v>
      </c>
      <c r="R669" s="71" t="s">
        <v>2604</v>
      </c>
      <c r="S669" s="71" t="s">
        <v>2604</v>
      </c>
      <c r="T669" s="71" t="s">
        <v>2604</v>
      </c>
      <c r="U669" s="71" t="s">
        <v>2604</v>
      </c>
      <c r="V669" s="71" t="s">
        <v>2664</v>
      </c>
    </row>
    <row r="670" spans="1:22">
      <c r="A670" s="71" t="s">
        <v>2659</v>
      </c>
      <c r="B670" s="71" t="s">
        <v>56</v>
      </c>
      <c r="C670" s="72">
        <v>45924.360120810183</v>
      </c>
      <c r="D670" s="72">
        <v>45924.360120810183</v>
      </c>
      <c r="E670" s="71" t="s">
        <v>365</v>
      </c>
      <c r="F670" s="71" t="s">
        <v>833</v>
      </c>
      <c r="G670" s="71" t="s">
        <v>834</v>
      </c>
      <c r="H670" s="71" t="s">
        <v>832</v>
      </c>
      <c r="I670" s="71" t="s">
        <v>2604</v>
      </c>
      <c r="J670" s="71" t="s">
        <v>769</v>
      </c>
      <c r="K670" s="71" t="s">
        <v>3255</v>
      </c>
      <c r="L670" s="71" t="s">
        <v>3256</v>
      </c>
      <c r="M670" s="71" t="s">
        <v>3257</v>
      </c>
      <c r="N670" s="71" t="s">
        <v>3258</v>
      </c>
      <c r="O670" s="71" t="s">
        <v>2640</v>
      </c>
      <c r="P670" s="71" t="s">
        <v>2604</v>
      </c>
      <c r="Q670" s="71" t="s">
        <v>3259</v>
      </c>
      <c r="R670" s="71" t="s">
        <v>2604</v>
      </c>
      <c r="S670" s="71" t="s">
        <v>2604</v>
      </c>
      <c r="T670" s="71" t="s">
        <v>2604</v>
      </c>
      <c r="U670" s="71" t="s">
        <v>2604</v>
      </c>
      <c r="V670" s="71" t="s">
        <v>2664</v>
      </c>
    </row>
    <row r="671" spans="1:22">
      <c r="A671" s="71" t="s">
        <v>2659</v>
      </c>
      <c r="B671" s="71" t="s">
        <v>84</v>
      </c>
      <c r="C671" s="72">
        <v>45887.481840983797</v>
      </c>
      <c r="D671" s="72">
        <v>45887.481840983797</v>
      </c>
      <c r="E671" s="71" t="s">
        <v>365</v>
      </c>
      <c r="F671" s="71" t="s">
        <v>698</v>
      </c>
      <c r="G671" s="71" t="s">
        <v>699</v>
      </c>
      <c r="H671" s="71" t="s">
        <v>697</v>
      </c>
      <c r="I671" s="71" t="s">
        <v>2604</v>
      </c>
      <c r="J671" s="71" t="s">
        <v>752</v>
      </c>
      <c r="K671" s="71" t="s">
        <v>2675</v>
      </c>
      <c r="L671" s="71" t="s">
        <v>2676</v>
      </c>
      <c r="M671" s="71" t="s">
        <v>3192</v>
      </c>
      <c r="N671" s="71" t="s">
        <v>3193</v>
      </c>
      <c r="O671" s="71" t="s">
        <v>2640</v>
      </c>
      <c r="P671" s="71" t="s">
        <v>2604</v>
      </c>
      <c r="Q671" s="71" t="s">
        <v>3194</v>
      </c>
      <c r="R671" s="71" t="s">
        <v>2604</v>
      </c>
      <c r="S671" s="71" t="s">
        <v>2604</v>
      </c>
      <c r="T671" s="71" t="s">
        <v>2604</v>
      </c>
      <c r="U671" s="71" t="s">
        <v>2604</v>
      </c>
      <c r="V671" s="71" t="s">
        <v>2604</v>
      </c>
    </row>
    <row r="672" spans="1:22">
      <c r="A672" s="71" t="s">
        <v>2659</v>
      </c>
      <c r="B672" s="71" t="s">
        <v>56</v>
      </c>
      <c r="C672" s="72">
        <v>45974.57195528935</v>
      </c>
      <c r="D672" s="72">
        <v>45974.57195528935</v>
      </c>
      <c r="E672" s="71" t="s">
        <v>380</v>
      </c>
      <c r="F672" s="71" t="s">
        <v>939</v>
      </c>
      <c r="G672" s="71" t="s">
        <v>940</v>
      </c>
      <c r="H672" s="71" t="s">
        <v>938</v>
      </c>
      <c r="I672" s="71" t="s">
        <v>2604</v>
      </c>
      <c r="J672" s="71" t="s">
        <v>774</v>
      </c>
      <c r="K672" s="71" t="s">
        <v>2670</v>
      </c>
      <c r="L672" s="71" t="s">
        <v>2604</v>
      </c>
      <c r="M672" s="71" t="s">
        <v>2671</v>
      </c>
      <c r="N672" s="71" t="s">
        <v>2715</v>
      </c>
      <c r="O672" s="71" t="s">
        <v>2640</v>
      </c>
      <c r="P672" s="71" t="s">
        <v>2604</v>
      </c>
      <c r="Q672" s="71" t="s">
        <v>2716</v>
      </c>
      <c r="R672" s="71" t="s">
        <v>2604</v>
      </c>
      <c r="S672" s="71" t="s">
        <v>2604</v>
      </c>
      <c r="T672" s="71" t="s">
        <v>2604</v>
      </c>
      <c r="U672" s="71" t="s">
        <v>2604</v>
      </c>
      <c r="V672" s="71" t="s">
        <v>2604</v>
      </c>
    </row>
    <row r="673" spans="1:22">
      <c r="A673" s="71" t="s">
        <v>2659</v>
      </c>
      <c r="B673" s="71" t="s">
        <v>84</v>
      </c>
      <c r="C673" s="72">
        <v>46057.422896018521</v>
      </c>
      <c r="D673" s="72">
        <v>46057.422896018521</v>
      </c>
      <c r="E673" s="71" t="s">
        <v>473</v>
      </c>
      <c r="F673" s="71" t="s">
        <v>3141</v>
      </c>
      <c r="G673" s="71" t="s">
        <v>1070</v>
      </c>
      <c r="H673" s="71" t="s">
        <v>1068</v>
      </c>
      <c r="I673" s="71" t="s">
        <v>2604</v>
      </c>
      <c r="J673" s="71" t="s">
        <v>747</v>
      </c>
      <c r="K673" s="71" t="s">
        <v>2768</v>
      </c>
      <c r="L673" s="71" t="s">
        <v>3142</v>
      </c>
      <c r="M673" s="71" t="s">
        <v>3143</v>
      </c>
      <c r="N673" s="71" t="s">
        <v>3143</v>
      </c>
      <c r="O673" s="71" t="s">
        <v>2640</v>
      </c>
      <c r="P673" s="71" t="s">
        <v>3144</v>
      </c>
      <c r="Q673" s="71" t="s">
        <v>3145</v>
      </c>
      <c r="R673" s="71" t="s">
        <v>2604</v>
      </c>
      <c r="S673" s="71" t="s">
        <v>2604</v>
      </c>
      <c r="T673" s="71" t="s">
        <v>2604</v>
      </c>
      <c r="U673" s="71" t="s">
        <v>2604</v>
      </c>
      <c r="V673" s="71" t="s">
        <v>2604</v>
      </c>
    </row>
    <row r="674" spans="1:22">
      <c r="A674" s="71" t="s">
        <v>2659</v>
      </c>
      <c r="B674" s="71" t="s">
        <v>56</v>
      </c>
      <c r="C674" s="72">
        <v>45980.766797002318</v>
      </c>
      <c r="D674" s="72">
        <v>45980.766797002318</v>
      </c>
      <c r="E674" s="71" t="s">
        <v>365</v>
      </c>
      <c r="F674" s="71" t="s">
        <v>964</v>
      </c>
      <c r="G674" s="71" t="s">
        <v>965</v>
      </c>
      <c r="H674" s="71" t="s">
        <v>963</v>
      </c>
      <c r="I674" s="71" t="s">
        <v>2604</v>
      </c>
      <c r="J674" s="71" t="s">
        <v>752</v>
      </c>
      <c r="K674" s="71" t="s">
        <v>2675</v>
      </c>
      <c r="L674" s="71" t="s">
        <v>2790</v>
      </c>
      <c r="M674" s="71" t="s">
        <v>3083</v>
      </c>
      <c r="N674" s="71" t="s">
        <v>3084</v>
      </c>
      <c r="O674" s="71" t="s">
        <v>2640</v>
      </c>
      <c r="P674" s="71" t="s">
        <v>2604</v>
      </c>
      <c r="Q674" s="71" t="s">
        <v>3085</v>
      </c>
      <c r="R674" s="71" t="s">
        <v>2604</v>
      </c>
      <c r="S674" s="71" t="s">
        <v>2604</v>
      </c>
      <c r="T674" s="71" t="s">
        <v>2604</v>
      </c>
      <c r="U674" s="71" t="s">
        <v>2604</v>
      </c>
      <c r="V674" s="71" t="s">
        <v>2604</v>
      </c>
    </row>
    <row r="675" spans="1:22">
      <c r="A675" s="71" t="s">
        <v>2659</v>
      </c>
      <c r="B675" s="71" t="s">
        <v>84</v>
      </c>
      <c r="C675" s="72">
        <v>45947.461418981482</v>
      </c>
      <c r="D675" s="72">
        <v>45947.461418981482</v>
      </c>
      <c r="E675" s="71" t="s">
        <v>380</v>
      </c>
      <c r="F675" s="71" t="s">
        <v>891</v>
      </c>
      <c r="G675" s="71" t="s">
        <v>892</v>
      </c>
      <c r="H675" s="71" t="s">
        <v>890</v>
      </c>
      <c r="I675" s="71" t="s">
        <v>2604</v>
      </c>
      <c r="J675" s="71" t="s">
        <v>744</v>
      </c>
      <c r="K675" s="71" t="s">
        <v>2665</v>
      </c>
      <c r="L675" s="71" t="s">
        <v>2704</v>
      </c>
      <c r="M675" s="71" t="s">
        <v>2671</v>
      </c>
      <c r="N675" s="71" t="s">
        <v>3249</v>
      </c>
      <c r="O675" s="71" t="s">
        <v>2640</v>
      </c>
      <c r="P675" s="71" t="s">
        <v>2604</v>
      </c>
      <c r="Q675" s="71" t="s">
        <v>3250</v>
      </c>
      <c r="R675" s="71" t="s">
        <v>2604</v>
      </c>
      <c r="S675" s="71" t="s">
        <v>2604</v>
      </c>
      <c r="T675" s="71" t="s">
        <v>2604</v>
      </c>
      <c r="U675" s="71" t="s">
        <v>2604</v>
      </c>
      <c r="V675" s="71" t="s">
        <v>2604</v>
      </c>
    </row>
    <row r="676" spans="1:22">
      <c r="A676" s="71" t="s">
        <v>2659</v>
      </c>
      <c r="B676" s="71" t="s">
        <v>56</v>
      </c>
      <c r="C676" s="72">
        <v>46001.45137077546</v>
      </c>
      <c r="D676" s="72">
        <v>46001.45137077546</v>
      </c>
      <c r="E676" s="71" t="s">
        <v>135</v>
      </c>
      <c r="F676" s="71" t="s">
        <v>995</v>
      </c>
      <c r="G676" s="71" t="s">
        <v>3089</v>
      </c>
      <c r="H676" s="71" t="s">
        <v>994</v>
      </c>
      <c r="I676" s="71" t="s">
        <v>2604</v>
      </c>
      <c r="J676" s="71" t="s">
        <v>752</v>
      </c>
      <c r="K676" s="71" t="s">
        <v>2675</v>
      </c>
      <c r="L676" s="71" t="s">
        <v>2790</v>
      </c>
      <c r="M676" s="71" t="s">
        <v>3090</v>
      </c>
      <c r="N676" s="71" t="s">
        <v>3090</v>
      </c>
      <c r="O676" s="71" t="s">
        <v>2640</v>
      </c>
      <c r="P676" s="71" t="s">
        <v>2604</v>
      </c>
      <c r="Q676" s="71" t="s">
        <v>3091</v>
      </c>
      <c r="R676" s="71" t="s">
        <v>2604</v>
      </c>
      <c r="S676" s="71" t="s">
        <v>2604</v>
      </c>
      <c r="T676" s="71" t="s">
        <v>2604</v>
      </c>
      <c r="U676" s="71" t="s">
        <v>2604</v>
      </c>
      <c r="V676" s="71" t="s">
        <v>2604</v>
      </c>
    </row>
    <row r="677" spans="1:22">
      <c r="A677" s="71" t="s">
        <v>2659</v>
      </c>
      <c r="B677" s="71" t="s">
        <v>56</v>
      </c>
      <c r="C677" s="72">
        <v>45930.776813530094</v>
      </c>
      <c r="D677" s="72">
        <v>45930.776813530094</v>
      </c>
      <c r="E677" s="71" t="s">
        <v>135</v>
      </c>
      <c r="F677" s="71" t="s">
        <v>848</v>
      </c>
      <c r="G677" s="71" t="s">
        <v>849</v>
      </c>
      <c r="H677" s="71" t="s">
        <v>847</v>
      </c>
      <c r="I677" s="71" t="s">
        <v>2604</v>
      </c>
      <c r="J677" s="71" t="s">
        <v>744</v>
      </c>
      <c r="K677" s="71" t="s">
        <v>2665</v>
      </c>
      <c r="L677" s="71" t="s">
        <v>2666</v>
      </c>
      <c r="M677" s="71" t="s">
        <v>2671</v>
      </c>
      <c r="N677" s="71" t="s">
        <v>2757</v>
      </c>
      <c r="O677" s="71" t="s">
        <v>2640</v>
      </c>
      <c r="P677" s="71" t="s">
        <v>2604</v>
      </c>
      <c r="Q677" s="71" t="s">
        <v>2758</v>
      </c>
      <c r="R677" s="71" t="s">
        <v>2604</v>
      </c>
      <c r="S677" s="71" t="s">
        <v>2604</v>
      </c>
      <c r="T677" s="71" t="s">
        <v>2604</v>
      </c>
      <c r="U677" s="71" t="s">
        <v>2604</v>
      </c>
      <c r="V677" s="71" t="s">
        <v>2664</v>
      </c>
    </row>
    <row r="678" spans="1:22">
      <c r="A678" s="71" t="s">
        <v>2659</v>
      </c>
      <c r="B678" s="71" t="s">
        <v>56</v>
      </c>
      <c r="C678" s="72">
        <v>45971.476252118053</v>
      </c>
      <c r="D678" s="72">
        <v>45971.476252118053</v>
      </c>
      <c r="E678" s="71" t="s">
        <v>380</v>
      </c>
      <c r="F678" s="71" t="s">
        <v>2850</v>
      </c>
      <c r="G678" s="71" t="s">
        <v>2851</v>
      </c>
      <c r="H678" s="71" t="s">
        <v>929</v>
      </c>
      <c r="I678" s="71" t="s">
        <v>2604</v>
      </c>
      <c r="J678" s="71" t="s">
        <v>752</v>
      </c>
      <c r="K678" s="71" t="s">
        <v>2675</v>
      </c>
      <c r="L678" s="71" t="s">
        <v>2852</v>
      </c>
      <c r="M678" s="71" t="s">
        <v>2853</v>
      </c>
      <c r="N678" s="71" t="s">
        <v>2854</v>
      </c>
      <c r="O678" s="71" t="s">
        <v>2640</v>
      </c>
      <c r="P678" s="71" t="s">
        <v>2604</v>
      </c>
      <c r="Q678" s="71" t="s">
        <v>2855</v>
      </c>
      <c r="R678" s="71" t="s">
        <v>2604</v>
      </c>
      <c r="S678" s="71" t="s">
        <v>2604</v>
      </c>
      <c r="T678" s="71" t="s">
        <v>2604</v>
      </c>
      <c r="U678" s="71" t="s">
        <v>2604</v>
      </c>
      <c r="V678" s="71" t="s">
        <v>2618</v>
      </c>
    </row>
    <row r="679" spans="1:22">
      <c r="A679" s="71" t="s">
        <v>2659</v>
      </c>
      <c r="B679" s="71" t="s">
        <v>84</v>
      </c>
      <c r="C679" s="72">
        <v>45937.626388055556</v>
      </c>
      <c r="D679" s="72">
        <v>45937.626388055556</v>
      </c>
      <c r="E679" s="71" t="s">
        <v>365</v>
      </c>
      <c r="F679" s="71" t="s">
        <v>861</v>
      </c>
      <c r="G679" s="71" t="s">
        <v>862</v>
      </c>
      <c r="H679" s="71" t="s">
        <v>860</v>
      </c>
      <c r="I679" s="71" t="s">
        <v>2604</v>
      </c>
      <c r="J679" s="71" t="s">
        <v>863</v>
      </c>
      <c r="K679" s="71" t="s">
        <v>3043</v>
      </c>
      <c r="L679" s="71" t="s">
        <v>2604</v>
      </c>
      <c r="M679" s="71" t="s">
        <v>3044</v>
      </c>
      <c r="N679" s="71" t="s">
        <v>3045</v>
      </c>
      <c r="O679" s="71" t="s">
        <v>2640</v>
      </c>
      <c r="P679" s="71" t="s">
        <v>2604</v>
      </c>
      <c r="Q679" s="71" t="s">
        <v>3046</v>
      </c>
      <c r="R679" s="71" t="s">
        <v>2604</v>
      </c>
      <c r="S679" s="71" t="s">
        <v>2604</v>
      </c>
      <c r="T679" s="71" t="s">
        <v>2604</v>
      </c>
      <c r="U679" s="71" t="s">
        <v>2604</v>
      </c>
      <c r="V679" s="71" t="s">
        <v>2604</v>
      </c>
    </row>
    <row r="680" spans="1:22">
      <c r="A680" s="71" t="s">
        <v>2659</v>
      </c>
      <c r="B680" s="71" t="s">
        <v>56</v>
      </c>
      <c r="C680" s="72">
        <v>45945.645837546297</v>
      </c>
      <c r="D680" s="72">
        <v>45945.645837546297</v>
      </c>
      <c r="E680" s="71" t="s">
        <v>365</v>
      </c>
      <c r="F680" s="71" t="s">
        <v>882</v>
      </c>
      <c r="G680" s="71" t="s">
        <v>883</v>
      </c>
      <c r="H680" s="71" t="s">
        <v>881</v>
      </c>
      <c r="I680" s="71" t="s">
        <v>2604</v>
      </c>
      <c r="J680" s="71" t="s">
        <v>813</v>
      </c>
      <c r="K680" s="71" t="s">
        <v>2648</v>
      </c>
      <c r="L680" s="71" t="s">
        <v>2649</v>
      </c>
      <c r="M680" s="71" t="s">
        <v>2726</v>
      </c>
      <c r="N680" s="71" t="s">
        <v>2726</v>
      </c>
      <c r="O680" s="71" t="s">
        <v>2640</v>
      </c>
      <c r="P680" s="71" t="s">
        <v>2604</v>
      </c>
      <c r="Q680" s="71" t="s">
        <v>3101</v>
      </c>
      <c r="R680" s="71" t="s">
        <v>2604</v>
      </c>
      <c r="S680" s="71" t="s">
        <v>2604</v>
      </c>
      <c r="T680" s="71" t="s">
        <v>2604</v>
      </c>
      <c r="U680" s="71" t="s">
        <v>2604</v>
      </c>
      <c r="V680" s="71" t="s">
        <v>2604</v>
      </c>
    </row>
    <row r="681" spans="1:22">
      <c r="A681" s="71" t="s">
        <v>2659</v>
      </c>
      <c r="B681" s="71" t="s">
        <v>56</v>
      </c>
      <c r="C681" s="72">
        <v>45866.715620891206</v>
      </c>
      <c r="D681" s="72">
        <v>45866.715620891206</v>
      </c>
      <c r="E681" s="71" t="s">
        <v>365</v>
      </c>
      <c r="F681" s="71" t="s">
        <v>2808</v>
      </c>
      <c r="G681" s="71" t="s">
        <v>650</v>
      </c>
      <c r="H681" s="71" t="s">
        <v>648</v>
      </c>
      <c r="I681" s="71" t="s">
        <v>2604</v>
      </c>
      <c r="J681" s="71" t="s">
        <v>744</v>
      </c>
      <c r="K681" s="71" t="s">
        <v>2665</v>
      </c>
      <c r="L681" s="71" t="s">
        <v>2666</v>
      </c>
      <c r="M681" s="71" t="s">
        <v>2671</v>
      </c>
      <c r="N681" s="71" t="s">
        <v>2809</v>
      </c>
      <c r="O681" s="71" t="s">
        <v>2640</v>
      </c>
      <c r="P681" s="71" t="s">
        <v>2604</v>
      </c>
      <c r="Q681" s="71" t="s">
        <v>2810</v>
      </c>
      <c r="R681" s="71" t="s">
        <v>2604</v>
      </c>
      <c r="S681" s="71" t="s">
        <v>2604</v>
      </c>
      <c r="T681" s="71" t="s">
        <v>2604</v>
      </c>
      <c r="U681" s="71" t="s">
        <v>2604</v>
      </c>
      <c r="V681" s="71" t="s">
        <v>2604</v>
      </c>
    </row>
    <row r="682" spans="1:22">
      <c r="A682" s="71" t="s">
        <v>2659</v>
      </c>
      <c r="B682" s="71" t="s">
        <v>2646</v>
      </c>
      <c r="C682" s="72">
        <v>45832.549302268519</v>
      </c>
      <c r="D682" s="72">
        <v>45832.549302268519</v>
      </c>
      <c r="E682" s="71" t="s">
        <v>365</v>
      </c>
      <c r="F682" s="71" t="s">
        <v>530</v>
      </c>
      <c r="G682" s="71" t="s">
        <v>532</v>
      </c>
      <c r="H682" s="71" t="s">
        <v>529</v>
      </c>
      <c r="I682" s="71" t="s">
        <v>2604</v>
      </c>
      <c r="J682" s="71" t="s">
        <v>774</v>
      </c>
      <c r="K682" s="71" t="s">
        <v>2670</v>
      </c>
      <c r="L682" s="71" t="s">
        <v>2604</v>
      </c>
      <c r="M682" s="71" t="s">
        <v>2671</v>
      </c>
      <c r="N682" s="71" t="s">
        <v>2911</v>
      </c>
      <c r="O682" s="71" t="s">
        <v>2692</v>
      </c>
      <c r="P682" s="71" t="s">
        <v>2604</v>
      </c>
      <c r="Q682" s="71" t="s">
        <v>2912</v>
      </c>
      <c r="R682" s="71" t="s">
        <v>2604</v>
      </c>
      <c r="S682" s="71" t="s">
        <v>2604</v>
      </c>
      <c r="T682" s="71" t="s">
        <v>2604</v>
      </c>
      <c r="U682" s="71" t="s">
        <v>2604</v>
      </c>
      <c r="V682" s="71" t="s">
        <v>2604</v>
      </c>
    </row>
    <row r="683" spans="1:22">
      <c r="A683" s="71" t="s">
        <v>2659</v>
      </c>
      <c r="B683" s="71" t="s">
        <v>56</v>
      </c>
      <c r="C683" s="72">
        <v>45922.694842569443</v>
      </c>
      <c r="D683" s="72">
        <v>45922.694842569443</v>
      </c>
      <c r="E683" s="71" t="s">
        <v>365</v>
      </c>
      <c r="F683" s="71" t="s">
        <v>827</v>
      </c>
      <c r="G683" s="71" t="s">
        <v>828</v>
      </c>
      <c r="H683" s="71" t="s">
        <v>826</v>
      </c>
      <c r="I683" s="71" t="s">
        <v>2604</v>
      </c>
      <c r="J683" s="71" t="s">
        <v>752</v>
      </c>
      <c r="K683" s="71" t="s">
        <v>2680</v>
      </c>
      <c r="L683" s="71" t="s">
        <v>2681</v>
      </c>
      <c r="M683" s="71" t="s">
        <v>3116</v>
      </c>
      <c r="N683" s="71" t="s">
        <v>3117</v>
      </c>
      <c r="O683" s="71" t="s">
        <v>2640</v>
      </c>
      <c r="P683" s="71" t="s">
        <v>2604</v>
      </c>
      <c r="Q683" s="71" t="s">
        <v>3118</v>
      </c>
      <c r="R683" s="71" t="s">
        <v>2604</v>
      </c>
      <c r="S683" s="71" t="s">
        <v>2604</v>
      </c>
      <c r="T683" s="71" t="s">
        <v>2604</v>
      </c>
      <c r="U683" s="71" t="s">
        <v>2604</v>
      </c>
      <c r="V683" s="71" t="s">
        <v>2604</v>
      </c>
    </row>
    <row r="684" spans="1:22">
      <c r="A684" s="71" t="s">
        <v>2659</v>
      </c>
      <c r="B684" s="71" t="s">
        <v>56</v>
      </c>
      <c r="C684" s="72">
        <v>45930.776813530094</v>
      </c>
      <c r="D684" s="72">
        <v>45930.776813530094</v>
      </c>
      <c r="E684" s="71" t="s">
        <v>135</v>
      </c>
      <c r="F684" s="71" t="s">
        <v>848</v>
      </c>
      <c r="G684" s="71" t="s">
        <v>849</v>
      </c>
      <c r="H684" s="71" t="s">
        <v>847</v>
      </c>
      <c r="I684" s="71" t="s">
        <v>2604</v>
      </c>
      <c r="J684" s="71" t="s">
        <v>744</v>
      </c>
      <c r="K684" s="71" t="s">
        <v>2665</v>
      </c>
      <c r="L684" s="71" t="s">
        <v>2666</v>
      </c>
      <c r="M684" s="71" t="s">
        <v>2671</v>
      </c>
      <c r="N684" s="71" t="s">
        <v>2757</v>
      </c>
      <c r="O684" s="71" t="s">
        <v>2640</v>
      </c>
      <c r="P684" s="71" t="s">
        <v>2604</v>
      </c>
      <c r="Q684" s="71" t="s">
        <v>2758</v>
      </c>
      <c r="R684" s="71" t="s">
        <v>2604</v>
      </c>
      <c r="S684" s="71" t="s">
        <v>2604</v>
      </c>
      <c r="T684" s="71" t="s">
        <v>2604</v>
      </c>
      <c r="U684" s="71" t="s">
        <v>2604</v>
      </c>
      <c r="V684" s="71" t="s">
        <v>2604</v>
      </c>
    </row>
    <row r="685" spans="1:22">
      <c r="A685" s="71" t="s">
        <v>2659</v>
      </c>
      <c r="B685" s="71" t="s">
        <v>56</v>
      </c>
      <c r="C685" s="72">
        <v>46014.804086956021</v>
      </c>
      <c r="D685" s="72">
        <v>46014.804086956021</v>
      </c>
      <c r="E685" s="71" t="s">
        <v>380</v>
      </c>
      <c r="F685" s="71" t="s">
        <v>1023</v>
      </c>
      <c r="G685" s="71" t="s">
        <v>1024</v>
      </c>
      <c r="H685" s="71" t="s">
        <v>1022</v>
      </c>
      <c r="I685" s="71" t="s">
        <v>2604</v>
      </c>
      <c r="J685" s="71" t="s">
        <v>744</v>
      </c>
      <c r="K685" s="71" t="s">
        <v>2665</v>
      </c>
      <c r="L685" s="71" t="s">
        <v>2666</v>
      </c>
      <c r="M685" s="71" t="s">
        <v>2671</v>
      </c>
      <c r="N685" s="71" t="s">
        <v>2671</v>
      </c>
      <c r="O685" s="71" t="s">
        <v>2640</v>
      </c>
      <c r="P685" s="71" t="s">
        <v>2604</v>
      </c>
      <c r="Q685" s="71" t="s">
        <v>3239</v>
      </c>
      <c r="R685" s="71" t="s">
        <v>2604</v>
      </c>
      <c r="S685" s="71" t="s">
        <v>2604</v>
      </c>
      <c r="T685" s="71" t="s">
        <v>2604</v>
      </c>
      <c r="U685" s="71" t="s">
        <v>2604</v>
      </c>
      <c r="V685" s="71" t="s">
        <v>2604</v>
      </c>
    </row>
    <row r="686" spans="1:22">
      <c r="A686" s="71" t="s">
        <v>2659</v>
      </c>
      <c r="B686" s="71" t="s">
        <v>2646</v>
      </c>
      <c r="C686" s="72">
        <v>45807.381936527781</v>
      </c>
      <c r="D686" s="72">
        <v>45807.381936527781</v>
      </c>
      <c r="E686" s="71" t="s">
        <v>135</v>
      </c>
      <c r="F686" s="71" t="s">
        <v>2883</v>
      </c>
      <c r="G686" s="71" t="s">
        <v>2884</v>
      </c>
      <c r="H686" s="71" t="s">
        <v>2885</v>
      </c>
      <c r="I686" s="71" t="s">
        <v>2604</v>
      </c>
      <c r="J686" s="71" t="s">
        <v>752</v>
      </c>
      <c r="K686" s="71" t="s">
        <v>2723</v>
      </c>
      <c r="L686" s="71" t="s">
        <v>2665</v>
      </c>
      <c r="M686" s="71" t="s">
        <v>2886</v>
      </c>
      <c r="N686" s="71" t="s">
        <v>2671</v>
      </c>
      <c r="O686" s="71" t="s">
        <v>2692</v>
      </c>
      <c r="P686" s="71" t="s">
        <v>2604</v>
      </c>
      <c r="Q686" s="71" t="s">
        <v>2887</v>
      </c>
      <c r="R686" s="71" t="s">
        <v>2604</v>
      </c>
      <c r="S686" s="71" t="s">
        <v>2604</v>
      </c>
      <c r="T686" s="71" t="s">
        <v>2604</v>
      </c>
      <c r="U686" s="71" t="s">
        <v>2604</v>
      </c>
      <c r="V686" s="71" t="s">
        <v>2604</v>
      </c>
    </row>
    <row r="687" spans="1:22">
      <c r="A687" s="71" t="s">
        <v>2659</v>
      </c>
      <c r="B687" s="71" t="s">
        <v>51</v>
      </c>
      <c r="C687" s="72">
        <v>45845.460257245373</v>
      </c>
      <c r="D687" s="72">
        <v>45845.460257245373</v>
      </c>
      <c r="E687" s="71" t="s">
        <v>365</v>
      </c>
      <c r="F687" s="71" t="s">
        <v>3177</v>
      </c>
      <c r="G687" s="71" t="s">
        <v>544</v>
      </c>
      <c r="H687" s="71" t="s">
        <v>542</v>
      </c>
      <c r="I687" s="71" t="s">
        <v>2604</v>
      </c>
      <c r="J687" s="71" t="s">
        <v>769</v>
      </c>
      <c r="K687" s="71" t="s">
        <v>2773</v>
      </c>
      <c r="L687" s="71" t="s">
        <v>2670</v>
      </c>
      <c r="M687" s="71" t="s">
        <v>3178</v>
      </c>
      <c r="N687" s="71" t="s">
        <v>3012</v>
      </c>
      <c r="O687" s="71" t="s">
        <v>2640</v>
      </c>
      <c r="P687" s="71" t="s">
        <v>2604</v>
      </c>
      <c r="Q687" s="71" t="s">
        <v>3179</v>
      </c>
      <c r="R687" s="71" t="s">
        <v>2604</v>
      </c>
      <c r="S687" s="71" t="s">
        <v>2604</v>
      </c>
      <c r="T687" s="71" t="s">
        <v>2604</v>
      </c>
      <c r="U687" s="71" t="s">
        <v>2604</v>
      </c>
      <c r="V687" s="71" t="s">
        <v>2604</v>
      </c>
    </row>
    <row r="688" spans="1:22">
      <c r="A688" s="71" t="s">
        <v>2659</v>
      </c>
      <c r="B688" s="71" t="s">
        <v>2646</v>
      </c>
      <c r="C688" s="72">
        <v>45812.500758009257</v>
      </c>
      <c r="D688" s="72">
        <v>45812.500758009257</v>
      </c>
      <c r="E688" s="71" t="s">
        <v>365</v>
      </c>
      <c r="F688" s="71" t="s">
        <v>491</v>
      </c>
      <c r="G688" s="71" t="s">
        <v>492</v>
      </c>
      <c r="H688" s="71" t="s">
        <v>490</v>
      </c>
      <c r="I688" s="71" t="s">
        <v>2604</v>
      </c>
      <c r="J688" s="71" t="s">
        <v>752</v>
      </c>
      <c r="K688" s="71" t="s">
        <v>2723</v>
      </c>
      <c r="L688" s="71" t="s">
        <v>2665</v>
      </c>
      <c r="M688" s="71" t="s">
        <v>3174</v>
      </c>
      <c r="N688" s="71" t="s">
        <v>3174</v>
      </c>
      <c r="O688" s="71" t="s">
        <v>2692</v>
      </c>
      <c r="P688" s="71" t="s">
        <v>2604</v>
      </c>
      <c r="Q688" s="71" t="s">
        <v>3175</v>
      </c>
      <c r="R688" s="71" t="s">
        <v>2604</v>
      </c>
      <c r="S688" s="71" t="s">
        <v>2604</v>
      </c>
      <c r="T688" s="71" t="s">
        <v>2604</v>
      </c>
      <c r="U688" s="71" t="s">
        <v>2604</v>
      </c>
      <c r="V688" s="71" t="s">
        <v>2658</v>
      </c>
    </row>
    <row r="689" spans="1:22">
      <c r="A689" s="71" t="s">
        <v>2659</v>
      </c>
      <c r="B689" s="71" t="s">
        <v>56</v>
      </c>
      <c r="C689" s="72">
        <v>45924.360120810183</v>
      </c>
      <c r="D689" s="72">
        <v>45924.360120810183</v>
      </c>
      <c r="E689" s="71" t="s">
        <v>365</v>
      </c>
      <c r="F689" s="71" t="s">
        <v>833</v>
      </c>
      <c r="G689" s="71" t="s">
        <v>834</v>
      </c>
      <c r="H689" s="71" t="s">
        <v>832</v>
      </c>
      <c r="I689" s="71" t="s">
        <v>2604</v>
      </c>
      <c r="J689" s="71" t="s">
        <v>769</v>
      </c>
      <c r="K689" s="71" t="s">
        <v>3255</v>
      </c>
      <c r="L689" s="71" t="s">
        <v>3256</v>
      </c>
      <c r="M689" s="71" t="s">
        <v>3257</v>
      </c>
      <c r="N689" s="71" t="s">
        <v>3258</v>
      </c>
      <c r="O689" s="71" t="s">
        <v>2640</v>
      </c>
      <c r="P689" s="71" t="s">
        <v>2604</v>
      </c>
      <c r="Q689" s="71" t="s">
        <v>3259</v>
      </c>
      <c r="R689" s="71" t="s">
        <v>2604</v>
      </c>
      <c r="S689" s="71" t="s">
        <v>2604</v>
      </c>
      <c r="T689" s="71" t="s">
        <v>2604</v>
      </c>
      <c r="U689" s="71" t="s">
        <v>2604</v>
      </c>
      <c r="V689" s="71" t="s">
        <v>2604</v>
      </c>
    </row>
    <row r="690" spans="1:22">
      <c r="A690" s="71" t="s">
        <v>2659</v>
      </c>
      <c r="B690" s="71" t="s">
        <v>2646</v>
      </c>
      <c r="C690" s="72">
        <v>45825.547028043984</v>
      </c>
      <c r="D690" s="72">
        <v>45825.547028043984</v>
      </c>
      <c r="E690" s="71" t="s">
        <v>365</v>
      </c>
      <c r="F690" s="71" t="s">
        <v>521</v>
      </c>
      <c r="G690" s="71" t="s">
        <v>522</v>
      </c>
      <c r="H690" s="71" t="s">
        <v>520</v>
      </c>
      <c r="I690" s="71" t="s">
        <v>2604</v>
      </c>
      <c r="J690" s="71" t="s">
        <v>752</v>
      </c>
      <c r="K690" s="71" t="s">
        <v>2723</v>
      </c>
      <c r="L690" s="71" t="s">
        <v>2665</v>
      </c>
      <c r="M690" s="71" t="s">
        <v>3102</v>
      </c>
      <c r="N690" s="71" t="s">
        <v>2814</v>
      </c>
      <c r="O690" s="71" t="s">
        <v>2692</v>
      </c>
      <c r="P690" s="71" t="s">
        <v>2604</v>
      </c>
      <c r="Q690" s="71" t="s">
        <v>3103</v>
      </c>
      <c r="R690" s="71" t="s">
        <v>2604</v>
      </c>
      <c r="S690" s="71" t="s">
        <v>2604</v>
      </c>
      <c r="T690" s="71" t="s">
        <v>2604</v>
      </c>
      <c r="U690" s="71" t="s">
        <v>2604</v>
      </c>
      <c r="V690" s="71" t="s">
        <v>2604</v>
      </c>
    </row>
    <row r="691" spans="1:22">
      <c r="A691" s="71" t="s">
        <v>2659</v>
      </c>
      <c r="B691" s="71" t="s">
        <v>2646</v>
      </c>
      <c r="C691" s="72">
        <v>45816.375078055557</v>
      </c>
      <c r="D691" s="72">
        <v>45816.375078055557</v>
      </c>
      <c r="E691" s="71" t="s">
        <v>365</v>
      </c>
      <c r="F691" s="71" t="s">
        <v>504</v>
      </c>
      <c r="G691" s="71" t="s">
        <v>505</v>
      </c>
      <c r="H691" s="71" t="s">
        <v>503</v>
      </c>
      <c r="I691" s="71" t="s">
        <v>2604</v>
      </c>
      <c r="J691" s="71" t="s">
        <v>774</v>
      </c>
      <c r="K691" s="71" t="s">
        <v>2670</v>
      </c>
      <c r="L691" s="71" t="s">
        <v>2604</v>
      </c>
      <c r="M691" s="71" t="s">
        <v>2671</v>
      </c>
      <c r="N691" s="71" t="s">
        <v>3151</v>
      </c>
      <c r="O691" s="71" t="s">
        <v>2692</v>
      </c>
      <c r="P691" s="71" t="s">
        <v>2604</v>
      </c>
      <c r="Q691" s="71" t="s">
        <v>3152</v>
      </c>
      <c r="R691" s="71" t="s">
        <v>2604</v>
      </c>
      <c r="S691" s="71" t="s">
        <v>2604</v>
      </c>
      <c r="T691" s="71" t="s">
        <v>2604</v>
      </c>
      <c r="U691" s="71" t="s">
        <v>2604</v>
      </c>
      <c r="V691" s="71" t="s">
        <v>2604</v>
      </c>
    </row>
    <row r="692" spans="1:22">
      <c r="A692" s="71" t="s">
        <v>2659</v>
      </c>
      <c r="B692" s="71" t="s">
        <v>56</v>
      </c>
      <c r="C692" s="72">
        <v>45969.831682858799</v>
      </c>
      <c r="D692" s="72">
        <v>45969.831682858799</v>
      </c>
      <c r="E692" s="71" t="s">
        <v>365</v>
      </c>
      <c r="F692" s="71" t="s">
        <v>924</v>
      </c>
      <c r="G692" s="71" t="s">
        <v>925</v>
      </c>
      <c r="H692" s="71" t="s">
        <v>923</v>
      </c>
      <c r="I692" s="71" t="s">
        <v>2604</v>
      </c>
      <c r="J692" s="71" t="s">
        <v>813</v>
      </c>
      <c r="K692" s="71" t="s">
        <v>2648</v>
      </c>
      <c r="L692" s="71" t="s">
        <v>2649</v>
      </c>
      <c r="M692" s="71" t="s">
        <v>2726</v>
      </c>
      <c r="N692" s="71" t="s">
        <v>2726</v>
      </c>
      <c r="O692" s="71" t="s">
        <v>2640</v>
      </c>
      <c r="P692" s="71" t="s">
        <v>2604</v>
      </c>
      <c r="Q692" s="71" t="s">
        <v>3127</v>
      </c>
      <c r="R692" s="71" t="s">
        <v>2604</v>
      </c>
      <c r="S692" s="71" t="s">
        <v>2604</v>
      </c>
      <c r="T692" s="71" t="s">
        <v>2604</v>
      </c>
      <c r="U692" s="71" t="s">
        <v>2604</v>
      </c>
      <c r="V692" s="71" t="s">
        <v>2604</v>
      </c>
    </row>
    <row r="693" spans="1:22">
      <c r="A693" s="71" t="s">
        <v>2659</v>
      </c>
      <c r="B693" s="71" t="s">
        <v>84</v>
      </c>
      <c r="C693" s="72">
        <v>46034.720544594908</v>
      </c>
      <c r="D693" s="72">
        <v>46034.720544594908</v>
      </c>
      <c r="E693" s="71" t="s">
        <v>365</v>
      </c>
      <c r="F693" s="71" t="s">
        <v>1043</v>
      </c>
      <c r="G693" s="71" t="s">
        <v>1044</v>
      </c>
      <c r="H693" s="71" t="s">
        <v>1042</v>
      </c>
      <c r="I693" s="71" t="s">
        <v>2604</v>
      </c>
      <c r="J693" s="71" t="s">
        <v>769</v>
      </c>
      <c r="K693" s="71" t="s">
        <v>3092</v>
      </c>
      <c r="L693" s="71" t="s">
        <v>3093</v>
      </c>
      <c r="M693" s="71" t="s">
        <v>2671</v>
      </c>
      <c r="N693" s="71" t="s">
        <v>3094</v>
      </c>
      <c r="O693" s="71" t="s">
        <v>2640</v>
      </c>
      <c r="P693" s="71" t="s">
        <v>2604</v>
      </c>
      <c r="Q693" s="71" t="s">
        <v>3095</v>
      </c>
      <c r="R693" s="71" t="s">
        <v>2604</v>
      </c>
      <c r="S693" s="71" t="s">
        <v>2604</v>
      </c>
      <c r="T693" s="71" t="s">
        <v>2604</v>
      </c>
      <c r="U693" s="71" t="s">
        <v>2604</v>
      </c>
      <c r="V693" s="71" t="s">
        <v>2604</v>
      </c>
    </row>
    <row r="694" spans="1:22">
      <c r="A694" s="71" t="s">
        <v>2659</v>
      </c>
      <c r="B694" s="71" t="s">
        <v>84</v>
      </c>
      <c r="C694" s="72">
        <v>45896.587576701386</v>
      </c>
      <c r="D694" s="72">
        <v>45896.587576701386</v>
      </c>
      <c r="E694" s="71" t="s">
        <v>365</v>
      </c>
      <c r="F694" s="71" t="s">
        <v>740</v>
      </c>
      <c r="G694" s="71" t="s">
        <v>741</v>
      </c>
      <c r="H694" s="71" t="s">
        <v>739</v>
      </c>
      <c r="I694" s="71" t="s">
        <v>2604</v>
      </c>
      <c r="J694" s="71" t="s">
        <v>744</v>
      </c>
      <c r="K694" s="71" t="s">
        <v>2665</v>
      </c>
      <c r="L694" s="71" t="s">
        <v>2704</v>
      </c>
      <c r="M694" s="71" t="s">
        <v>2671</v>
      </c>
      <c r="N694" s="71" t="s">
        <v>2904</v>
      </c>
      <c r="O694" s="71" t="s">
        <v>2640</v>
      </c>
      <c r="P694" s="71" t="s">
        <v>2604</v>
      </c>
      <c r="Q694" s="71" t="s">
        <v>2905</v>
      </c>
      <c r="R694" s="71" t="s">
        <v>2604</v>
      </c>
      <c r="S694" s="71" t="s">
        <v>2604</v>
      </c>
      <c r="T694" s="71" t="s">
        <v>2604</v>
      </c>
      <c r="U694" s="71" t="s">
        <v>2604</v>
      </c>
      <c r="V694" s="71" t="s">
        <v>2604</v>
      </c>
    </row>
    <row r="695" spans="1:22">
      <c r="A695" s="71" t="s">
        <v>2659</v>
      </c>
      <c r="B695" s="71" t="s">
        <v>56</v>
      </c>
      <c r="C695" s="72">
        <v>46090.864898321757</v>
      </c>
      <c r="D695" s="72">
        <v>46090.864898321757</v>
      </c>
      <c r="E695" s="71" t="s">
        <v>365</v>
      </c>
      <c r="F695" s="71" t="s">
        <v>1125</v>
      </c>
      <c r="G695" s="71" t="s">
        <v>1126</v>
      </c>
      <c r="H695" s="71" t="s">
        <v>1124</v>
      </c>
      <c r="I695" s="71" t="s">
        <v>2604</v>
      </c>
      <c r="J695" s="71" t="s">
        <v>774</v>
      </c>
      <c r="K695" s="71" t="s">
        <v>2670</v>
      </c>
      <c r="L695" s="71" t="s">
        <v>2604</v>
      </c>
      <c r="M695" s="71" t="s">
        <v>2671</v>
      </c>
      <c r="N695" s="71" t="s">
        <v>2865</v>
      </c>
      <c r="O695" s="71" t="s">
        <v>2640</v>
      </c>
      <c r="P695" s="71" t="s">
        <v>2604</v>
      </c>
      <c r="Q695" s="71" t="s">
        <v>2866</v>
      </c>
      <c r="R695" s="71" t="s">
        <v>2604</v>
      </c>
      <c r="S695" s="71" t="s">
        <v>2604</v>
      </c>
      <c r="T695" s="71" t="s">
        <v>2604</v>
      </c>
      <c r="U695" s="71" t="s">
        <v>2604</v>
      </c>
      <c r="V695" s="71" t="s">
        <v>2604</v>
      </c>
    </row>
    <row r="696" spans="1:22">
      <c r="A696" s="71" t="s">
        <v>2659</v>
      </c>
      <c r="B696" s="71" t="s">
        <v>56</v>
      </c>
      <c r="C696" s="72">
        <v>45853.562116365742</v>
      </c>
      <c r="D696" s="72">
        <v>45853.562116365742</v>
      </c>
      <c r="E696" s="71" t="s">
        <v>365</v>
      </c>
      <c r="F696" s="71" t="s">
        <v>560</v>
      </c>
      <c r="G696" s="71" t="s">
        <v>561</v>
      </c>
      <c r="H696" s="71" t="s">
        <v>559</v>
      </c>
      <c r="I696" s="71" t="s">
        <v>2604</v>
      </c>
      <c r="J696" s="71" t="s">
        <v>752</v>
      </c>
      <c r="K696" s="71" t="s">
        <v>2675</v>
      </c>
      <c r="L696" s="71" t="s">
        <v>2676</v>
      </c>
      <c r="M696" s="71" t="s">
        <v>2901</v>
      </c>
      <c r="N696" s="71" t="s">
        <v>2902</v>
      </c>
      <c r="O696" s="71" t="s">
        <v>2640</v>
      </c>
      <c r="P696" s="71" t="s">
        <v>2604</v>
      </c>
      <c r="Q696" s="71" t="s">
        <v>2903</v>
      </c>
      <c r="R696" s="71" t="s">
        <v>2604</v>
      </c>
      <c r="S696" s="71" t="s">
        <v>2604</v>
      </c>
      <c r="T696" s="71" t="s">
        <v>2604</v>
      </c>
      <c r="U696" s="71" t="s">
        <v>2604</v>
      </c>
      <c r="V696" s="71" t="s">
        <v>2604</v>
      </c>
    </row>
    <row r="697" spans="1:22">
      <c r="A697" s="71" t="s">
        <v>2659</v>
      </c>
      <c r="B697" s="71" t="s">
        <v>56</v>
      </c>
      <c r="C697" s="72">
        <v>46093.460359976852</v>
      </c>
      <c r="D697" s="72">
        <v>46093.460359976852</v>
      </c>
      <c r="E697" s="71" t="s">
        <v>380</v>
      </c>
      <c r="F697" s="71" t="s">
        <v>1129</v>
      </c>
      <c r="G697" s="71" t="s">
        <v>1130</v>
      </c>
      <c r="H697" s="71" t="s">
        <v>1128</v>
      </c>
      <c r="I697" s="71" t="s">
        <v>2604</v>
      </c>
      <c r="J697" s="71" t="s">
        <v>774</v>
      </c>
      <c r="K697" s="71" t="s">
        <v>2660</v>
      </c>
      <c r="L697" s="71" t="s">
        <v>2604</v>
      </c>
      <c r="M697" s="71" t="s">
        <v>2661</v>
      </c>
      <c r="N697" s="71" t="s">
        <v>2662</v>
      </c>
      <c r="O697" s="71" t="s">
        <v>2640</v>
      </c>
      <c r="P697" s="71" t="s">
        <v>2604</v>
      </c>
      <c r="Q697" s="71" t="s">
        <v>2663</v>
      </c>
      <c r="R697" s="71" t="s">
        <v>2604</v>
      </c>
      <c r="S697" s="71" t="s">
        <v>2604</v>
      </c>
      <c r="T697" s="71" t="s">
        <v>2604</v>
      </c>
      <c r="U697" s="71" t="s">
        <v>2604</v>
      </c>
      <c r="V697" s="71" t="s">
        <v>2604</v>
      </c>
    </row>
    <row r="698" spans="1:22">
      <c r="A698" s="71" t="s">
        <v>2659</v>
      </c>
      <c r="B698" s="71" t="s">
        <v>659</v>
      </c>
      <c r="C698" s="72">
        <v>45877.335951168985</v>
      </c>
      <c r="D698" s="72">
        <v>45877.335951168985</v>
      </c>
      <c r="E698" s="71" t="s">
        <v>365</v>
      </c>
      <c r="F698" s="71" t="s">
        <v>678</v>
      </c>
      <c r="G698" s="71" t="s">
        <v>2700</v>
      </c>
      <c r="H698" s="71" t="s">
        <v>677</v>
      </c>
      <c r="I698" s="71" t="s">
        <v>2604</v>
      </c>
      <c r="J698" s="71" t="s">
        <v>752</v>
      </c>
      <c r="K698" s="71" t="s">
        <v>2675</v>
      </c>
      <c r="L698" s="71" t="s">
        <v>2676</v>
      </c>
      <c r="M698" s="71" t="s">
        <v>2701</v>
      </c>
      <c r="N698" s="71" t="s">
        <v>2702</v>
      </c>
      <c r="O698" s="71" t="s">
        <v>2640</v>
      </c>
      <c r="P698" s="71" t="s">
        <v>2604</v>
      </c>
      <c r="Q698" s="71" t="s">
        <v>2703</v>
      </c>
      <c r="R698" s="71" t="s">
        <v>2604</v>
      </c>
      <c r="S698" s="71" t="s">
        <v>2604</v>
      </c>
      <c r="T698" s="71" t="s">
        <v>2604</v>
      </c>
      <c r="U698" s="71" t="s">
        <v>2604</v>
      </c>
      <c r="V698" s="71" t="s">
        <v>2604</v>
      </c>
    </row>
    <row r="699" spans="1:22">
      <c r="A699" s="71" t="s">
        <v>2659</v>
      </c>
      <c r="B699" s="71" t="s">
        <v>56</v>
      </c>
      <c r="C699" s="72">
        <v>46008.558496006946</v>
      </c>
      <c r="D699" s="72">
        <v>46008.558496006946</v>
      </c>
      <c r="E699" s="71" t="s">
        <v>365</v>
      </c>
      <c r="F699" s="71" t="s">
        <v>1005</v>
      </c>
      <c r="G699" s="71" t="s">
        <v>1006</v>
      </c>
      <c r="H699" s="71" t="s">
        <v>1004</v>
      </c>
      <c r="I699" s="71" t="s">
        <v>2604</v>
      </c>
      <c r="J699" s="71" t="s">
        <v>774</v>
      </c>
      <c r="K699" s="71" t="s">
        <v>2696</v>
      </c>
      <c r="L699" s="71" t="s">
        <v>2604</v>
      </c>
      <c r="M699" s="71" t="s">
        <v>2697</v>
      </c>
      <c r="N699" s="71" t="s">
        <v>2698</v>
      </c>
      <c r="O699" s="71" t="s">
        <v>2640</v>
      </c>
      <c r="P699" s="71" t="s">
        <v>2604</v>
      </c>
      <c r="Q699" s="71" t="s">
        <v>2699</v>
      </c>
      <c r="R699" s="71" t="s">
        <v>2604</v>
      </c>
      <c r="S699" s="71" t="s">
        <v>2604</v>
      </c>
      <c r="T699" s="71" t="s">
        <v>2604</v>
      </c>
      <c r="U699" s="71" t="s">
        <v>2604</v>
      </c>
      <c r="V699" s="71" t="s">
        <v>2604</v>
      </c>
    </row>
    <row r="700" spans="1:22">
      <c r="A700" s="71" t="s">
        <v>2659</v>
      </c>
      <c r="B700" s="71" t="s">
        <v>84</v>
      </c>
      <c r="C700" s="72">
        <v>45869.37659359954</v>
      </c>
      <c r="D700" s="72">
        <v>45869.37659359954</v>
      </c>
      <c r="E700" s="71" t="s">
        <v>135</v>
      </c>
      <c r="F700" s="71" t="s">
        <v>664</v>
      </c>
      <c r="G700" s="71" t="s">
        <v>2920</v>
      </c>
      <c r="H700" s="71" t="s">
        <v>663</v>
      </c>
      <c r="I700" s="71" t="s">
        <v>2604</v>
      </c>
      <c r="J700" s="71" t="s">
        <v>744</v>
      </c>
      <c r="K700" s="71" t="s">
        <v>2665</v>
      </c>
      <c r="L700" s="71" t="s">
        <v>2821</v>
      </c>
      <c r="M700" s="71" t="s">
        <v>2671</v>
      </c>
      <c r="N700" s="71" t="s">
        <v>2671</v>
      </c>
      <c r="O700" s="71" t="s">
        <v>2640</v>
      </c>
      <c r="P700" s="71" t="s">
        <v>2604</v>
      </c>
      <c r="Q700" s="71" t="s">
        <v>2921</v>
      </c>
      <c r="R700" s="71" t="s">
        <v>2604</v>
      </c>
      <c r="S700" s="71" t="s">
        <v>2604</v>
      </c>
      <c r="T700" s="71" t="s">
        <v>2604</v>
      </c>
      <c r="U700" s="71" t="s">
        <v>2604</v>
      </c>
      <c r="V700" s="71" t="s">
        <v>2604</v>
      </c>
    </row>
    <row r="701" spans="1:22">
      <c r="A701" s="71" t="s">
        <v>2659</v>
      </c>
      <c r="B701" s="71" t="s">
        <v>84</v>
      </c>
      <c r="C701" s="72">
        <v>45903.428923819447</v>
      </c>
      <c r="D701" s="72">
        <v>45903.428923819447</v>
      </c>
      <c r="E701" s="71" t="s">
        <v>365</v>
      </c>
      <c r="F701" s="71" t="s">
        <v>772</v>
      </c>
      <c r="G701" s="71" t="s">
        <v>773</v>
      </c>
      <c r="H701" s="71" t="s">
        <v>771</v>
      </c>
      <c r="I701" s="71" t="s">
        <v>2604</v>
      </c>
      <c r="J701" s="71" t="s">
        <v>774</v>
      </c>
      <c r="K701" s="71" t="s">
        <v>2670</v>
      </c>
      <c r="L701" s="71" t="s">
        <v>2604</v>
      </c>
      <c r="M701" s="71" t="s">
        <v>2671</v>
      </c>
      <c r="N701" s="71" t="s">
        <v>2671</v>
      </c>
      <c r="O701" s="71" t="s">
        <v>2640</v>
      </c>
      <c r="P701" s="71" t="s">
        <v>2604</v>
      </c>
      <c r="Q701" s="71" t="s">
        <v>3229</v>
      </c>
      <c r="R701" s="71" t="s">
        <v>2604</v>
      </c>
      <c r="S701" s="71" t="s">
        <v>2604</v>
      </c>
      <c r="T701" s="71" t="s">
        <v>2604</v>
      </c>
      <c r="U701" s="71" t="s">
        <v>2604</v>
      </c>
      <c r="V701" s="71" t="s">
        <v>2604</v>
      </c>
    </row>
    <row r="702" spans="1:22">
      <c r="A702" s="71" t="s">
        <v>2659</v>
      </c>
      <c r="B702" s="71" t="s">
        <v>2646</v>
      </c>
      <c r="C702" s="72">
        <v>45764.807239444446</v>
      </c>
      <c r="D702" s="72">
        <v>45764.807239444446</v>
      </c>
      <c r="E702" s="71" t="s">
        <v>135</v>
      </c>
      <c r="F702" s="71" t="s">
        <v>422</v>
      </c>
      <c r="G702" s="71" t="s">
        <v>2982</v>
      </c>
      <c r="H702" s="71" t="s">
        <v>421</v>
      </c>
      <c r="I702" s="71" t="s">
        <v>2604</v>
      </c>
      <c r="J702" s="71" t="s">
        <v>1140</v>
      </c>
      <c r="K702" s="71" t="s">
        <v>2983</v>
      </c>
      <c r="L702" s="71" t="s">
        <v>2604</v>
      </c>
      <c r="M702" s="71" t="s">
        <v>2984</v>
      </c>
      <c r="N702" s="71" t="s">
        <v>2985</v>
      </c>
      <c r="O702" s="71" t="s">
        <v>2692</v>
      </c>
      <c r="P702" s="71" t="s">
        <v>2986</v>
      </c>
      <c r="Q702" s="71" t="s">
        <v>2987</v>
      </c>
      <c r="R702" s="71" t="s">
        <v>2604</v>
      </c>
      <c r="S702" s="71" t="s">
        <v>2604</v>
      </c>
      <c r="T702" s="71" t="s">
        <v>2604</v>
      </c>
      <c r="U702" s="71" t="s">
        <v>2604</v>
      </c>
      <c r="V702" s="71" t="s">
        <v>2604</v>
      </c>
    </row>
    <row r="703" spans="1:22">
      <c r="A703" s="71" t="s">
        <v>2659</v>
      </c>
      <c r="B703" s="71" t="s">
        <v>84</v>
      </c>
      <c r="C703" s="72">
        <v>45916.679223819447</v>
      </c>
      <c r="D703" s="72">
        <v>45916.679223819447</v>
      </c>
      <c r="E703" s="71" t="s">
        <v>365</v>
      </c>
      <c r="F703" s="71" t="s">
        <v>804</v>
      </c>
      <c r="G703" s="71" t="s">
        <v>805</v>
      </c>
      <c r="H703" s="71" t="s">
        <v>803</v>
      </c>
      <c r="I703" s="71" t="s">
        <v>2604</v>
      </c>
      <c r="J703" s="71" t="s">
        <v>752</v>
      </c>
      <c r="K703" s="71" t="s">
        <v>2680</v>
      </c>
      <c r="L703" s="71" t="s">
        <v>2812</v>
      </c>
      <c r="M703" s="71" t="s">
        <v>3104</v>
      </c>
      <c r="N703" s="71" t="s">
        <v>3105</v>
      </c>
      <c r="O703" s="71" t="s">
        <v>2640</v>
      </c>
      <c r="P703" s="71" t="s">
        <v>2604</v>
      </c>
      <c r="Q703" s="71" t="s">
        <v>3106</v>
      </c>
      <c r="R703" s="71" t="s">
        <v>2604</v>
      </c>
      <c r="S703" s="71" t="s">
        <v>2604</v>
      </c>
      <c r="T703" s="71" t="s">
        <v>2604</v>
      </c>
      <c r="U703" s="71" t="s">
        <v>2604</v>
      </c>
      <c r="V703" s="71" t="s">
        <v>2604</v>
      </c>
    </row>
    <row r="704" spans="1:22">
      <c r="A704" s="71" t="s">
        <v>2659</v>
      </c>
      <c r="B704" s="71" t="s">
        <v>56</v>
      </c>
      <c r="C704" s="72">
        <v>45978.691404155092</v>
      </c>
      <c r="D704" s="72">
        <v>45978.691404155092</v>
      </c>
      <c r="E704" s="71" t="s">
        <v>365</v>
      </c>
      <c r="F704" s="71" t="s">
        <v>955</v>
      </c>
      <c r="G704" s="71" t="s">
        <v>956</v>
      </c>
      <c r="H704" s="71" t="s">
        <v>954</v>
      </c>
      <c r="I704" s="71" t="s">
        <v>2604</v>
      </c>
      <c r="J704" s="71" t="s">
        <v>744</v>
      </c>
      <c r="K704" s="71" t="s">
        <v>2665</v>
      </c>
      <c r="L704" s="71" t="s">
        <v>2666</v>
      </c>
      <c r="M704" s="71" t="s">
        <v>3242</v>
      </c>
      <c r="N704" s="71" t="s">
        <v>3243</v>
      </c>
      <c r="O704" s="71" t="s">
        <v>2640</v>
      </c>
      <c r="P704" s="71" t="s">
        <v>2604</v>
      </c>
      <c r="Q704" s="71" t="s">
        <v>3244</v>
      </c>
      <c r="R704" s="71" t="s">
        <v>2604</v>
      </c>
      <c r="S704" s="71" t="s">
        <v>2604</v>
      </c>
      <c r="T704" s="71" t="s">
        <v>2604</v>
      </c>
      <c r="U704" s="71" t="s">
        <v>2604</v>
      </c>
      <c r="V704" s="71" t="s">
        <v>2664</v>
      </c>
    </row>
    <row r="705" spans="1:22">
      <c r="A705" s="71" t="s">
        <v>2659</v>
      </c>
      <c r="B705" s="71" t="s">
        <v>2646</v>
      </c>
      <c r="C705" s="72">
        <v>45787.501753159719</v>
      </c>
      <c r="D705" s="72">
        <v>45787.501753159719</v>
      </c>
      <c r="E705" s="71" t="s">
        <v>365</v>
      </c>
      <c r="F705" s="71" t="s">
        <v>458</v>
      </c>
      <c r="G705" s="71" t="s">
        <v>459</v>
      </c>
      <c r="H705" s="71" t="s">
        <v>457</v>
      </c>
      <c r="I705" s="71" t="s">
        <v>2604</v>
      </c>
      <c r="J705" s="71" t="s">
        <v>774</v>
      </c>
      <c r="K705" s="71" t="s">
        <v>2670</v>
      </c>
      <c r="L705" s="71" t="s">
        <v>2604</v>
      </c>
      <c r="M705" s="71" t="s">
        <v>2671</v>
      </c>
      <c r="N705" s="71" t="s">
        <v>2651</v>
      </c>
      <c r="O705" s="71" t="s">
        <v>2692</v>
      </c>
      <c r="P705" s="71" t="s">
        <v>2604</v>
      </c>
      <c r="Q705" s="71" t="s">
        <v>2860</v>
      </c>
      <c r="R705" s="71" t="s">
        <v>2604</v>
      </c>
      <c r="S705" s="71" t="s">
        <v>2604</v>
      </c>
      <c r="T705" s="71" t="s">
        <v>2604</v>
      </c>
      <c r="U705" s="71" t="s">
        <v>2604</v>
      </c>
      <c r="V705" s="71" t="s">
        <v>2604</v>
      </c>
    </row>
    <row r="706" spans="1:22">
      <c r="A706" s="71" t="s">
        <v>2659</v>
      </c>
      <c r="B706" s="71" t="s">
        <v>56</v>
      </c>
      <c r="C706" s="72">
        <v>45969.831682858799</v>
      </c>
      <c r="D706" s="72">
        <v>45969.831682858799</v>
      </c>
      <c r="E706" s="71" t="s">
        <v>365</v>
      </c>
      <c r="F706" s="71" t="s">
        <v>924</v>
      </c>
      <c r="G706" s="71" t="s">
        <v>925</v>
      </c>
      <c r="H706" s="71" t="s">
        <v>923</v>
      </c>
      <c r="I706" s="71" t="s">
        <v>2604</v>
      </c>
      <c r="J706" s="71" t="s">
        <v>813</v>
      </c>
      <c r="K706" s="71" t="s">
        <v>2648</v>
      </c>
      <c r="L706" s="71" t="s">
        <v>2649</v>
      </c>
      <c r="M706" s="71" t="s">
        <v>2726</v>
      </c>
      <c r="N706" s="71" t="s">
        <v>2726</v>
      </c>
      <c r="O706" s="71" t="s">
        <v>2640</v>
      </c>
      <c r="P706" s="71" t="s">
        <v>2604</v>
      </c>
      <c r="Q706" s="71" t="s">
        <v>3127</v>
      </c>
      <c r="R706" s="71" t="s">
        <v>2604</v>
      </c>
      <c r="S706" s="71" t="s">
        <v>2604</v>
      </c>
      <c r="T706" s="71" t="s">
        <v>2604</v>
      </c>
      <c r="U706" s="71" t="s">
        <v>2604</v>
      </c>
      <c r="V706" s="71" t="s">
        <v>2664</v>
      </c>
    </row>
    <row r="707" spans="1:22">
      <c r="A707" s="71" t="s">
        <v>2659</v>
      </c>
      <c r="B707" s="71" t="s">
        <v>2646</v>
      </c>
      <c r="C707" s="72">
        <v>45764.807239444446</v>
      </c>
      <c r="D707" s="72">
        <v>45764.807239444446</v>
      </c>
      <c r="E707" s="71" t="s">
        <v>135</v>
      </c>
      <c r="F707" s="71" t="s">
        <v>422</v>
      </c>
      <c r="G707" s="71" t="s">
        <v>2982</v>
      </c>
      <c r="H707" s="71" t="s">
        <v>421</v>
      </c>
      <c r="I707" s="71" t="s">
        <v>2604</v>
      </c>
      <c r="J707" s="71" t="s">
        <v>1140</v>
      </c>
      <c r="K707" s="71" t="s">
        <v>2983</v>
      </c>
      <c r="L707" s="71" t="s">
        <v>2604</v>
      </c>
      <c r="M707" s="71" t="s">
        <v>2984</v>
      </c>
      <c r="N707" s="71" t="s">
        <v>2985</v>
      </c>
      <c r="O707" s="71" t="s">
        <v>2692</v>
      </c>
      <c r="P707" s="71" t="s">
        <v>2986</v>
      </c>
      <c r="Q707" s="71" t="s">
        <v>2987</v>
      </c>
      <c r="R707" s="71" t="s">
        <v>2604</v>
      </c>
      <c r="S707" s="71" t="s">
        <v>2604</v>
      </c>
      <c r="T707" s="71" t="s">
        <v>2604</v>
      </c>
      <c r="U707" s="71" t="s">
        <v>2604</v>
      </c>
      <c r="V707" s="71" t="s">
        <v>2635</v>
      </c>
    </row>
    <row r="708" spans="1:22">
      <c r="A708" s="71" t="s">
        <v>2659</v>
      </c>
      <c r="B708" s="71" t="s">
        <v>2646</v>
      </c>
      <c r="C708" s="72">
        <v>45779.436436458331</v>
      </c>
      <c r="D708" s="72">
        <v>45779.436436458331</v>
      </c>
      <c r="E708" s="71" t="s">
        <v>365</v>
      </c>
      <c r="F708" s="71" t="s">
        <v>1266</v>
      </c>
      <c r="G708" s="71" t="s">
        <v>2761</v>
      </c>
      <c r="H708" s="71" t="s">
        <v>447</v>
      </c>
      <c r="I708" s="71" t="s">
        <v>2604</v>
      </c>
      <c r="J708" s="71" t="s">
        <v>752</v>
      </c>
      <c r="K708" s="71" t="s">
        <v>2723</v>
      </c>
      <c r="L708" s="71" t="s">
        <v>2665</v>
      </c>
      <c r="M708" s="71" t="s">
        <v>2762</v>
      </c>
      <c r="N708" s="71" t="s">
        <v>2763</v>
      </c>
      <c r="O708" s="71" t="s">
        <v>2692</v>
      </c>
      <c r="P708" s="71" t="s">
        <v>2604</v>
      </c>
      <c r="Q708" s="71" t="s">
        <v>2764</v>
      </c>
      <c r="R708" s="71" t="s">
        <v>2604</v>
      </c>
      <c r="S708" s="71" t="s">
        <v>2604</v>
      </c>
      <c r="T708" s="71" t="s">
        <v>2604</v>
      </c>
      <c r="U708" s="71" t="s">
        <v>2604</v>
      </c>
      <c r="V708" s="71" t="s">
        <v>2635</v>
      </c>
    </row>
    <row r="709" spans="1:22">
      <c r="A709" s="71" t="s">
        <v>2659</v>
      </c>
      <c r="B709" s="71" t="s">
        <v>724</v>
      </c>
      <c r="C709" s="72">
        <v>45897.503976701388</v>
      </c>
      <c r="D709" s="72">
        <v>45897.503976701388</v>
      </c>
      <c r="E709" s="71" t="s">
        <v>473</v>
      </c>
      <c r="F709" s="71" t="s">
        <v>152</v>
      </c>
      <c r="G709" s="71" t="s">
        <v>743</v>
      </c>
      <c r="H709" s="71" t="s">
        <v>742</v>
      </c>
      <c r="I709" s="71" t="s">
        <v>2604</v>
      </c>
      <c r="J709" s="71" t="s">
        <v>744</v>
      </c>
      <c r="K709" s="71" t="s">
        <v>2665</v>
      </c>
      <c r="L709" s="71" t="s">
        <v>2666</v>
      </c>
      <c r="M709" s="71" t="s">
        <v>2861</v>
      </c>
      <c r="N709" s="71" t="s">
        <v>2862</v>
      </c>
      <c r="O709" s="71" t="s">
        <v>2640</v>
      </c>
      <c r="P709" s="71" t="s">
        <v>2863</v>
      </c>
      <c r="Q709" s="71" t="s">
        <v>2864</v>
      </c>
      <c r="R709" s="71" t="s">
        <v>2604</v>
      </c>
      <c r="S709" s="71" t="s">
        <v>2604</v>
      </c>
      <c r="T709" s="71" t="s">
        <v>2604</v>
      </c>
      <c r="U709" s="71" t="s">
        <v>2604</v>
      </c>
      <c r="V709" s="71" t="s">
        <v>2604</v>
      </c>
    </row>
    <row r="710" spans="1:22">
      <c r="A710" s="71" t="s">
        <v>2659</v>
      </c>
      <c r="B710" s="71" t="s">
        <v>84</v>
      </c>
      <c r="C710" s="72">
        <v>45880.946822893522</v>
      </c>
      <c r="D710" s="72">
        <v>45880.946822893522</v>
      </c>
      <c r="E710" s="71" t="s">
        <v>365</v>
      </c>
      <c r="F710" s="71" t="s">
        <v>692</v>
      </c>
      <c r="G710" s="71" t="s">
        <v>693</v>
      </c>
      <c r="H710" s="71" t="s">
        <v>691</v>
      </c>
      <c r="I710" s="71" t="s">
        <v>2604</v>
      </c>
      <c r="J710" s="71" t="s">
        <v>744</v>
      </c>
      <c r="K710" s="71" t="s">
        <v>2665</v>
      </c>
      <c r="L710" s="71" t="s">
        <v>2704</v>
      </c>
      <c r="M710" s="71" t="s">
        <v>2671</v>
      </c>
      <c r="N710" s="71" t="s">
        <v>3096</v>
      </c>
      <c r="O710" s="71" t="s">
        <v>2640</v>
      </c>
      <c r="P710" s="71" t="s">
        <v>2604</v>
      </c>
      <c r="Q710" s="71" t="s">
        <v>3097</v>
      </c>
      <c r="R710" s="71" t="s">
        <v>2604</v>
      </c>
      <c r="S710" s="71" t="s">
        <v>2604</v>
      </c>
      <c r="T710" s="71" t="s">
        <v>2604</v>
      </c>
      <c r="U710" s="71" t="s">
        <v>2604</v>
      </c>
      <c r="V710" s="71" t="s">
        <v>2604</v>
      </c>
    </row>
    <row r="711" spans="1:22">
      <c r="A711" s="71" t="s">
        <v>2659</v>
      </c>
      <c r="B711" s="71" t="s">
        <v>84</v>
      </c>
      <c r="C711" s="72">
        <v>45856.457176875003</v>
      </c>
      <c r="D711" s="72">
        <v>45856.457176875003</v>
      </c>
      <c r="E711" s="71" t="s">
        <v>365</v>
      </c>
      <c r="F711" s="71" t="s">
        <v>590</v>
      </c>
      <c r="G711" s="71" t="s">
        <v>591</v>
      </c>
      <c r="H711" s="71" t="s">
        <v>589</v>
      </c>
      <c r="I711" s="71" t="s">
        <v>2604</v>
      </c>
      <c r="J711" s="71" t="s">
        <v>774</v>
      </c>
      <c r="K711" s="71" t="s">
        <v>2670</v>
      </c>
      <c r="L711" s="71" t="s">
        <v>2604</v>
      </c>
      <c r="M711" s="71" t="s">
        <v>2671</v>
      </c>
      <c r="N711" s="71" t="s">
        <v>2746</v>
      </c>
      <c r="O711" s="71" t="s">
        <v>2640</v>
      </c>
      <c r="P711" s="71" t="s">
        <v>2604</v>
      </c>
      <c r="Q711" s="71" t="s">
        <v>2747</v>
      </c>
      <c r="R711" s="71" t="s">
        <v>2604</v>
      </c>
      <c r="S711" s="71" t="s">
        <v>2604</v>
      </c>
      <c r="T711" s="71" t="s">
        <v>2604</v>
      </c>
      <c r="U711" s="71" t="s">
        <v>2604</v>
      </c>
      <c r="V711" s="71" t="s">
        <v>2604</v>
      </c>
    </row>
    <row r="712" spans="1:22">
      <c r="A712" s="71" t="s">
        <v>2659</v>
      </c>
      <c r="B712" s="71" t="s">
        <v>84</v>
      </c>
      <c r="C712" s="72">
        <v>45957.639694999998</v>
      </c>
      <c r="D712" s="72">
        <v>45957.639694999998</v>
      </c>
      <c r="E712" s="71" t="s">
        <v>380</v>
      </c>
      <c r="F712" s="71" t="s">
        <v>903</v>
      </c>
      <c r="G712" s="71" t="s">
        <v>904</v>
      </c>
      <c r="H712" s="71" t="s">
        <v>902</v>
      </c>
      <c r="I712" s="71" t="s">
        <v>2604</v>
      </c>
      <c r="J712" s="71" t="s">
        <v>752</v>
      </c>
      <c r="K712" s="71" t="s">
        <v>2675</v>
      </c>
      <c r="L712" s="71" t="s">
        <v>2712</v>
      </c>
      <c r="M712" s="71" t="s">
        <v>2717</v>
      </c>
      <c r="N712" s="71" t="s">
        <v>2718</v>
      </c>
      <c r="O712" s="71" t="s">
        <v>2640</v>
      </c>
      <c r="P712" s="71" t="s">
        <v>2604</v>
      </c>
      <c r="Q712" s="71" t="s">
        <v>2719</v>
      </c>
      <c r="R712" s="71" t="s">
        <v>2604</v>
      </c>
      <c r="S712" s="71" t="s">
        <v>2604</v>
      </c>
      <c r="T712" s="71" t="s">
        <v>2604</v>
      </c>
      <c r="U712" s="71" t="s">
        <v>2604</v>
      </c>
      <c r="V712" s="71" t="s">
        <v>2635</v>
      </c>
    </row>
    <row r="713" spans="1:22">
      <c r="A713" s="71" t="s">
        <v>2659</v>
      </c>
      <c r="B713" s="71" t="s">
        <v>56</v>
      </c>
      <c r="C713" s="72">
        <v>45866.354510763886</v>
      </c>
      <c r="D713" s="72">
        <v>45866.354510763886</v>
      </c>
      <c r="E713" s="71" t="s">
        <v>365</v>
      </c>
      <c r="F713" s="71" t="s">
        <v>3086</v>
      </c>
      <c r="G713" s="71" t="s">
        <v>3087</v>
      </c>
      <c r="H713" s="71" t="s">
        <v>638</v>
      </c>
      <c r="I713" s="71" t="s">
        <v>2604</v>
      </c>
      <c r="J713" s="71" t="s">
        <v>774</v>
      </c>
      <c r="K713" s="71" t="s">
        <v>2670</v>
      </c>
      <c r="L713" s="71" t="s">
        <v>2604</v>
      </c>
      <c r="M713" s="71" t="s">
        <v>2671</v>
      </c>
      <c r="N713" s="71" t="s">
        <v>2814</v>
      </c>
      <c r="O713" s="71" t="s">
        <v>2604</v>
      </c>
      <c r="P713" s="71" t="s">
        <v>2604</v>
      </c>
      <c r="Q713" s="71" t="s">
        <v>3088</v>
      </c>
      <c r="R713" s="71" t="s">
        <v>2604</v>
      </c>
      <c r="S713" s="71" t="s">
        <v>2604</v>
      </c>
      <c r="T713" s="71" t="s">
        <v>2604</v>
      </c>
      <c r="U713" s="71" t="s">
        <v>2604</v>
      </c>
      <c r="V713" s="71" t="s">
        <v>2635</v>
      </c>
    </row>
    <row r="714" spans="1:22">
      <c r="A714" s="71" t="s">
        <v>2659</v>
      </c>
      <c r="B714" s="71" t="s">
        <v>56</v>
      </c>
      <c r="C714" s="72">
        <v>46063.574311504628</v>
      </c>
      <c r="D714" s="72">
        <v>46063.574311504628</v>
      </c>
      <c r="E714" s="71" t="s">
        <v>135</v>
      </c>
      <c r="F714" s="71" t="s">
        <v>1093</v>
      </c>
      <c r="G714" s="71" t="s">
        <v>1094</v>
      </c>
      <c r="H714" s="71" t="s">
        <v>1092</v>
      </c>
      <c r="I714" s="71" t="s">
        <v>2604</v>
      </c>
      <c r="J714" s="71" t="s">
        <v>744</v>
      </c>
      <c r="K714" s="71" t="s">
        <v>2665</v>
      </c>
      <c r="L714" s="71" t="s">
        <v>2666</v>
      </c>
      <c r="M714" s="71" t="s">
        <v>2671</v>
      </c>
      <c r="N714" s="71" t="s">
        <v>2707</v>
      </c>
      <c r="O714" s="71" t="s">
        <v>2640</v>
      </c>
      <c r="P714" s="71" t="s">
        <v>2604</v>
      </c>
      <c r="Q714" s="71" t="s">
        <v>2708</v>
      </c>
      <c r="R714" s="71" t="s">
        <v>2604</v>
      </c>
      <c r="S714" s="71" t="s">
        <v>2604</v>
      </c>
      <c r="T714" s="71" t="s">
        <v>2604</v>
      </c>
      <c r="U714" s="71" t="s">
        <v>2604</v>
      </c>
      <c r="V714" s="71" t="s">
        <v>2664</v>
      </c>
    </row>
    <row r="715" spans="1:22">
      <c r="A715" s="71" t="s">
        <v>2659</v>
      </c>
      <c r="B715" s="71" t="s">
        <v>659</v>
      </c>
      <c r="C715" s="72">
        <v>45869.36627111111</v>
      </c>
      <c r="D715" s="72">
        <v>45869.36627111111</v>
      </c>
      <c r="E715" s="71" t="s">
        <v>473</v>
      </c>
      <c r="F715" s="71" t="s">
        <v>2748</v>
      </c>
      <c r="G715" s="71" t="s">
        <v>2749</v>
      </c>
      <c r="H715" s="71" t="s">
        <v>660</v>
      </c>
      <c r="I715" s="71" t="s">
        <v>2604</v>
      </c>
      <c r="J715" s="71" t="s">
        <v>1140</v>
      </c>
      <c r="K715" s="71" t="s">
        <v>2750</v>
      </c>
      <c r="L715" s="71" t="s">
        <v>2604</v>
      </c>
      <c r="M715" s="71" t="s">
        <v>2751</v>
      </c>
      <c r="N715" s="71" t="s">
        <v>2752</v>
      </c>
      <c r="O715" s="71" t="s">
        <v>2640</v>
      </c>
      <c r="P715" s="71" t="s">
        <v>2753</v>
      </c>
      <c r="Q715" s="71" t="s">
        <v>2754</v>
      </c>
      <c r="R715" s="71" t="s">
        <v>2604</v>
      </c>
      <c r="S715" s="71" t="s">
        <v>2604</v>
      </c>
      <c r="T715" s="71" t="s">
        <v>2604</v>
      </c>
      <c r="U715" s="71" t="s">
        <v>2604</v>
      </c>
      <c r="V715" s="71" t="s">
        <v>3260</v>
      </c>
    </row>
    <row r="716" spans="1:22">
      <c r="A716" s="71" t="s">
        <v>2659</v>
      </c>
      <c r="B716" s="71" t="s">
        <v>2646</v>
      </c>
      <c r="C716" s="72">
        <v>45825.547028043984</v>
      </c>
      <c r="D716" s="72">
        <v>45825.547028043984</v>
      </c>
      <c r="E716" s="71" t="s">
        <v>365</v>
      </c>
      <c r="F716" s="71" t="s">
        <v>521</v>
      </c>
      <c r="G716" s="71" t="s">
        <v>522</v>
      </c>
      <c r="H716" s="71" t="s">
        <v>520</v>
      </c>
      <c r="I716" s="71" t="s">
        <v>2604</v>
      </c>
      <c r="J716" s="71" t="s">
        <v>752</v>
      </c>
      <c r="K716" s="71" t="s">
        <v>2723</v>
      </c>
      <c r="L716" s="71" t="s">
        <v>2665</v>
      </c>
      <c r="M716" s="71" t="s">
        <v>3102</v>
      </c>
      <c r="N716" s="71" t="s">
        <v>2814</v>
      </c>
      <c r="O716" s="71" t="s">
        <v>2692</v>
      </c>
      <c r="P716" s="71" t="s">
        <v>2604</v>
      </c>
      <c r="Q716" s="71" t="s">
        <v>3103</v>
      </c>
      <c r="R716" s="71" t="s">
        <v>2604</v>
      </c>
      <c r="S716" s="71" t="s">
        <v>2604</v>
      </c>
      <c r="T716" s="71" t="s">
        <v>2604</v>
      </c>
      <c r="U716" s="71" t="s">
        <v>2604</v>
      </c>
      <c r="V716" s="71" t="s">
        <v>2658</v>
      </c>
    </row>
    <row r="717" spans="1:22">
      <c r="A717" s="71" t="s">
        <v>2659</v>
      </c>
      <c r="B717" s="71" t="s">
        <v>56</v>
      </c>
      <c r="C717" s="72">
        <v>46090.730494791664</v>
      </c>
      <c r="D717" s="72">
        <v>46090.730494791664</v>
      </c>
      <c r="E717" s="71" t="s">
        <v>365</v>
      </c>
      <c r="F717" s="71" t="s">
        <v>1122</v>
      </c>
      <c r="G717" s="71" t="s">
        <v>1123</v>
      </c>
      <c r="H717" s="71" t="s">
        <v>1121</v>
      </c>
      <c r="I717" s="71" t="s">
        <v>2604</v>
      </c>
      <c r="J717" s="71" t="s">
        <v>744</v>
      </c>
      <c r="K717" s="71" t="s">
        <v>2665</v>
      </c>
      <c r="L717" s="71" t="s">
        <v>2821</v>
      </c>
      <c r="M717" s="71" t="s">
        <v>2928</v>
      </c>
      <c r="N717" s="71" t="s">
        <v>2929</v>
      </c>
      <c r="O717" s="71" t="s">
        <v>2640</v>
      </c>
      <c r="P717" s="71" t="s">
        <v>2604</v>
      </c>
      <c r="Q717" s="71" t="s">
        <v>2930</v>
      </c>
      <c r="R717" s="71" t="s">
        <v>2604</v>
      </c>
      <c r="S717" s="71" t="s">
        <v>2604</v>
      </c>
      <c r="T717" s="71" t="s">
        <v>2604</v>
      </c>
      <c r="U717" s="71" t="s">
        <v>2604</v>
      </c>
      <c r="V717" s="71" t="s">
        <v>2635</v>
      </c>
    </row>
  </sheetData>
  <phoneticPr fontId="1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cbcb3794-65c5-4fd8-9f48-d3356576170d">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1AECF541D381CC47997C9F6E50A07635" ma:contentTypeVersion="14" ma:contentTypeDescription="新しいドキュメントを作成します。" ma:contentTypeScope="" ma:versionID="08bd3d941a4678980bac4ee6d7d05ebb">
  <xsd:schema xmlns:xsd="http://www.w3.org/2001/XMLSchema" xmlns:xs="http://www.w3.org/2001/XMLSchema" xmlns:p="http://schemas.microsoft.com/office/2006/metadata/properties" xmlns:ns2="cbcb3794-65c5-4fd8-9f48-d3356576170d" xmlns:ns3="83b3bdf2-a634-4f88-9a70-eed74f5c43d7" targetNamespace="http://schemas.microsoft.com/office/2006/metadata/properties" ma:root="true" ma:fieldsID="b02752519eb638c6ff24c9ea047f6668" ns2:_="" ns3:_="">
    <xsd:import namespace="cbcb3794-65c5-4fd8-9f48-d3356576170d"/>
    <xsd:import namespace="83b3bdf2-a634-4f88-9a70-eed74f5c43d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LengthInSeconds" minOccurs="0"/>
                <xsd:element ref="ns2:MediaServiceDateTaken" minOccurs="0"/>
                <xsd:element ref="ns2:lcf76f155ced4ddcb4097134ff3c332f"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cb3794-65c5-4fd8-9f48-d3356576170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LengthInSeconds" ma:index="11" nillable="true" ma:displayName="MediaLengthInSeconds" ma:hidden="true" ma:internalName="MediaLengthInSeconds" ma:readOnly="true">
      <xsd:simpleType>
        <xsd:restriction base="dms:Unknown"/>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画像タグ" ma:readOnly="false" ma:fieldId="{5cf76f15-5ced-4ddc-b409-7134ff3c332f}" ma:taxonomyMulti="true" ma:sspId="3cbaf9e9-afa4-4295-acc9-3ae7f045e455"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3b3bdf2-a634-4f88-9a70-eed74f5c43d7" elementFormDefault="qualified">
    <xsd:import namespace="http://schemas.microsoft.com/office/2006/documentManagement/types"/>
    <xsd:import namespace="http://schemas.microsoft.com/office/infopath/2007/PartnerControls"/>
    <xsd:element name="SharedWithUsers" ma:index="18"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49370BA-9A97-4077-AA5F-B1A66A2AD207}">
  <ds:schemaRefs>
    <ds:schemaRef ds:uri="http://schemas.microsoft.com/sharepoint/v3/contenttype/forms"/>
  </ds:schemaRefs>
</ds:datastoreItem>
</file>

<file path=customXml/itemProps2.xml><?xml version="1.0" encoding="utf-8"?>
<ds:datastoreItem xmlns:ds="http://schemas.openxmlformats.org/officeDocument/2006/customXml" ds:itemID="{9CEBB4E3-C021-4B30-8706-257E2304127F}">
  <ds:schemaRefs>
    <ds:schemaRef ds:uri="http://schemas.microsoft.com/office/2006/metadata/properties"/>
    <ds:schemaRef ds:uri="http://schemas.microsoft.com/office/infopath/2007/PartnerControls"/>
    <ds:schemaRef ds:uri="cbcb3794-65c5-4fd8-9f48-d3356576170d"/>
  </ds:schemaRefs>
</ds:datastoreItem>
</file>

<file path=customXml/itemProps3.xml><?xml version="1.0" encoding="utf-8"?>
<ds:datastoreItem xmlns:ds="http://schemas.openxmlformats.org/officeDocument/2006/customXml" ds:itemID="{AE86FA0B-C01F-44DC-998A-7638B0673A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cb3794-65c5-4fd8-9f48-d3356576170d"/>
    <ds:schemaRef ds:uri="83b3bdf2-a634-4f88-9a70-eed74f5c43d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流入チャネル別集計</vt:lpstr>
      <vt:lpstr>流入チャネル別顧客一覧_7月以降完全ユニークではない</vt:lpstr>
      <vt:lpstr>流入チャネル別顧客一覧（6月末まで）</vt:lpstr>
      <vt:lpstr>Sheet1</vt:lpstr>
      <vt:lpstr>rawdata_案件判定データ</vt:lpstr>
      <vt:lpstr>UN｜CVレポート</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神吉 まあや</dc:creator>
  <cp:keywords/>
  <dc:description/>
  <cp:lastModifiedBy>中島 麻耶 (Nakajima, Maya)</cp:lastModifiedBy>
  <cp:revision/>
  <dcterms:created xsi:type="dcterms:W3CDTF">2025-01-24T02:47:55Z</dcterms:created>
  <dcterms:modified xsi:type="dcterms:W3CDTF">2026-07-13T06:55:39Z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0x0101001AECF541D381CC47997C9F6E50A07635</vt:lpwstr>
  </property>
  <property fmtid="{D5CDD505-2E9C-101B-9397-08002B2CF9AE}" pid="3" name="MediaServiceImageTags">
    <vt:lpwstr/>
  </property>
</Properties>
</file>