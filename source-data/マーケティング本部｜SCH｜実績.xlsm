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hidePivotFieldList="1" defaultThemeVersion="202300"/>
  <mc:AlternateContent xmlns:mc="http://schemas.openxmlformats.org/markup-compatibility/2006">
    <mc:Choice Requires="x15">
      <x15ac:absPath xmlns:x15ac="http://schemas.microsoft.com/office/spreadsheetml/2010/11/ac" url="C:\Users\573167\Box\マーケティンググループ\デジタルマーケティングDiv\マーケティング本部\社内ドキュメント\"/>
    </mc:Choice>
  </mc:AlternateContent>
  <xr:revisionPtr revIDLastSave="0" documentId="13_ncr:1_{4283731C-5C6E-4AE7-9AB0-5A6CD8AE8376}" xr6:coauthVersionLast="47" xr6:coauthVersionMax="47" xr10:uidLastSave="{00000000-0000-0000-0000-000000000000}"/>
  <bookViews>
    <workbookView xWindow="-110" yWindow="-110" windowWidth="19420" windowHeight="11500" firstSheet="2" activeTab="2" xr2:uid="{151AB958-D7D1-49F0-903A-9A91B9095081}"/>
  </bookViews>
  <sheets>
    <sheet name="流入チャネル別集計" sheetId="2" r:id="rId1"/>
    <sheet name="流入チャネル別顧客一覧" sheetId="1" r:id="rId2"/>
    <sheet name="流入チャネル別顧客一覧_ユニーク" sheetId="3" r:id="rId3"/>
    <sheet name="rawdata_案件判定データ" sheetId="4" r:id="rId4"/>
  </sheets>
  <definedNames>
    <definedName name="_xlnm._FilterDatabase" localSheetId="3" hidden="1">rawdata_案件判定データ!$A$1:$E$669</definedName>
    <definedName name="_xlnm._FilterDatabase" localSheetId="1" hidden="1">流入チャネル別顧客一覧!$A$1:$Q$111</definedName>
    <definedName name="_xlnm._FilterDatabase" localSheetId="2" hidden="1">流入チャネル別顧客一覧_ユニーク!$A$1:$U$67</definedName>
  </definedNames>
  <calcPr calcId="191028"/>
  <pivotCaches>
    <pivotCache cacheId="2"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76" i="3" l="1"/>
  <c r="Q75" i="3"/>
  <c r="Q74" i="3"/>
  <c r="Q73" i="3"/>
  <c r="Q72" i="3"/>
  <c r="Q71" i="3"/>
  <c r="Q70" i="3"/>
  <c r="Q67" i="3"/>
  <c r="Q68" i="3"/>
  <c r="Q69" i="3"/>
  <c r="Q60" i="3"/>
  <c r="Q61" i="3"/>
  <c r="Q62" i="3"/>
  <c r="Q63" i="3"/>
  <c r="Q64" i="3"/>
  <c r="Q65" i="3"/>
  <c r="Q66" i="3"/>
  <c r="Q59" i="3"/>
  <c r="Q57" i="3"/>
  <c r="Q58" i="3"/>
  <c r="Q56" i="3"/>
  <c r="Q55" i="3"/>
  <c r="Q54" i="3"/>
  <c r="Q53" i="3"/>
  <c r="Q51" i="3"/>
  <c r="Q52" i="3"/>
  <c r="Q50" i="3"/>
  <c r="Q8" i="3"/>
  <c r="Q48" i="3"/>
  <c r="Q49" i="3"/>
  <c r="Q35" i="3"/>
  <c r="Q47" i="3"/>
  <c r="Q46" i="3"/>
  <c r="L27" i="2"/>
  <c r="Q45" i="3"/>
  <c r="K27" i="2"/>
  <c r="K26" i="2"/>
  <c r="L26" i="2"/>
  <c r="L25" i="2"/>
  <c r="K25" i="2"/>
  <c r="Q44" i="3"/>
  <c r="Q43" i="3"/>
  <c r="Q41" i="3"/>
  <c r="Q42" i="3"/>
  <c r="Q40" i="3"/>
  <c r="Q39" i="3"/>
  <c r="Q38" i="3"/>
  <c r="Q37" i="3"/>
  <c r="Q36" i="3"/>
  <c r="Q34" i="3"/>
  <c r="Q33" i="3"/>
  <c r="B19" i="2"/>
  <c r="B27" i="2"/>
  <c r="B26" i="2"/>
  <c r="B25" i="2"/>
  <c r="Q30" i="3"/>
  <c r="Q32" i="3"/>
  <c r="Q31" i="3"/>
  <c r="Q29" i="3"/>
  <c r="I27" i="2"/>
  <c r="H27" i="2"/>
  <c r="G27" i="2"/>
  <c r="F27" i="2"/>
  <c r="E27" i="2"/>
  <c r="D27" i="2"/>
  <c r="I26" i="2"/>
  <c r="H26" i="2"/>
  <c r="G26" i="2"/>
  <c r="F26" i="2"/>
  <c r="E26" i="2"/>
  <c r="D26" i="2"/>
  <c r="I25" i="2"/>
  <c r="H25" i="2"/>
  <c r="G25" i="2"/>
  <c r="F25" i="2"/>
  <c r="E25" i="2"/>
  <c r="D25" i="2"/>
  <c r="C27" i="2"/>
  <c r="C26" i="2"/>
  <c r="C25" i="2"/>
  <c r="Q27" i="3"/>
  <c r="Q23" i="3"/>
  <c r="Q19" i="3"/>
  <c r="Q12" i="3"/>
  <c r="Q21" i="3"/>
  <c r="Q20" i="3"/>
  <c r="Q16" i="3"/>
  <c r="Q15" i="3"/>
  <c r="Q13" i="3"/>
  <c r="Q6" i="3"/>
  <c r="Q4" i="3"/>
  <c r="Q28" i="3"/>
  <c r="Q26" i="3"/>
  <c r="Q25" i="3"/>
  <c r="Q24" i="3"/>
  <c r="Q22" i="3"/>
  <c r="Q18" i="3"/>
  <c r="Q17" i="3"/>
  <c r="Q14" i="3"/>
  <c r="Q11" i="3"/>
  <c r="Q10" i="3"/>
  <c r="Q9" i="3"/>
  <c r="Q7" i="3"/>
  <c r="Q5" i="3"/>
  <c r="Q3" i="3"/>
  <c r="A111" i="1"/>
  <c r="A110" i="1"/>
  <c r="B18" i="2" s="1"/>
  <c r="A109" i="1"/>
  <c r="B20" i="2" s="1"/>
  <c r="Q2" i="3"/>
  <c r="L28" i="2" l="1"/>
  <c r="G28" i="2"/>
  <c r="F28" i="2"/>
  <c r="I28" i="2"/>
  <c r="D28" i="2"/>
  <c r="H28" i="2"/>
  <c r="E28" i="2"/>
  <c r="M25" i="2"/>
  <c r="K28" i="2"/>
  <c r="M26" i="2"/>
  <c r="M27" i="2"/>
  <c r="C49" i="2"/>
  <c r="C48" i="2"/>
  <c r="C47" i="2"/>
  <c r="C46" i="2"/>
  <c r="C45" i="2"/>
  <c r="C44" i="2"/>
  <c r="C43" i="2"/>
  <c r="C42" i="2"/>
  <c r="C41" i="2"/>
  <c r="C40" i="2"/>
  <c r="C39" i="2"/>
  <c r="C38" i="2"/>
  <c r="C37" i="2"/>
  <c r="C36" i="2"/>
  <c r="C35" i="2"/>
  <c r="C34" i="2"/>
  <c r="C33" i="2"/>
  <c r="C32" i="2"/>
  <c r="B28" i="2"/>
  <c r="J25" i="2"/>
  <c r="J26" i="2"/>
  <c r="J27" i="2"/>
  <c r="B21" i="2"/>
  <c r="B32" i="2"/>
  <c r="B40" i="2"/>
  <c r="B41" i="2"/>
  <c r="B42" i="2"/>
  <c r="B43" i="2"/>
  <c r="B44" i="2"/>
  <c r="B45" i="2"/>
  <c r="B46" i="2"/>
  <c r="B47" i="2"/>
  <c r="B48" i="2"/>
  <c r="B49" i="2"/>
  <c r="B39" i="2"/>
  <c r="B34" i="2"/>
  <c r="B35" i="2"/>
  <c r="B37" i="2"/>
  <c r="B36" i="2"/>
  <c r="B38" i="2"/>
  <c r="L6" i="2" a="1"/>
  <c r="L6" i="2" s="1"/>
  <c r="M6" i="2" s="1"/>
  <c r="N6" i="2" a="1"/>
  <c r="N6" i="2" s="1"/>
  <c r="O6" i="2" s="1"/>
  <c r="B33" i="2"/>
  <c r="J4" i="2" a="1"/>
  <c r="J4" i="2" s="1"/>
  <c r="K4" i="2" s="1"/>
  <c r="L4" i="2" a="1"/>
  <c r="L4" i="2" s="1"/>
  <c r="M4" i="2" s="1"/>
  <c r="N4" i="2" a="1"/>
  <c r="N4" i="2" s="1"/>
  <c r="O4" i="2" s="1"/>
  <c r="J5" i="2" a="1"/>
  <c r="J5" i="2" s="1"/>
  <c r="K5" i="2" s="1"/>
  <c r="L5" i="2" a="1"/>
  <c r="L5" i="2" s="1"/>
  <c r="M5" i="2" s="1"/>
  <c r="N5" i="2" a="1"/>
  <c r="N5" i="2" s="1"/>
  <c r="O5" i="2" s="1"/>
  <c r="J6" i="2" a="1"/>
  <c r="J6" i="2" s="1"/>
  <c r="K6" i="2" s="1"/>
  <c r="C18" i="2"/>
  <c r="I20" i="2"/>
  <c r="H20" i="2"/>
  <c r="G20" i="2"/>
  <c r="F20" i="2"/>
  <c r="E20" i="2"/>
  <c r="D20" i="2"/>
  <c r="I19" i="2"/>
  <c r="H19" i="2"/>
  <c r="G19" i="2"/>
  <c r="F19" i="2"/>
  <c r="E19" i="2"/>
  <c r="D19" i="2"/>
  <c r="I18" i="2"/>
  <c r="H18" i="2"/>
  <c r="G18" i="2"/>
  <c r="F18" i="2"/>
  <c r="E18" i="2"/>
  <c r="D18" i="2"/>
  <c r="C20" i="2"/>
  <c r="J20" i="2" s="1"/>
  <c r="C19" i="2"/>
  <c r="C28" i="2"/>
  <c r="J28" i="2"/>
  <c r="H7" i="2"/>
  <c r="I7" i="2"/>
  <c r="G8" i="2"/>
  <c r="G7" i="2"/>
  <c r="G6" i="2"/>
  <c r="G5" i="2"/>
  <c r="G4" i="2"/>
  <c r="F14" i="2"/>
  <c r="B14" i="2"/>
  <c r="B11" i="2"/>
  <c r="D11" i="2"/>
  <c r="E11" i="2"/>
  <c r="D14" i="2"/>
  <c r="E14" i="2"/>
  <c r="F13" i="2"/>
  <c r="B13" i="2"/>
  <c r="E12" i="2"/>
  <c r="C14" i="2"/>
  <c r="F11" i="2"/>
  <c r="E21" i="2" l="1"/>
  <c r="J19" i="2"/>
  <c r="D21" i="2"/>
  <c r="G21" i="2"/>
  <c r="H21" i="2"/>
  <c r="F21" i="2"/>
  <c r="I21" i="2"/>
  <c r="B31" i="2"/>
  <c r="C31" i="2"/>
  <c r="M28" i="2"/>
  <c r="J18" i="2"/>
  <c r="J21" i="2" s="1"/>
  <c r="C21" i="2"/>
  <c r="J7" i="2"/>
  <c r="K7" i="2" s="1"/>
  <c r="L7" i="2"/>
  <c r="M7" i="2" s="1"/>
  <c r="N7" i="2"/>
  <c r="O7" i="2" s="1"/>
  <c r="C11" i="2"/>
  <c r="B12" i="2"/>
  <c r="C13" i="2"/>
  <c r="C12" i="2"/>
  <c r="D12" i="2"/>
  <c r="D13" i="2"/>
  <c r="E13" i="2"/>
  <c r="F1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tc={2BE5F242-F098-4CAA-86F0-C0D76F806229}</author>
    <author>tc={03991D1D-1126-4451-A848-94010F145D14}</author>
    <author>tc={92974422-4767-4216-ACC2-23B24072C782}</author>
    <author>tc={27C9098C-96D5-4DE0-873D-265A77748368}</author>
  </authors>
  <commentList>
    <comment ref="G7" authorId="0" shapeId="0" xr:uid="{2BE5F242-F098-4CAA-86F0-C0D76F8062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非ユニーク</t>
      </text>
    </comment>
    <comment ref="H7" authorId="1" shapeId="0" xr:uid="{03991D1D-1126-4451-A848-94010F145D1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ユニーク</t>
      </text>
    </comment>
    <comment ref="I7" authorId="2" shapeId="0" xr:uid="{92974422-4767-4216-ACC2-23B24072C78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ユニーク＋千葉黎明</t>
      </text>
    </comment>
    <comment ref="G8" authorId="3" shapeId="0" xr:uid="{27C9098C-96D5-4DE0-873D-265A7774836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非ユニーク</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<sst xmlns="http://schemas.openxmlformats.org/spreadsheetml/2006/main" count="3473" uniqueCount="1617">
  <si>
    <t>行ラベル</t>
  </si>
  <si>
    <t>合計 / direct</t>
  </si>
  <si>
    <t>合計 / link</t>
  </si>
  <si>
    <t>合計 / listing</t>
  </si>
  <si>
    <t>合計 / mail</t>
  </si>
  <si>
    <t>合計 / organic</t>
  </si>
  <si>
    <t>合計</t>
    <rPh sb="0" eb="2">
      <t>ゴウケイ</t>
    </rPh>
    <phoneticPr fontId="18"/>
  </si>
  <si>
    <t>合計（ユニーク）</t>
    <rPh sb="0" eb="2">
      <t>ゴウケイ</t>
    </rPh>
    <phoneticPr fontId="18"/>
  </si>
  <si>
    <t>SAL</t>
    <phoneticPr fontId="18"/>
  </si>
  <si>
    <t>商談数</t>
    <rPh sb="0" eb="3">
      <t>ショウダンスウ</t>
    </rPh>
    <phoneticPr fontId="18"/>
  </si>
  <si>
    <t>商談化率</t>
    <rPh sb="0" eb="4">
      <t>ショウダンカリツ</t>
    </rPh>
    <phoneticPr fontId="18"/>
  </si>
  <si>
    <t>提案数</t>
    <rPh sb="0" eb="3">
      <t>テイアンスウ</t>
    </rPh>
    <phoneticPr fontId="18"/>
  </si>
  <si>
    <t>提案化率</t>
    <rPh sb="0" eb="4">
      <t>テイアンカリツ</t>
    </rPh>
    <phoneticPr fontId="18"/>
  </si>
  <si>
    <t>受注数</t>
    <rPh sb="0" eb="3">
      <t>ジュチュウスウ</t>
    </rPh>
    <phoneticPr fontId="18"/>
  </si>
  <si>
    <t>受注率</t>
    <rPh sb="0" eb="3">
      <t>ジュチュウリツ</t>
    </rPh>
    <phoneticPr fontId="18"/>
  </si>
  <si>
    <t>お問い合わせ完了</t>
  </si>
  <si>
    <t>お役立ち資料DL</t>
  </si>
  <si>
    <t>サービス資料DL</t>
  </si>
  <si>
    <t>総計</t>
  </si>
  <si>
    <t>ユーザー数</t>
    <rPh sb="4" eb="5">
      <t>スウ</t>
    </rPh>
    <phoneticPr fontId="18"/>
  </si>
  <si>
    <t>お役立ち資料DL</t>
    <phoneticPr fontId="18"/>
  </si>
  <si>
    <t>サービス資料DL</t>
    <phoneticPr fontId="18"/>
  </si>
  <si>
    <t>延べ</t>
  </si>
  <si>
    <t>case</t>
  </si>
  <si>
    <t>column</t>
  </si>
  <si>
    <t>direct</t>
  </si>
  <si>
    <t>link</t>
  </si>
  <si>
    <t>listing</t>
  </si>
  <si>
    <t>mail</t>
  </si>
  <si>
    <t>organic</t>
  </si>
  <si>
    <t>others</t>
  </si>
  <si>
    <t>問い合わせ</t>
    <rPh sb="0" eb="1">
      <t>ト</t>
    </rPh>
    <rPh sb="2" eb="3">
      <t>ア</t>
    </rPh>
    <phoneticPr fontId="1"/>
  </si>
  <si>
    <t>WP</t>
    <phoneticPr fontId="1"/>
  </si>
  <si>
    <t>資料</t>
    <rPh sb="0" eb="2">
      <t>シリョウ</t>
    </rPh>
    <phoneticPr fontId="1"/>
  </si>
  <si>
    <t>ユニーク</t>
  </si>
  <si>
    <t>合計
（6月まで）</t>
  </si>
  <si>
    <t>合計
（7月以降）</t>
  </si>
  <si>
    <t>総計（全期間）</t>
  </si>
  <si>
    <t>SQL月次推移</t>
  </si>
  <si>
    <t>SQL数</t>
  </si>
  <si>
    <t>MQL数</t>
  </si>
  <si>
    <t xml:space="preserve"> CVフラグ</t>
  </si>
  <si>
    <t>回答日時</t>
  </si>
  <si>
    <t>メールアドレス</t>
  </si>
  <si>
    <t>学校名</t>
  </si>
  <si>
    <t>お名前</t>
  </si>
  <si>
    <t>生徒数</t>
  </si>
  <si>
    <t>流入チャネル</t>
  </si>
  <si>
    <t>ステータス</t>
  </si>
  <si>
    <t>コメント</t>
    <phoneticPr fontId="18"/>
  </si>
  <si>
    <t>yamato.makino@ha-lu.jp</t>
  </si>
  <si>
    <t>株式会社HA-LU</t>
  </si>
  <si>
    <t>牧野　倭</t>
  </si>
  <si>
    <t>snd.tyamamoto@gmail.com</t>
  </si>
  <si>
    <t>有限会社サンドレスワールド</t>
  </si>
  <si>
    <t>山本　透</t>
  </si>
  <si>
    <t>y.inagaki@luaaz.co.jp</t>
  </si>
  <si>
    <t>株式会社LuaaZ</t>
  </si>
  <si>
    <t>稲垣　優季</t>
  </si>
  <si>
    <t>100名未満</t>
  </si>
  <si>
    <t xml:space="preserve">3月商談予定。以下問い合わせ内容：
担当者様
初めまして、株式会社NYYの江藤明子と申します。
弊社は海外企業のコンサルティングをおこなう会社です。
この度、中国四川省中初等学校管理協会関係者一行より
貴社との面談のご依頼を受け、弊社が代理でご連絡をしております。
中国四川省中初等学校環境管理協会について
https://www.scxxjjhqcy.com/xhgz/zwglxh/4966.html
四川省の義務教育について運営管理をおこなう政府直轄の協会です。
同協会は、四川省小中学生を対象にデザイン性、機能性に優れた
制服の普及を検討しており、貴社製品についてお話を
伺いたいと申しております。
つきましては、大変急なご依頼で恐縮ですが下記内容にて
ご面談のご依頼をお願い申し上げます。
日程：11月11日（月）・12日（火）
いずれかの日程で30分から1時間程度。
人数：8名
属性：中国四川省中初等学校管理協会関係者
ご不明点など何なりとお申し付けくださいませ。
ご検討のほど、よろしくお願い申し上げます。
株式会社NYY 
江藤　明子 
2024年8月16日よりオフィス移転のため
 住所及び電話番号が変更となりました。
〒100-0005 
東京都千代田区丸の内一丁目6番5号
丸の内北口ビルディング9階
TEL　03-6555-2927 
メールアドレス　etoakiko@nyy.co.jp 
HP：　https://www.nyy.co.jp </t>
    <rPh sb="1" eb="6">
      <t>ガツショウダンヨテイ</t>
    </rPh>
    <rPh sb="7" eb="9">
      <t>イカ</t>
    </rPh>
    <rPh sb="9" eb="10">
      <t>ト</t>
    </rPh>
    <rPh sb="11" eb="12">
      <t>ア</t>
    </rPh>
    <rPh sb="14" eb="16">
      <t>ナイヨウ</t>
    </rPh>
    <phoneticPr fontId="18"/>
  </si>
  <si>
    <t>etoakiko@nyy.co.jp</t>
  </si>
  <si>
    <t>株式会社NYY</t>
  </si>
  <si>
    <t>江藤明子</t>
  </si>
  <si>
    <t>sales@starlight18.jp</t>
  </si>
  <si>
    <t>株式会社Starlight</t>
  </si>
  <si>
    <t>北井　さくら</t>
  </si>
  <si>
    <t>mizuno.nursing@gmail.com</t>
  </si>
  <si>
    <t>ナーシング高等学院</t>
  </si>
  <si>
    <t>水野惠介</t>
  </si>
  <si>
    <t>e_shima@tivoli-hd.com</t>
  </si>
  <si>
    <t>株式会社ちぼりホールディングス</t>
  </si>
  <si>
    <t>コーポレートデザイン部 嶋 絵夢</t>
  </si>
  <si>
    <t>500名以上</t>
  </si>
  <si>
    <t>吹奏楽部全国強豪校。吹奏楽部のUNの依頼。以下問い合わせ内容：
お世話になっております。京都共栄学園吹奏楽部顧問の西川と申します。
本校吹奏楽部は4月から80名での活動を予定しており、再来年には120名に増員予定の吹奏楽部です。この度、演奏会用のブレザーの作成を検討しており、貴社にもご相談させていただきたくご連絡いたしました。
特に、夏にも着用できる通気性の良いブレザーを希望しております。以下の点についてお伺いできれば幸いです。
①通気性の良い素材の選定について
②サイズ展開や色、フィッティングのオプションあたりに
③価格帯や納期について
④サンプルの提供や試着の可能性
⑤左胸あたりにオリジナルワッペンを付けることができるか
お忙しいところ恐縮ですが、何卒ご確認のほどよろしくお願い申し上げます。ご返信をお待ちしております。</t>
    <rPh sb="0" eb="4">
      <t>スイソウガクブ</t>
    </rPh>
    <rPh sb="4" eb="6">
      <t>ゼンコク</t>
    </rPh>
    <rPh sb="6" eb="9">
      <t>キョウゴウコウ</t>
    </rPh>
    <rPh sb="10" eb="14">
      <t>スイソウガクブ</t>
    </rPh>
    <rPh sb="18" eb="20">
      <t>イライ</t>
    </rPh>
    <rPh sb="21" eb="23">
      <t>イカ</t>
    </rPh>
    <rPh sb="23" eb="24">
      <t>ト</t>
    </rPh>
    <rPh sb="25" eb="26">
      <t>ア</t>
    </rPh>
    <rPh sb="28" eb="30">
      <t>ナイヨウ</t>
    </rPh>
    <phoneticPr fontId="18"/>
  </si>
  <si>
    <t>y148tk@gmail.com</t>
  </si>
  <si>
    <t>筑波大学付属坂戸高校</t>
  </si>
  <si>
    <t>片野陽子</t>
  </si>
  <si>
    <t>y-nishikawa82@kyoei.ed.jp</t>
  </si>
  <si>
    <t>京都共栄学園高等学校吹奏楽部</t>
  </si>
  <si>
    <t>西川 友雅</t>
  </si>
  <si>
    <t>e324k2656r2918m3042@gmail.com</t>
  </si>
  <si>
    <t>國學院大学栃木高等学校</t>
  </si>
  <si>
    <t>塩川琥太朗</t>
  </si>
  <si>
    <t>商談済み</t>
    <rPh sb="0" eb="3">
      <t>ショウダンズ</t>
    </rPh>
    <phoneticPr fontId="18"/>
  </si>
  <si>
    <t>　・規模：
　∟全国60数校ある通信校
　∟共通制服（5000名ほど）
　　→想定予算2.5億（5万/名×5000名）
　・所在地：神戸
　・創志学園グループ
　∟クラーク国際記念高校
　・現行業者：カンコー
　・MCタイミング：令和9年（35周年）
　・提案タイミング：25年3月</t>
    <phoneticPr fontId="18"/>
  </si>
  <si>
    <t>lily_ofda@yahoo.co.jp</t>
  </si>
  <si>
    <t>西山</t>
  </si>
  <si>
    <t>藤原　せりな</t>
  </si>
  <si>
    <t>hanawa.5220@gmail.com</t>
  </si>
  <si>
    <t>八王子学園八王子高校</t>
  </si>
  <si>
    <t>高橋琉</t>
  </si>
  <si>
    <t>mtomoko0813@yahoo.co.jp</t>
  </si>
  <si>
    <t>MIHO美学院</t>
  </si>
  <si>
    <t>松本奈緒美</t>
  </si>
  <si>
    <t>制服は①機能（地球沸騰化。ゲリラ豪雨)
         2多様性（組み合わせと自主性）
　　　③価格（素材）
　　　④制服　体操服　運動部ユニフォーム　アンダーウエア　シューズ　などトータルで見る
　　　　頑張れオンワード　　　千葉黎明　理事長　西村　清</t>
    <phoneticPr fontId="18"/>
  </si>
  <si>
    <t>mini_maimai0519@icloud.com</t>
  </si>
  <si>
    <t>創価中学</t>
  </si>
  <si>
    <t>川口 優</t>
  </si>
  <si>
    <t>taniko1211@gmail.com</t>
  </si>
  <si>
    <t>成城高校</t>
  </si>
  <si>
    <t>谷本　源</t>
  </si>
  <si>
    <t>joso-bus@iaa.itkeeper.ne.jp</t>
  </si>
  <si>
    <t>常総学院バス（株）</t>
  </si>
  <si>
    <t>大久保　孝</t>
  </si>
  <si>
    <t>ohyama.yuuna.32@spec.ed.jp</t>
  </si>
  <si>
    <t>埼玉県立朝霞高等学校</t>
  </si>
  <si>
    <t>大山祐奈</t>
  </si>
  <si>
    <t>matsuda@yagi-cr.co.jp</t>
  </si>
  <si>
    <t>八木クリエイティブ</t>
  </si>
  <si>
    <t>松田豊</t>
  </si>
  <si>
    <t>s170.23047@g.ysn21.jp</t>
  </si>
  <si>
    <t>周南市立徳山高等学校</t>
  </si>
  <si>
    <t>加藤愛花</t>
  </si>
  <si>
    <t>tsukasak@hanamakihigashi-h.ed.jp</t>
  </si>
  <si>
    <t>花巻東高等学校</t>
  </si>
  <si>
    <t>教頭　木村司</t>
  </si>
  <si>
    <t>tsukasak356212006@yahoo.co.jp</t>
  </si>
  <si>
    <t>木村</t>
  </si>
  <si>
    <t>youko.kaneko@katsushika.ed.jp</t>
  </si>
  <si>
    <t>葛飾区立四ツ木中学校</t>
  </si>
  <si>
    <t>兼子　容子</t>
  </si>
  <si>
    <t>n.honda@hokkaido-c.ed.jp</t>
  </si>
  <si>
    <t>北海道新得高等支援学校</t>
  </si>
  <si>
    <t>本田　憲行</t>
  </si>
  <si>
    <t>ckitahara@seg.ac.jp</t>
  </si>
  <si>
    <t>株式会社ブルースカイ</t>
  </si>
  <si>
    <t>北原千春</t>
  </si>
  <si>
    <t>edricko@outlook.com</t>
  </si>
  <si>
    <t>健行國小</t>
  </si>
  <si>
    <t>Edric</t>
  </si>
  <si>
    <t>ban@kowairyo.co.jp</t>
  </si>
  <si>
    <t>光和衣料株式会社</t>
  </si>
  <si>
    <t>伴　英一郎</t>
  </si>
  <si>
    <t>saita@glowin-inc.jp</t>
  </si>
  <si>
    <t>株式会社グローウィン</t>
  </si>
  <si>
    <t>税田 雄介</t>
  </si>
  <si>
    <t>alimurtaza4325@gmail.com</t>
  </si>
  <si>
    <t>國學院栃木高等学校</t>
  </si>
  <si>
    <t>ファティマイーシャル</t>
  </si>
  <si>
    <t>toumeikibou@gmail.com</t>
  </si>
  <si>
    <t>桜美林高等学校</t>
  </si>
  <si>
    <t>匿名希望</t>
  </si>
  <si>
    <t>400名～500名</t>
  </si>
  <si>
    <t>minamotoone@e-mail.jp</t>
  </si>
  <si>
    <t>ミナモトONE株式会社</t>
  </si>
  <si>
    <t>董世啓</t>
  </si>
  <si>
    <t>aotomo218@gmail.com</t>
  </si>
  <si>
    <t>ありません</t>
  </si>
  <si>
    <t>青山</t>
  </si>
  <si>
    <t>shirikoukouchou@shiriuchi.jp</t>
  </si>
  <si>
    <t>北海道知内高等学校</t>
  </si>
  <si>
    <t>北川能貴</t>
  </si>
  <si>
    <t>kambe@hatanodai.bunkyo.ac.jp</t>
  </si>
  <si>
    <t>文教大学付属中学校・高等学校</t>
  </si>
  <si>
    <t>神戸　航</t>
  </si>
  <si>
    <t>200名未満</t>
  </si>
  <si>
    <t>朝比奈　りりか</t>
  </si>
  <si>
    <t>tomoyuki_nomi@nitori.jp</t>
  </si>
  <si>
    <t>株式会社ニトリ法人＆リフォーム事業部　法人事業東京</t>
  </si>
  <si>
    <t>能美　朋征</t>
  </si>
  <si>
    <t>sales@shwat.co.jp</t>
  </si>
  <si>
    <t>シュワット株式会社</t>
  </si>
  <si>
    <t>渡邉　志明</t>
  </si>
  <si>
    <t>ronbumot_eue@yahoo.co.jp</t>
  </si>
  <si>
    <t>聖和学園高等学校</t>
  </si>
  <si>
    <t>山岸　七瀬</t>
  </si>
  <si>
    <t>takahasi-y@sdg.ed.jp</t>
  </si>
  <si>
    <t>昭和第一学園高等学校</t>
  </si>
  <si>
    <t>高橋悠介</t>
  </si>
  <si>
    <t>zenshin.mero2@gmail.com</t>
  </si>
  <si>
    <t>本町子ども園</t>
  </si>
  <si>
    <t>佐々木</t>
  </si>
  <si>
    <t>藤原 せりな</t>
  </si>
  <si>
    <t>yamaguchi@amsy.jp</t>
  </si>
  <si>
    <t>株式会社AMSY.</t>
  </si>
  <si>
    <t>山口 純子</t>
  </si>
  <si>
    <t>sugako1858@g.kochinet.ed.jp</t>
  </si>
  <si>
    <t>高知県香美市立香北中学校</t>
  </si>
  <si>
    <t>中川寿賀子</t>
  </si>
  <si>
    <t>6/30までのデータで集計済み</t>
  </si>
  <si>
    <t>問い合わせ</t>
    <rPh sb="0" eb="1">
      <t>ト</t>
    </rPh>
    <rPh sb="2" eb="3">
      <t>ア</t>
    </rPh>
    <phoneticPr fontId="18"/>
  </si>
  <si>
    <t>WP</t>
    <phoneticPr fontId="18"/>
  </si>
  <si>
    <t>資料</t>
    <rPh sb="0" eb="2">
      <t>シリョウ</t>
    </rPh>
    <phoneticPr fontId="18"/>
  </si>
  <si>
    <t>SAL（商談したい）</t>
  </si>
  <si>
    <t>SQL（商談した、案件化した）</t>
  </si>
  <si>
    <t>受注</t>
  </si>
  <si>
    <t>tomizawa@a-seishin.ed.jp</t>
    <phoneticPr fontId="18"/>
  </si>
  <si>
    <t>誠信高等学校</t>
    <phoneticPr fontId="18"/>
  </si>
  <si>
    <t>富澤　結菜</t>
    <phoneticPr fontId="18"/>
  </si>
  <si>
    <t>入力画面: SC_ご相談・お見積り依頼フォーム</t>
  </si>
  <si>
    <t>入力画面: SC_サービス資料</t>
  </si>
  <si>
    <t>y-kimura@fh.daito.ac.jp</t>
  </si>
  <si>
    <t>大東文化大学第一高等学校</t>
  </si>
  <si>
    <t>木村幸治</t>
  </si>
  <si>
    <t>r.kitagawa@nexer.co.jp</t>
  </si>
  <si>
    <t>株式会社NEXER</t>
  </si>
  <si>
    <t>北川　理沙</t>
  </si>
  <si>
    <t>k-ytk.3.nr2@ezweb.ne.jp</t>
  </si>
  <si>
    <t>國學院大學栃木高等学校</t>
  </si>
  <si>
    <t>神谷　零</t>
  </si>
  <si>
    <t>リファラル</t>
  </si>
  <si>
    <t>展示特設サイトお申込み｜学生服｜オンワードコーポレートデザイン: SC_Web展示会申し込み</t>
  </si>
  <si>
    <t>etoryo@meisei.ed.jp</t>
  </si>
  <si>
    <t>学校法人大阪明星学園</t>
  </si>
  <si>
    <t>衞藤　涼子</t>
  </si>
  <si>
    <t>オフラインソース</t>
  </si>
  <si>
    <t>cinoue@sandashosei.net</t>
  </si>
  <si>
    <t>三田松聖高等学校</t>
  </si>
  <si>
    <t>井上千早彦</t>
  </si>
  <si>
    <t>Eメールマーケティング</t>
  </si>
  <si>
    <t>事前取組、キックオフMTG済</t>
  </si>
  <si>
    <t>nana81go@gmail.com</t>
  </si>
  <si>
    <t>NEWNEED</t>
  </si>
  <si>
    <t>KIM JIWON</t>
  </si>
  <si>
    <t>saihen@town.ranzan.saitama.jp</t>
  </si>
  <si>
    <t>埼玉県比企郡嵐山町教育委員会</t>
  </si>
  <si>
    <t>吉野祐介</t>
  </si>
  <si>
    <t>オーガニック検索</t>
  </si>
  <si>
    <t>a.nitta@nexer.co.jp</t>
  </si>
  <si>
    <t>新田 あかね</t>
  </si>
  <si>
    <t>直接トラフィック</t>
  </si>
  <si>
    <t>t-sawarame@ringue.co.jp</t>
  </si>
  <si>
    <t>株式会社RINGUEデザイン事務所</t>
  </si>
  <si>
    <t>鰆目貴支</t>
  </si>
  <si>
    <t>akira.ishida@rejoy.jp</t>
  </si>
  <si>
    <t>株式会社リージョイ</t>
  </si>
  <si>
    <t>石田　旭</t>
  </si>
  <si>
    <t>（値なし）</t>
  </si>
  <si>
    <t>他のキャンペーン</t>
  </si>
  <si>
    <t>k_aoki@studiomajor.co.jp</t>
  </si>
  <si>
    <t>株式会社MAJOR</t>
  </si>
  <si>
    <t>青木奏湖</t>
  </si>
  <si>
    <t>yanagiyukiko9614@gmail.com</t>
  </si>
  <si>
    <t>学校法人　牛田学園</t>
  </si>
  <si>
    <t>柳　由紀子</t>
  </si>
  <si>
    <t>miyo.precieuxkd@gmail.com</t>
  </si>
  <si>
    <t>足立学園</t>
  </si>
  <si>
    <t>内山</t>
  </si>
  <si>
    <t>300名未満</t>
  </si>
  <si>
    <t>strawberry.anzu0120@gmail.com</t>
  </si>
  <si>
    <t>帝塚山学院泉が丘高校</t>
  </si>
  <si>
    <t>川口杏花</t>
  </si>
  <si>
    <t>sfam.yyjca.444.0701@icloud.com</t>
  </si>
  <si>
    <t>学校法人聖和学園</t>
  </si>
  <si>
    <t>澤田 優</t>
  </si>
  <si>
    <t>toko_loveshiro@yahoo.co.jp</t>
  </si>
  <si>
    <t>國學院高校</t>
  </si>
  <si>
    <t>庄司悠真</t>
  </si>
  <si>
    <t>h.shirai@nexer.co.jp</t>
  </si>
  <si>
    <t>白井 ほのか</t>
  </si>
  <si>
    <t>リファーラル</t>
  </si>
  <si>
    <t>ishichie154@yahoo.co.jp</t>
  </si>
  <si>
    <t>学校法人上野学園</t>
  </si>
  <si>
    <t>宮野陽光</t>
  </si>
  <si>
    <t>hirokiasami123@gmail.com</t>
  </si>
  <si>
    <t>渋谷教育学園幕張中学校</t>
  </si>
  <si>
    <t>小野麻実</t>
  </si>
  <si>
    <t>oustim.okaya@docomo.ne.jp</t>
  </si>
  <si>
    <t>石橋輝万</t>
  </si>
  <si>
    <t>Input screen: SC_お役立ち資料</t>
  </si>
  <si>
    <t>sofuswenoee@gmail.com</t>
  </si>
  <si>
    <t>Sofus Wenoee</t>
  </si>
  <si>
    <t>入力画面: SC_お役立ち資料</t>
  </si>
  <si>
    <t>stu@ube-k.ac.jp</t>
  </si>
  <si>
    <t>宇部工業高等専門学校</t>
  </si>
  <si>
    <t>小林　澄枝</t>
  </si>
  <si>
    <t>tajima_teacher@seiran.ac.jp</t>
  </si>
  <si>
    <t>学校法人生蘭学園　生蘭高等専修学校</t>
  </si>
  <si>
    <t>田島　寛徳</t>
  </si>
  <si>
    <t>63734hoshi@gmail.com</t>
  </si>
  <si>
    <t>大阪府立成城高等学校ＰＴＡ</t>
  </si>
  <si>
    <t>星川　幸恵</t>
  </si>
  <si>
    <t>a.a8ring@gmail.com</t>
  </si>
  <si>
    <t>中村　碧</t>
  </si>
  <si>
    <t>hirotaka.0703.judo@gmail.com</t>
  </si>
  <si>
    <t>学校法人足立学園</t>
  </si>
  <si>
    <t>岩永豊啓</t>
  </si>
  <si>
    <t>tsukamoto@ivycs.co.jp</t>
  </si>
  <si>
    <t>株式会社　アイビー・シー・エス</t>
  </si>
  <si>
    <t>塚本 万由子</t>
  </si>
  <si>
    <t>yuto_nakanishi@garb.gr.jp</t>
  </si>
  <si>
    <t>株式会社ガーブ・ジャパン</t>
  </si>
  <si>
    <t>中西勇人</t>
  </si>
  <si>
    <t>tokyoy883846@gmail.com</t>
  </si>
  <si>
    <t>タッチアップ</t>
  </si>
  <si>
    <t>三木博之</t>
  </si>
  <si>
    <t>6400479@g.tokyo.soka.ed.jp</t>
  </si>
  <si>
    <t>創価中学校</t>
  </si>
  <si>
    <t>田中秀幸</t>
  </si>
  <si>
    <t>★以下引きあがり情報未確認　6/30までCV追加済み</t>
  </si>
  <si>
    <t>ms5761sm@gmail.com</t>
  </si>
  <si>
    <t>八王子学園八王子高等学校</t>
  </si>
  <si>
    <t>キムラ　ミノリ</t>
  </si>
  <si>
    <t>ifukiaoi@gmail.com</t>
  </si>
  <si>
    <t>学校法人同志社</t>
  </si>
  <si>
    <t>山本葵</t>
  </si>
  <si>
    <t>案件: 案件名</t>
  </si>
  <si>
    <t>案件: レコードタイプ</t>
  </si>
  <si>
    <t>得意先</t>
  </si>
  <si>
    <t>案件: 作成日</t>
  </si>
  <si>
    <t>ファンケル【通販】2025年3月ご愛顧</t>
  </si>
  <si>
    <t>05.IS</t>
  </si>
  <si>
    <t>株式会社ファンケル</t>
  </si>
  <si>
    <t>よこしん年金プレゼント2025年度</t>
  </si>
  <si>
    <t>横浜信用金庫</t>
  </si>
  <si>
    <t>【ACRO】THREE24年冬GWP</t>
  </si>
  <si>
    <t>株式会社ACRO</t>
  </si>
  <si>
    <t>【天一食品商事】　2024年　スタンプカードキャンペーン</t>
  </si>
  <si>
    <t>株式会社天一食品商事</t>
  </si>
  <si>
    <t>【池田泉州銀行】2024冬キャンペーン</t>
  </si>
  <si>
    <t>株式会社池田泉州銀行</t>
  </si>
  <si>
    <t>文明堂東京2025MC</t>
  </si>
  <si>
    <t>01.企業UN</t>
  </si>
  <si>
    <t>株式会社文明堂東京</t>
  </si>
  <si>
    <t>【ジャストシステム】（国内）定番タブレットカバー</t>
  </si>
  <si>
    <t>株式会社ジャストシステム</t>
  </si>
  <si>
    <t>ウジエスーパー</t>
  </si>
  <si>
    <t>株式会社ウジエスーパー</t>
  </si>
  <si>
    <t>制服切替</t>
  </si>
  <si>
    <t>04.スクール</t>
  </si>
  <si>
    <t>学校法人育成学園</t>
  </si>
  <si>
    <t>【王将フードサービス】25年度お客様感謝CP</t>
  </si>
  <si>
    <t>株式会社王将フードサービス</t>
  </si>
  <si>
    <t>【ブロンコビリー】2025年冬福袋</t>
  </si>
  <si>
    <t>株式会社ブロンコビリー</t>
  </si>
  <si>
    <t>【SBJ】FY25HolidayＴシャツ</t>
  </si>
  <si>
    <t>スターバックスコーヒージャパン株式会社</t>
  </si>
  <si>
    <t>【POLA】グランラグゼ 風呂敷バッグ</t>
  </si>
  <si>
    <t>株式会社ポーラ</t>
  </si>
  <si>
    <t>【エランコジャパン】2025年　処方サポートグッズ</t>
  </si>
  <si>
    <t>エランコジャパン株式会社</t>
  </si>
  <si>
    <t>桐光学園スクールバッグ</t>
  </si>
  <si>
    <t>桐光学園中学校・高等学校</t>
  </si>
  <si>
    <t>【ココス】2025年冬福袋</t>
  </si>
  <si>
    <t>株式会社ココスジャパン</t>
  </si>
  <si>
    <t>JAあさか野ジュエリー展示会</t>
  </si>
  <si>
    <t>06.TS_JA</t>
  </si>
  <si>
    <t>あさか野農業協同組合</t>
  </si>
  <si>
    <t>JAふかやジュエリー展示会</t>
  </si>
  <si>
    <t>ふかや農業協同組合</t>
  </si>
  <si>
    <t>コープ魚沼ジュエリー展示会</t>
  </si>
  <si>
    <t>株式会社コープ魚沼</t>
  </si>
  <si>
    <t>JAさいたま南部メンズ展示会</t>
  </si>
  <si>
    <t>さいたま農業協同組合</t>
  </si>
  <si>
    <t>JAさいたま中部メンズ展示会</t>
  </si>
  <si>
    <t>炭平コーポレーション　東京支店メンズ展示会</t>
  </si>
  <si>
    <t>07.TS_TS</t>
  </si>
  <si>
    <t>炭平コーポレーション株式会社</t>
  </si>
  <si>
    <t>JAさいたま北部メンズ展示会</t>
  </si>
  <si>
    <t>土田商店メンズ展示会</t>
  </si>
  <si>
    <t>株式会社土田商店</t>
  </si>
  <si>
    <t>ふたばメンズ展示会</t>
  </si>
  <si>
    <t>株式会社ふたば</t>
  </si>
  <si>
    <t>【大戸屋】25年冬福袋</t>
  </si>
  <si>
    <t>株式会社大戸屋</t>
  </si>
  <si>
    <t>【物語コーポレーション】キッズ向けカード</t>
  </si>
  <si>
    <t>株式会社物語コーポレーション</t>
  </si>
  <si>
    <t>【セブン＆アイフードシステムズ】Denny'sリブランディング(メニュー)</t>
  </si>
  <si>
    <t>株式会社セブン&amp;アイ・フードシステムズ</t>
  </si>
  <si>
    <t>【日立Astemo】全世界UNモデルチェンジ</t>
  </si>
  <si>
    <t>日立Astemo株式会社</t>
  </si>
  <si>
    <t>K511リフレッシュルーム</t>
  </si>
  <si>
    <t>三菱電機株式会社</t>
  </si>
  <si>
    <t>テスト</t>
  </si>
  <si>
    <t>09. TS_社販</t>
  </si>
  <si>
    <t>thomas株式会社</t>
  </si>
  <si>
    <t>【エームサービス】管理栄養士/SV/NSSVユニフォーム刷新</t>
  </si>
  <si>
    <t>エームサービス株式会社</t>
  </si>
  <si>
    <t>赤穂オフィス改修</t>
  </si>
  <si>
    <t>2025MC</t>
  </si>
  <si>
    <t>KDDI株式会社</t>
  </si>
  <si>
    <t>【早稲田アカデミー】2024年度　2025年入塾記念品</t>
  </si>
  <si>
    <t>株式会社早稲田アカデミー</t>
  </si>
  <si>
    <t>【日本ケロッグ】2025シリアルフェス</t>
  </si>
  <si>
    <t>日本ケロッグ合同会社</t>
  </si>
  <si>
    <t>AIVAR</t>
  </si>
  <si>
    <t>2025/2着用開始 新店舗UN</t>
  </si>
  <si>
    <t>株式会社ヨークベニマル</t>
  </si>
  <si>
    <t>【大戸屋】福袋</t>
  </si>
  <si>
    <t>創価小学校</t>
  </si>
  <si>
    <t>学校法人創価学園</t>
  </si>
  <si>
    <t>【エスケー化研】2024年エスケープレミアムキャンペーン</t>
  </si>
  <si>
    <t>エスケー化研株式会社</t>
  </si>
  <si>
    <t>アユーラ2025年3末MC案件</t>
  </si>
  <si>
    <t>株式会社アインファーマシーズ</t>
  </si>
  <si>
    <t>【ハーバー研究所】2025年3月＆5月キャンペーン</t>
  </si>
  <si>
    <t>株式会社ハーバー研究所</t>
  </si>
  <si>
    <t>八王子学園八王子中学校・高等学校</t>
  </si>
  <si>
    <t>ヤクルト90周年記念品</t>
  </si>
  <si>
    <t>株式会社ヤクルト本社</t>
  </si>
  <si>
    <t>2026年春キャンペーン施策向けノベルティ提案</t>
  </si>
  <si>
    <t>【ドトールコーヒー】2025年　初荷（福袋）</t>
  </si>
  <si>
    <t>株式会社ドトールコーヒー</t>
  </si>
  <si>
    <t>テスト2</t>
  </si>
  <si>
    <t>提案</t>
  </si>
  <si>
    <t>HITOWAフードサービス株式会社</t>
  </si>
  <si>
    <t>2026年1月MC　RMK</t>
  </si>
  <si>
    <t>株式会社エキップ</t>
  </si>
  <si>
    <t>2026年1月MC　SUQQU</t>
  </si>
  <si>
    <t>2027年3月MC　CPB</t>
  </si>
  <si>
    <t>株式会社資生堂</t>
  </si>
  <si>
    <t>花王　工場作業服</t>
  </si>
  <si>
    <t>花王株式会社</t>
  </si>
  <si>
    <t>【横浜マリノス】2025年度ファンクラブ入会特典</t>
  </si>
  <si>
    <t>横浜マリノス株式会社</t>
  </si>
  <si>
    <t>【川崎フロンターレ】2025年度ファンクラブ入会特典</t>
  </si>
  <si>
    <t>株式会社川崎フロンターレ</t>
  </si>
  <si>
    <t>テスト３</t>
  </si>
  <si>
    <t>【東海マツダ】2024年　ポロシャツ</t>
  </si>
  <si>
    <t>東海マツダ販売株式会社</t>
  </si>
  <si>
    <t>2025年度更新ユニフォーム</t>
  </si>
  <si>
    <t>大井川農業協同組合</t>
  </si>
  <si>
    <t>【zoff 】新店オープンノベルティ</t>
  </si>
  <si>
    <t>株式会社インターメスティック</t>
  </si>
  <si>
    <t>【La Ohana】　2024年秋CP</t>
  </si>
  <si>
    <t>株式会社すかいらーくホールディングス</t>
  </si>
  <si>
    <t>女子パンツスーツ</t>
  </si>
  <si>
    <t>筑紫女学園高等学校</t>
  </si>
  <si>
    <t>西日本高速道路メンテナンス関西〈作業服〉</t>
  </si>
  <si>
    <t>西日本高速道路メンテナンス関西株式会社</t>
  </si>
  <si>
    <t>【シャトレーゼ】25年度バレンタインバッグ</t>
  </si>
  <si>
    <t>株式会社シャトレーゼ</t>
  </si>
  <si>
    <t>【日本ピザハット】ピザハットテイクアウトバッグ</t>
  </si>
  <si>
    <t>日本ピザハット株式会社</t>
  </si>
  <si>
    <t>【ACRO】THREE資材（フレグランス、キット）</t>
  </si>
  <si>
    <t>【三井住友トラストクラブ】ダイナース25年BDギフト</t>
  </si>
  <si>
    <t>三井住友トラストクラブ株式会社</t>
  </si>
  <si>
    <t>【ファンケル店舗】2025年店舗6月金額縛り</t>
  </si>
  <si>
    <t>【サッポロビール】2024年ヱビスビールジャンパー</t>
  </si>
  <si>
    <t>サッポロビール株式会社</t>
  </si>
  <si>
    <t>【リーガル】2024テディベア</t>
  </si>
  <si>
    <t>株式会社リーガルコーポレーション</t>
  </si>
  <si>
    <t>K&amp;Oエナジー25年</t>
  </si>
  <si>
    <t>K&amp;Oエナジーグループ株式会社</t>
  </si>
  <si>
    <t>オルビス店舗制服リニューアル</t>
  </si>
  <si>
    <t>オルビス株式会社</t>
  </si>
  <si>
    <t>ナースステージ　新型（プルオーバー）</t>
  </si>
  <si>
    <t>03.メディカル_別注</t>
  </si>
  <si>
    <t>株式会社ナースステージ</t>
  </si>
  <si>
    <t>テスト４</t>
  </si>
  <si>
    <t>02.メディカル_カタログ</t>
  </si>
  <si>
    <t>店舗ユニフォーム更新　日産レンタカー</t>
  </si>
  <si>
    <t>株式会社日産カーレンタルソリューション</t>
  </si>
  <si>
    <t>【なか卯】2025年冬福袋</t>
  </si>
  <si>
    <t>株式会社ゼンショーファストホールディングス</t>
  </si>
  <si>
    <t>【ジョナサン】　2025冬福袋</t>
  </si>
  <si>
    <t>【SBJ】FY25カスタマイズジャーニーセット</t>
  </si>
  <si>
    <t>【NEWART】銀座ダイヤモンドシライシ　ご来店（＆ご成約特典）</t>
  </si>
  <si>
    <t>株式会社ＮＥＷＡＲＴＨＯＬＤＩＮＧＳ</t>
  </si>
  <si>
    <t>TOHOシネマズ　2025MC</t>
  </si>
  <si>
    <t>TOHOシネマズ株式会社</t>
  </si>
  <si>
    <t>【セレッソ大阪】2025年FC特典</t>
  </si>
  <si>
    <t>株式会社セレッソ大阪</t>
  </si>
  <si>
    <t>【名古屋グランパス】2025FC特典</t>
  </si>
  <si>
    <t>株式会社名古屋グランパスエイト</t>
  </si>
  <si>
    <t>【アテニア】2025年夏キャンペーン</t>
  </si>
  <si>
    <t>株式会社アテニア</t>
  </si>
  <si>
    <t>【むさしの森珈琲】　2025冬福袋</t>
  </si>
  <si>
    <t>【La Ohana】　2025年冬福袋</t>
  </si>
  <si>
    <t>【アトム】2025年度　ステーキ宮の福袋</t>
  </si>
  <si>
    <t>株式会社アトム</t>
  </si>
  <si>
    <t>【千趣会】2025年度　ちょこちょこ販売商品</t>
  </si>
  <si>
    <t>株式会社千趣会</t>
  </si>
  <si>
    <t>【八天堂】2025年度　セット販売バッグ</t>
  </si>
  <si>
    <t>株式会社八天堂</t>
  </si>
  <si>
    <t>【日本生命】2026年展開タブレットケース</t>
  </si>
  <si>
    <t>日本生命保険相互会社</t>
  </si>
  <si>
    <t>【エム・シィオー】2025年　お歳暮ギフト</t>
  </si>
  <si>
    <t>株式会社エム・シィオー</t>
  </si>
  <si>
    <t>2025年度　処方サポートグッズ</t>
  </si>
  <si>
    <t>ベーリンガーインゲルハイムアニマルヘルスジャパン式会社</t>
  </si>
  <si>
    <t>祐誠高校　モデルチェンジ</t>
  </si>
  <si>
    <t>学校法人久留米工業大学　祐誠高等学校</t>
  </si>
  <si>
    <t>【キャメル珈琲】2025年度　レモンサワー用保冷バッグ</t>
  </si>
  <si>
    <t>株式会社キャメル珈琲</t>
  </si>
  <si>
    <t>【四谷大塚】2024年通塾バッグ</t>
  </si>
  <si>
    <t>株式会社四谷大塚</t>
  </si>
  <si>
    <t>丸広百貨店2026食品女性制服MC</t>
  </si>
  <si>
    <t>株式会社丸広百貨店</t>
  </si>
  <si>
    <t>ドトール社員エンゲージメントアップ提案</t>
  </si>
  <si>
    <t>【横浜ゴム】　2025年　冬ジャンパー</t>
  </si>
  <si>
    <t>横浜ゴム株式会社</t>
  </si>
  <si>
    <t>【日本ケロッグ】2024年　シリアルフェス</t>
  </si>
  <si>
    <t>【再春館製薬所】2025年　ドモホルンリンクル購入特典（基本４点セット３日分プレゼント）　50th限定企画</t>
  </si>
  <si>
    <t>株式会社再春館製薬所</t>
  </si>
  <si>
    <t>【星和ビジネスリンク】損保キャンペーン2024年度第Ⅲ期</t>
  </si>
  <si>
    <t>株式会社星和ビジネスリンク</t>
  </si>
  <si>
    <t>ジュエリー展</t>
  </si>
  <si>
    <t>埼玉中央農業協同組合</t>
  </si>
  <si>
    <t>男性POスーツ制服、女性制服、作業服</t>
  </si>
  <si>
    <t>08.TS_UN</t>
  </si>
  <si>
    <t>献血参加　促進施策</t>
  </si>
  <si>
    <t>株式会社日赤サービス</t>
  </si>
  <si>
    <t>【JNTL】2024年度 25年CL1月号</t>
  </si>
  <si>
    <t>JNTLコンシューマーヘルス株式会社</t>
  </si>
  <si>
    <t>男性POスーツ制服</t>
  </si>
  <si>
    <t>ほくさい農業協同組合</t>
  </si>
  <si>
    <t>ちちぶ農業協同組合</t>
  </si>
  <si>
    <t>越谷市農業協同組合</t>
  </si>
  <si>
    <t>埼玉みずほ農業協同組合</t>
  </si>
  <si>
    <t>紳士服採寸会</t>
  </si>
  <si>
    <t>【ディーエイチシー】2025年11月通販施策</t>
  </si>
  <si>
    <t>株式会社ディーエイチシー</t>
  </si>
  <si>
    <t>【エム・シィオー】2025年　12月コンサートグッズ</t>
  </si>
  <si>
    <t>2重作成</t>
  </si>
  <si>
    <t>鍋小屋　おちょこ＆空間提案</t>
  </si>
  <si>
    <t>株式会社横浜赤レンガ</t>
  </si>
  <si>
    <t>【楽天】UNリニューアル</t>
  </si>
  <si>
    <t>楽天トータルソリューションズ株式会社</t>
  </si>
  <si>
    <t>【サクラクレパス】水彩画セット</t>
  </si>
  <si>
    <t>株式会社サクラクレパス</t>
  </si>
  <si>
    <t>【ジョリーパスタ】2025年　夏福袋</t>
  </si>
  <si>
    <t>株式会社ジョリーパスタ</t>
  </si>
  <si>
    <t>【阪神タイガース】2025年TORACO</t>
  </si>
  <si>
    <t>株式会社阪神タイガース</t>
  </si>
  <si>
    <t>【Zoetis Japan】2025年度　処方サポートグッズ</t>
  </si>
  <si>
    <t>ゾエティス・ジャパン株式会社</t>
  </si>
  <si>
    <t>多摩運送2029年80周年MC</t>
  </si>
  <si>
    <t>多摩運送株式会社</t>
  </si>
  <si>
    <t>【ぺんてる】2025年度　画材セット</t>
  </si>
  <si>
    <t>ぺんてる株式会社</t>
  </si>
  <si>
    <t>【シャトレーゼ】25年さくらバッグ</t>
  </si>
  <si>
    <t>【シャトレーゼ】入学式向けランドセルバッグ</t>
  </si>
  <si>
    <t>【吉野家】牛ポ　パワスピ</t>
  </si>
  <si>
    <t>株式会社吉野家ホールディングス</t>
  </si>
  <si>
    <t>株式会社やまびこ</t>
  </si>
  <si>
    <t>2025MC JR東日本メッツホテル</t>
  </si>
  <si>
    <t>日本ホテル株式会社</t>
  </si>
  <si>
    <t>2026MC 相鉄フレッサイン</t>
  </si>
  <si>
    <t>株式会社相鉄ホテルマネジメント</t>
  </si>
  <si>
    <t>2025MC  DHC</t>
  </si>
  <si>
    <t>タカミヤ</t>
  </si>
  <si>
    <t>株式会社タカミヤ</t>
  </si>
  <si>
    <t>【ファンケル通販】2025年7月11月ご愛顧CP</t>
  </si>
  <si>
    <t>【ファンケル通販】2025年5月新基礎発売CP</t>
  </si>
  <si>
    <t>【SUBARU】2025年初売フェア</t>
  </si>
  <si>
    <t>株式会社SUBARU</t>
  </si>
  <si>
    <t>獨協自習室空間デザイン</t>
  </si>
  <si>
    <t>学校法人獨協学園獨協中学校・獨協高等学校</t>
  </si>
  <si>
    <t>獨協ポロシャツ</t>
  </si>
  <si>
    <t>芝制服</t>
  </si>
  <si>
    <t>芝高等学校</t>
  </si>
  <si>
    <t>横須賀制服</t>
  </si>
  <si>
    <t>横須賀学院中学校高等学校</t>
  </si>
  <si>
    <t>【ダンロップタイヤ】2024大谷翔平タオル</t>
  </si>
  <si>
    <t>株式会社ダンロップタイヤ</t>
  </si>
  <si>
    <t>三協立山　関東支店　CPジャンパー</t>
  </si>
  <si>
    <t>三協立山株式会社</t>
  </si>
  <si>
    <t>【ディーエイチシー】2025年　全会員向け施策</t>
  </si>
  <si>
    <t>【福岡ソフトバンクホークス】お父さんケーブルバイト</t>
  </si>
  <si>
    <t>福岡ソフトバンクホークス株式会社</t>
  </si>
  <si>
    <t>【JNTL】2024年度 25年CL2.3月号</t>
  </si>
  <si>
    <t>持田製薬工場女性半袖作業服引き合い</t>
  </si>
  <si>
    <t>持田製薬工場株式会社</t>
  </si>
  <si>
    <t>【パルシステム生活協同組合連合会】2025年度ノベルティ</t>
  </si>
  <si>
    <t>パルシステム生活協同組合連合会</t>
  </si>
  <si>
    <t>JAふかや女子制服</t>
  </si>
  <si>
    <t>2025年ファンクラブ入会特典品</t>
  </si>
  <si>
    <t>株式会社広島東洋カープ</t>
  </si>
  <si>
    <t>【ライフ】PB　販売品</t>
  </si>
  <si>
    <t>株式会社ライフコーポレーション</t>
  </si>
  <si>
    <t>【紀伊国屋書店】ヨシタケシンスケコラボグッズ</t>
  </si>
  <si>
    <t>株式会社紀伊國屋書店</t>
  </si>
  <si>
    <t>【第一三共ヘルスケア】2024　ブライトエイジ継続特典</t>
  </si>
  <si>
    <t>第一三共ヘルスケアダイレクト株式会社</t>
  </si>
  <si>
    <t>【本田技研工業】2024　ユニフォームアップサイクル</t>
  </si>
  <si>
    <t>本田技研工業株式会社</t>
  </si>
  <si>
    <t>【ACRO】2025年度 THREE25年夏GWP</t>
  </si>
  <si>
    <t>【シャトレーゼ】25年母の日バッグ</t>
  </si>
  <si>
    <t>【TBC】VIP会員向け企画</t>
  </si>
  <si>
    <t>TBC グループ株式会社</t>
  </si>
  <si>
    <t>【夢庵・藍屋】2025食事キャンペーン</t>
  </si>
  <si>
    <t>【DBC】10周年ジャンパー</t>
  </si>
  <si>
    <t>株式会社ダイハツビジネスサポートセンター</t>
  </si>
  <si>
    <t>【ヤンマーマルシェ】2025年　3から5月</t>
  </si>
  <si>
    <t>ヤンマーマルシェ株式会社</t>
  </si>
  <si>
    <t>【キリンビバレッジ】東北エリア　記念ジャンバー</t>
  </si>
  <si>
    <t>キリンビバレッジ株式会社</t>
  </si>
  <si>
    <t>【やずや】還元祭</t>
  </si>
  <si>
    <t>株式会社やずや</t>
  </si>
  <si>
    <t>【えがお】2025バースデー</t>
  </si>
  <si>
    <t>株式会社えがお</t>
  </si>
  <si>
    <t>2025年サマーバッグ</t>
  </si>
  <si>
    <t>株式会社コメダ</t>
  </si>
  <si>
    <t>【ACRO】2024年度 NewYearGWP</t>
  </si>
  <si>
    <t>【日本生命】2025タブレットケース</t>
  </si>
  <si>
    <t>ユニフォームモデルチェンジ</t>
  </si>
  <si>
    <t>株式会社日立インダストリアルプロダクツ</t>
  </si>
  <si>
    <t>店舗リブランディング提案</t>
  </si>
  <si>
    <t>【東邦ガス】2025ガス展販促、会員特典</t>
  </si>
  <si>
    <t>東邦ガスライフソリューションズ株式会社</t>
  </si>
  <si>
    <t>2025年　大阪万博エコバッグ</t>
  </si>
  <si>
    <t>大塚製薬株式会社</t>
  </si>
  <si>
    <t>【大塚製薬】2026年　インナーシグナル　バースデーギフト</t>
  </si>
  <si>
    <t>2025年　ノベルティ</t>
  </si>
  <si>
    <t>日野自動車株式会社</t>
  </si>
  <si>
    <t>来場・試乗査定記念品</t>
  </si>
  <si>
    <t>フォルクスワーゲングループジャパン株式会社</t>
  </si>
  <si>
    <t>アスリートウェア　リニューアル</t>
  </si>
  <si>
    <t>セントラルスポーツ株式会社</t>
  </si>
  <si>
    <t>中華祭り2025</t>
  </si>
  <si>
    <t>株式会社SLCreations</t>
  </si>
  <si>
    <t>クリスマスフェア2025</t>
  </si>
  <si>
    <t>26年6月MC案件</t>
  </si>
  <si>
    <t>株式会社アコモデーションファースト</t>
  </si>
  <si>
    <t>【TOTO】2025年施工店向け夏ノベルティ</t>
  </si>
  <si>
    <t>TOTO株式会社</t>
  </si>
  <si>
    <t>蓮屋珈琲OPEN記念品</t>
  </si>
  <si>
    <t>25年夏福袋</t>
  </si>
  <si>
    <t>株式会社はま寿司</t>
  </si>
  <si>
    <t>【リーガル】　2025春キャンペーン</t>
  </si>
  <si>
    <t>【ディーエイチシー】2025　化粧品限定ポーチ施策_３月</t>
  </si>
  <si>
    <t>551蓬莱</t>
  </si>
  <si>
    <t>株式会社蓬莱</t>
  </si>
  <si>
    <t>ダイキン工業〈秘書制服〉</t>
  </si>
  <si>
    <t>ダイキン工業株式会社</t>
  </si>
  <si>
    <t>大鉄工業〈作業服〉</t>
  </si>
  <si>
    <t>大鉄工業株式会社</t>
  </si>
  <si>
    <t>アルビオン；24AWカットソー</t>
  </si>
  <si>
    <t>株式会社アルビオン</t>
  </si>
  <si>
    <t>積水樹脂〈作業服〉</t>
  </si>
  <si>
    <t>積水樹脂株式会社</t>
  </si>
  <si>
    <t>第一三共　グループ統一UN</t>
  </si>
  <si>
    <t>第一三共株式会社</t>
  </si>
  <si>
    <t>【ECC】2025紹介キャンペーン</t>
  </si>
  <si>
    <t>株式会社スタジオ・エフ</t>
  </si>
  <si>
    <t>25年バースデーDMプレゼント</t>
  </si>
  <si>
    <t>株式会社鎌倉パスタ</t>
  </si>
  <si>
    <t>【日本生命】2024年第2期FCアカデミー</t>
  </si>
  <si>
    <t>【パーソルテンプスタッフ】テンプの日ギフト</t>
  </si>
  <si>
    <t>パーソルテンプスタッフ株式会社</t>
  </si>
  <si>
    <t>【関東マツダ】2025年　福袋</t>
  </si>
  <si>
    <t>株式会社関東マツダ</t>
  </si>
  <si>
    <t>中部国際空港旅客サービス；接客ユニフォーム</t>
  </si>
  <si>
    <t>中部国際空港旅客サービス株式会社</t>
  </si>
  <si>
    <t>矢崎総業グループ統一UN</t>
  </si>
  <si>
    <t>矢崎総業株式会社</t>
  </si>
  <si>
    <t>リケングループ統一UN</t>
  </si>
  <si>
    <t>株式会社リケン</t>
  </si>
  <si>
    <t>ハチバン；店舗ユニフォーム（60周年）</t>
  </si>
  <si>
    <t>株式会社ハチバン</t>
  </si>
  <si>
    <t>アルビオン：AL26SS制服</t>
  </si>
  <si>
    <t>新店舗ユニフォーム</t>
  </si>
  <si>
    <t>上組</t>
  </si>
  <si>
    <t>株式会社上組</t>
  </si>
  <si>
    <t>作業服モデルチェンジ</t>
  </si>
  <si>
    <t>関西電力送配電株式会社</t>
  </si>
  <si>
    <t>住友電気工業〈作業服〉</t>
  </si>
  <si>
    <t>住友電気工業株式会社</t>
  </si>
  <si>
    <t>おおさかパルコープ〈配送UN〉</t>
  </si>
  <si>
    <t>生活協同組合おおさかパルコープ</t>
  </si>
  <si>
    <t>【SUBARU】2024　成約プレミア</t>
  </si>
  <si>
    <t>【エランコジャパン】2025年　看護師向けノベルティ</t>
  </si>
  <si>
    <t>MEBS25年3月～MC</t>
  </si>
  <si>
    <t>三菱電機ビルソリューションズ株式会社</t>
  </si>
  <si>
    <t>【三井住友トラストクラブ】2025年度 ダイナース銀座プレミアムラウンジ_ドリンクカウンター</t>
  </si>
  <si>
    <t>男女統合パンツマイナーチェンジ</t>
  </si>
  <si>
    <t>社会福祉法人三篠会特別養護老人ホーム介護老人保健施設ひうな荘</t>
  </si>
  <si>
    <t>【フェリシモ】もしもしもきほんのき追加</t>
  </si>
  <si>
    <t>株式会社フェリシモ</t>
  </si>
  <si>
    <t>佐世保共済病院MC</t>
  </si>
  <si>
    <t>佐世保共済病院</t>
  </si>
  <si>
    <t>【むさしの森珈琲】2025春福袋</t>
  </si>
  <si>
    <t>【花王】メリーズ2025フロッキー人形＆ブランケット</t>
  </si>
  <si>
    <t>アプリポイント交換グッズ</t>
  </si>
  <si>
    <t>【JNTL】2025年度 25年CL4,5月号</t>
  </si>
  <si>
    <t>【ファーマフーズ】GWP企画</t>
  </si>
  <si>
    <t>株式会社ファーマフーズ</t>
  </si>
  <si>
    <t>【フェリシモ】2025もしもしも　車防災</t>
  </si>
  <si>
    <t>牟田病院MC</t>
  </si>
  <si>
    <t>誠和会　牟田病院</t>
  </si>
  <si>
    <t>油山病院MC</t>
  </si>
  <si>
    <t>油山病院</t>
  </si>
  <si>
    <t>中国電力〈防寒着/雨衣〉</t>
  </si>
  <si>
    <t>中国電力株式会社</t>
  </si>
  <si>
    <t>【日清食品チルド】2024年_べた付け用保冷バッグ</t>
  </si>
  <si>
    <t>日清食品チルド株式会社</t>
  </si>
  <si>
    <t>【ディーエイチシー】2025年2月化粧品施策_ヘアケア</t>
  </si>
  <si>
    <t>【ココス】2025年夏福袋</t>
  </si>
  <si>
    <t>【施工管理】24年12月末MC</t>
  </si>
  <si>
    <t>住友林業ホームエンジニアリング株式会社</t>
  </si>
  <si>
    <t>【アワーズ】アドベンチャーワールド2025年福袋</t>
  </si>
  <si>
    <t>株式会社アワーズ</t>
  </si>
  <si>
    <t>インナーシグナル・サクラエ　ブルゾン</t>
  </si>
  <si>
    <t>中華祭り、クリスマス購入特典</t>
  </si>
  <si>
    <t>2026年　SMILEBOX【福袋】</t>
  </si>
  <si>
    <t>株式会社すき家</t>
  </si>
  <si>
    <t>【キャメル珈琲】2025年 夏のコーヒーバッグ</t>
  </si>
  <si>
    <t>【キャメル珈琲】2025年 レモンバッグ</t>
  </si>
  <si>
    <t>【キャメル珈琲】2025年 スパイスバッグ</t>
  </si>
  <si>
    <t>【日清食品】阪神タイガース応援CP2024</t>
  </si>
  <si>
    <t>日清食品株式会社</t>
  </si>
  <si>
    <t>【POLA】BA2024年6月キャンペーン</t>
  </si>
  <si>
    <t>【JNTL】2024年度 24年CL5,6月号</t>
  </si>
  <si>
    <t>【SBJ】FY24　SUMMER２　Promotion サステナ雑貨</t>
  </si>
  <si>
    <t>【SBJ】SUMMER　Promotion　Tシャツ</t>
  </si>
  <si>
    <t>【JNTL】2024年度 24年CL8,9,10月号</t>
  </si>
  <si>
    <t>【ファンケル通販】販売ODM 8月号</t>
  </si>
  <si>
    <t>【日清食品】8月CVS店頭施策</t>
  </si>
  <si>
    <t>【ファンケル店舗】2024年度スタンプラリー企画</t>
  </si>
  <si>
    <t>【ディーエイチシー】2024年 全会員向け施策</t>
  </si>
  <si>
    <t>【ウォータースタンド】AIロボット（Romi）衣装</t>
  </si>
  <si>
    <t>ウォータースタンド株式会社</t>
  </si>
  <si>
    <t>【ファンケル通店合同】健康食品30周年ご愛顧CP</t>
  </si>
  <si>
    <t>【カネボウ化粧品】リサージご購入者プレゼント</t>
  </si>
  <si>
    <t>株式会社カネボウ化粧品</t>
  </si>
  <si>
    <t>【ANA】2024機内玩具</t>
  </si>
  <si>
    <t>全日本空輸株式会社</t>
  </si>
  <si>
    <t>【イオン】2024年イオン超春トク祭り</t>
  </si>
  <si>
    <t>イオンリテール株式会社</t>
  </si>
  <si>
    <t>【イオン】2024年BLACK FRIDAY</t>
  </si>
  <si>
    <t>【イオン】2025年トップバリュ福袋</t>
  </si>
  <si>
    <t>【ECC】　紹介キャンペーン</t>
  </si>
  <si>
    <t>【鎌倉パスタ】25年バースデーギフト</t>
  </si>
  <si>
    <t>【ココス】25年夏福袋</t>
  </si>
  <si>
    <t>【物語コーポレーション】アプリ特典</t>
  </si>
  <si>
    <t>暑さ対策アイテム提案</t>
  </si>
  <si>
    <t>三菱地所コミュニティ株式会社</t>
  </si>
  <si>
    <t>作業服</t>
  </si>
  <si>
    <t>株式会社JR東日本環境アクセス</t>
  </si>
  <si>
    <t>店舗制服リニューアル</t>
  </si>
  <si>
    <t>フルラジャパン株式会社</t>
  </si>
  <si>
    <t>ゲラン制服リニューアル</t>
  </si>
  <si>
    <t>株式会社ソシエ・ワールド</t>
  </si>
  <si>
    <t>防災関連</t>
  </si>
  <si>
    <t>日本赤十字社</t>
  </si>
  <si>
    <t>一般社団法人日本自動車連盟</t>
  </si>
  <si>
    <t>店舗制服（既製品）</t>
  </si>
  <si>
    <t>株式会社タックルベリー</t>
  </si>
  <si>
    <t>株式会社ヤマダホームズ</t>
  </si>
  <si>
    <t>百貨店店舗制服</t>
  </si>
  <si>
    <t>キーコーヒー株式会社</t>
  </si>
  <si>
    <t>株式会社メッセ</t>
  </si>
  <si>
    <t>レインウェア</t>
  </si>
  <si>
    <t>株式会社読売新聞グループ本社</t>
  </si>
  <si>
    <t>EFウェア</t>
  </si>
  <si>
    <t>ドレス事業制服（既製品）</t>
  </si>
  <si>
    <t>株式会社ノバレーゼ</t>
  </si>
  <si>
    <t>作業服（夏服）</t>
  </si>
  <si>
    <t>東日本電信電話株式会社</t>
  </si>
  <si>
    <t>株式会社ペッパーフードサービス</t>
  </si>
  <si>
    <t>介護施設制服リニューアル</t>
  </si>
  <si>
    <t>SOMPOケア株式会社</t>
  </si>
  <si>
    <t>実践学園制服</t>
  </si>
  <si>
    <t>実践学園中学・高等学校</t>
  </si>
  <si>
    <t>霞ヶ浦制服</t>
  </si>
  <si>
    <t>学校法人霞ヶ浦高等学校</t>
  </si>
  <si>
    <t>桐朋女子制服</t>
  </si>
  <si>
    <t>学校法人桐朋学園女子部門桐朋女子中・高等学校</t>
  </si>
  <si>
    <t>西武学園文理制服</t>
  </si>
  <si>
    <t>西武学園文理中学・高等学校</t>
  </si>
  <si>
    <t>星野制服</t>
  </si>
  <si>
    <t>星野高等学校</t>
  </si>
  <si>
    <t>ラーニングコモンズ空間デザイン</t>
  </si>
  <si>
    <t>東京農業大学第三中学高等学校</t>
  </si>
  <si>
    <t>獨協制服</t>
  </si>
  <si>
    <t>食堂空間デザイン</t>
  </si>
  <si>
    <t>学校法人翔光学園横浜創学館高等学校</t>
  </si>
  <si>
    <t>大泉制服</t>
  </si>
  <si>
    <t>東京都立大泉高等学校・高等学校附属中学校</t>
  </si>
  <si>
    <t>渋谷本町こども園制服</t>
  </si>
  <si>
    <t>渋谷教育学園渋谷本町こども園</t>
  </si>
  <si>
    <t>跡見体操着</t>
  </si>
  <si>
    <t>跡見学園高等学校</t>
  </si>
  <si>
    <t>跡見ポロシャツ</t>
  </si>
  <si>
    <t>成徳ポロシャツ</t>
  </si>
  <si>
    <t>東京成徳大学中学・高等学校</t>
  </si>
  <si>
    <t>国立印刷局　作業服</t>
  </si>
  <si>
    <t>独立行政法人国立印刷局</t>
  </si>
  <si>
    <t>あおもり国スポ・障スポ</t>
  </si>
  <si>
    <t>青森県</t>
  </si>
  <si>
    <t>岐阜信用金庫　事務服</t>
  </si>
  <si>
    <t>岐阜信用金庫</t>
  </si>
  <si>
    <t>ソニー　作業服</t>
  </si>
  <si>
    <t>ソニー株式会社</t>
  </si>
  <si>
    <t>つばめ自動車　乗務員制服</t>
  </si>
  <si>
    <t>つばめ自動車株式会社</t>
  </si>
  <si>
    <t>SUBARU　工場作業服</t>
  </si>
  <si>
    <t>SUBARU　メカニック用ユニフォーム</t>
  </si>
  <si>
    <t>浜松ホトニクス　工場作業服</t>
  </si>
  <si>
    <t>浜松ホトニクス株式会社</t>
  </si>
  <si>
    <t>デクセリアルズ</t>
  </si>
  <si>
    <t>デクセリアルズ株式会社</t>
  </si>
  <si>
    <t>紅屋商事</t>
  </si>
  <si>
    <t>紅屋商事株式会社</t>
  </si>
  <si>
    <t>コープサンネット東北</t>
  </si>
  <si>
    <t>生活協同組合連合会コープ東北サンネット事業連合</t>
  </si>
  <si>
    <t>盛岡信用金庫</t>
  </si>
  <si>
    <t>JA津軽みらい</t>
  </si>
  <si>
    <t>津軽みらい農業協同組合</t>
  </si>
  <si>
    <t>JR北海道バス</t>
  </si>
  <si>
    <t>ジェイ・アール北海道バス株式会社</t>
  </si>
  <si>
    <t>サトー商会</t>
  </si>
  <si>
    <t>株式会社サトー商会</t>
  </si>
  <si>
    <t>トスネット</t>
  </si>
  <si>
    <t>株式会社トスネット</t>
  </si>
  <si>
    <t>2027MC/防寒・レイン</t>
  </si>
  <si>
    <t>一般財団法人東北電気保安協会</t>
  </si>
  <si>
    <t>関東エリアクリーン</t>
  </si>
  <si>
    <t>株式会社関東エリアクリーン</t>
  </si>
  <si>
    <t>トヨタレンタリース茨城</t>
  </si>
  <si>
    <t>株式会社トヨタレンタリース茨城</t>
  </si>
  <si>
    <t>カメイ</t>
  </si>
  <si>
    <t>カメイ株式会社</t>
  </si>
  <si>
    <t>九里学園高校</t>
  </si>
  <si>
    <t>九里学園高等学校</t>
  </si>
  <si>
    <t>仙台西高校</t>
  </si>
  <si>
    <t>仙台西高等学校</t>
  </si>
  <si>
    <t>迫桜高校</t>
  </si>
  <si>
    <t>宮城県迫桜高等学校</t>
  </si>
  <si>
    <t>聖和学園高校</t>
  </si>
  <si>
    <t>公立置賜総合病院</t>
  </si>
  <si>
    <t>大原綜合病院</t>
  </si>
  <si>
    <t>一般財団法人大原記念財団大原綜合病院</t>
  </si>
  <si>
    <t>JA福島厚生連</t>
  </si>
  <si>
    <t>ＪＡ福島厚生連業務部（本部）</t>
  </si>
  <si>
    <t>栗原市統一</t>
  </si>
  <si>
    <t>栗原中央病院</t>
  </si>
  <si>
    <t>カレス記念病院</t>
  </si>
  <si>
    <t>社会医療法人社団カレスサッポロカレス記念病院</t>
  </si>
  <si>
    <t>総合南東北病院（岩沼）</t>
  </si>
  <si>
    <t>将道会　総合南東北病院</t>
  </si>
  <si>
    <t>健生病院</t>
  </si>
  <si>
    <t>津軽保健生活協同組合健生病院</t>
  </si>
  <si>
    <t>東北医科薬科大学病院</t>
  </si>
  <si>
    <t>太田綜合病院</t>
  </si>
  <si>
    <t>一般財団法人太田綜合病院</t>
  </si>
  <si>
    <t>総合南東北病院（郡山）</t>
  </si>
  <si>
    <t>一般財団法人脳神経疾患研究所附属総合南東北病院</t>
  </si>
  <si>
    <t>石巻赤十字病院</t>
  </si>
  <si>
    <t>函館中央病院</t>
  </si>
  <si>
    <t>山形済生病院</t>
  </si>
  <si>
    <t>山形県立統一</t>
  </si>
  <si>
    <t>山形県立中央病院</t>
  </si>
  <si>
    <t>手稲渓仁会病院</t>
  </si>
  <si>
    <t>医療法人渓仁会手稲渓仁会病院</t>
  </si>
  <si>
    <t>仙台オープン病院</t>
  </si>
  <si>
    <t>仙台徳洲会病院</t>
  </si>
  <si>
    <t>公立岩瀬病院</t>
  </si>
  <si>
    <t>あづま脳神経外科病院</t>
  </si>
  <si>
    <t>岩見沢市立総合病院</t>
  </si>
  <si>
    <t>市立札幌病院</t>
  </si>
  <si>
    <t>札幌市病院局市立札幌病院</t>
  </si>
  <si>
    <t>JA北海道厚生連</t>
  </si>
  <si>
    <t>北海道厚生農業協同組合連合会</t>
  </si>
  <si>
    <t>仙台市立病院</t>
  </si>
  <si>
    <t>旭川医科大学病院</t>
  </si>
  <si>
    <t>がん研有明病院</t>
  </si>
  <si>
    <t>山梨厚生病院</t>
  </si>
  <si>
    <t>公立藤岡総合病院</t>
  </si>
  <si>
    <t>平塚市民病院</t>
  </si>
  <si>
    <t>新小山市民病院</t>
  </si>
  <si>
    <t>地方独立行政法人新小山市民病院</t>
  </si>
  <si>
    <t>田中脳神経外科病院</t>
  </si>
  <si>
    <t>九段坂病院</t>
  </si>
  <si>
    <t>総合相模更生病院</t>
  </si>
  <si>
    <t>水戸医療センター</t>
  </si>
  <si>
    <t>さいたま市立看護学院</t>
  </si>
  <si>
    <t>さいたま市立高等看護学院</t>
  </si>
  <si>
    <t>アルフレッサメディカルサービス株式会社</t>
  </si>
  <si>
    <t>順天堂越谷病院</t>
  </si>
  <si>
    <t>順天堂大学医学部附属順天堂越谷病院</t>
  </si>
  <si>
    <t>さやま総合クリニック</t>
  </si>
  <si>
    <t>社会医療法人財団　石心会　さやま総合クリニック</t>
  </si>
  <si>
    <t>山梨県立中央病院</t>
  </si>
  <si>
    <t>国立病院機構関東信越ブロック</t>
  </si>
  <si>
    <t>同愛記念病院</t>
  </si>
  <si>
    <t>社会福祉法人同愛記念病院財団</t>
  </si>
  <si>
    <t>安曇野赤十字</t>
  </si>
  <si>
    <t>安曇野赤十字病院</t>
  </si>
  <si>
    <t>墨東病院</t>
  </si>
  <si>
    <t>東京都立墨東病院</t>
  </si>
  <si>
    <t>真岡病院</t>
  </si>
  <si>
    <t>大栄病院</t>
  </si>
  <si>
    <t>白十字総合病院</t>
  </si>
  <si>
    <t>東京家政大学</t>
  </si>
  <si>
    <t>防衛医科大学病院</t>
  </si>
  <si>
    <t>牛久愛和総合病院</t>
  </si>
  <si>
    <t>JA新潟県厚生連</t>
  </si>
  <si>
    <t>新潟県厚生農業協同組合連合会</t>
  </si>
  <si>
    <t>根岸病院</t>
  </si>
  <si>
    <t>医療法人社団根岸病院</t>
  </si>
  <si>
    <t>ひたち医療センター</t>
  </si>
  <si>
    <t>石和温泉病院</t>
  </si>
  <si>
    <t>医療法人石和温泉病院</t>
  </si>
  <si>
    <t>鹿嶋病院</t>
  </si>
  <si>
    <t>慈誠会　光が丘病院</t>
  </si>
  <si>
    <t>練馬光が丘病院</t>
  </si>
  <si>
    <t>入間川病院</t>
  </si>
  <si>
    <t>社会医療法人入間川病院</t>
  </si>
  <si>
    <t>春日部市立医療センター</t>
  </si>
  <si>
    <t>成田赤十字病院</t>
  </si>
  <si>
    <t>聖隷横浜病院</t>
  </si>
  <si>
    <t>川崎市立川崎病院</t>
  </si>
  <si>
    <t>筑波メディカルセンター</t>
  </si>
  <si>
    <t>公益財団法人筑波メディカルセンター</t>
  </si>
  <si>
    <t>獨協医科大学埼玉医療センター</t>
  </si>
  <si>
    <t>陵北病院</t>
  </si>
  <si>
    <t>東名厚木病院</t>
  </si>
  <si>
    <t>深谷赤十字病院</t>
  </si>
  <si>
    <t>済生会川口総合病院</t>
  </si>
  <si>
    <t>飯能老年病センター</t>
  </si>
  <si>
    <t>千葉しすい病院</t>
  </si>
  <si>
    <t>医療法人社団千葉光徳会千葉しすい病院</t>
  </si>
  <si>
    <t>土浦厚生病院</t>
  </si>
  <si>
    <t>健昌会</t>
  </si>
  <si>
    <t>医療法人健昌会</t>
  </si>
  <si>
    <t>新潟県けんこう財団</t>
  </si>
  <si>
    <t>一般財団法人新潟県けんこう財団</t>
  </si>
  <si>
    <t>河北総合病院</t>
  </si>
  <si>
    <t>日本医科大学付属病院</t>
  </si>
  <si>
    <t>関大一高MC</t>
  </si>
  <si>
    <t>関西大学第一高等学校</t>
  </si>
  <si>
    <t>空間デザイン</t>
  </si>
  <si>
    <t>大阪学院大学高等学校</t>
  </si>
  <si>
    <t>大手町病院MC</t>
  </si>
  <si>
    <t>大手町病院</t>
  </si>
  <si>
    <t>セカンドユニフォーム</t>
  </si>
  <si>
    <t>帝塚山学院泉ヶ丘中学校高等学校</t>
  </si>
  <si>
    <t>制服MC</t>
  </si>
  <si>
    <t>マイナーチェンジ</t>
  </si>
  <si>
    <t>学校法人大隈記念早稲田佐賀学園早稲田佐賀中学校・高等学校</t>
  </si>
  <si>
    <t>甲南高等学校・中学校</t>
  </si>
  <si>
    <t>学校法人三田学園三田学園中学校・高等学校</t>
  </si>
  <si>
    <t>広島市立病院機構</t>
  </si>
  <si>
    <t>地方独立行政法人広島市立病院機構</t>
  </si>
  <si>
    <t>春海会</t>
  </si>
  <si>
    <t>社会福祉法人春海会</t>
  </si>
  <si>
    <t>小泉病院</t>
  </si>
  <si>
    <t>特定医療法人仁康会小泉病院</t>
  </si>
  <si>
    <t>本郷中央病院</t>
  </si>
  <si>
    <t>新南陽市民病院</t>
  </si>
  <si>
    <t>公益財団法人周南市医療公社周南市立新南陽市民病院</t>
  </si>
  <si>
    <t>佐伯中央病院</t>
  </si>
  <si>
    <t>医療法人社団貴和会　佐伯中央病院</t>
  </si>
  <si>
    <t>興生総合病院</t>
  </si>
  <si>
    <t>社会医療法人里仁会興生総合病院</t>
  </si>
  <si>
    <t>三原病院</t>
  </si>
  <si>
    <t>特定医療法人大慈会三原病院</t>
  </si>
  <si>
    <t>倉敷老健</t>
  </si>
  <si>
    <t>社会医療法人全仁会倉敷老健倉敷在宅総合ケアセンター</t>
  </si>
  <si>
    <t>渡辺病院</t>
  </si>
  <si>
    <t>医療法人思誠会　渡辺病院</t>
  </si>
  <si>
    <t>山口大学医学部附属病院</t>
  </si>
  <si>
    <t>福山市民病院</t>
  </si>
  <si>
    <t>岐阜厚生サービス</t>
  </si>
  <si>
    <t>株式会社岐阜厚生サービス</t>
  </si>
  <si>
    <t>刈谷豊田総合病院</t>
  </si>
  <si>
    <t>医療法人豊田会刈谷豊田総合病院</t>
  </si>
  <si>
    <t>三重大学病院</t>
  </si>
  <si>
    <t>国立大学法人　三重大学医学部附属病院</t>
  </si>
  <si>
    <t>福井大学病院</t>
  </si>
  <si>
    <t>国立大学法人　福井大学医学部附属病院</t>
  </si>
  <si>
    <t>江南厚生病院</t>
  </si>
  <si>
    <t>ＪＡ愛知厚生連　江南厚生病院</t>
  </si>
  <si>
    <t>海南厚生病院</t>
  </si>
  <si>
    <t>愛知県厚生農業協同組合連合会海南病院</t>
  </si>
  <si>
    <t>稲沢厚生病院</t>
  </si>
  <si>
    <t>足助厚生病院</t>
  </si>
  <si>
    <t>JA愛知厚生連足助病院</t>
  </si>
  <si>
    <t>小山田記念温泉病院</t>
  </si>
  <si>
    <t>医療法人社団主体会小山田記念温泉病院</t>
  </si>
  <si>
    <t>桑名総合医療センター</t>
  </si>
  <si>
    <t>地方独立行政法人桑名市総合医療センター</t>
  </si>
  <si>
    <t>市立長浜病院</t>
  </si>
  <si>
    <t>大津市民病院</t>
  </si>
  <si>
    <t>地方独立行政法人市立大津市民病院</t>
  </si>
  <si>
    <t>滋賀県立総合病院</t>
  </si>
  <si>
    <t>済生会奈良病院</t>
  </si>
  <si>
    <t>京都ルネス病院</t>
  </si>
  <si>
    <t>大阪南医療センター</t>
  </si>
  <si>
    <t>京都府立医科大学附属病院</t>
  </si>
  <si>
    <t>京都府立医科大学付属病院</t>
  </si>
  <si>
    <t>宝塚市立病院</t>
  </si>
  <si>
    <t>美原病院</t>
  </si>
  <si>
    <t>医療法人好寿会美原病院</t>
  </si>
  <si>
    <t>姫路第一病院</t>
  </si>
  <si>
    <t>浜寺病院</t>
  </si>
  <si>
    <t>医療法人微風会浜寺病院</t>
  </si>
  <si>
    <t>有馬病院</t>
  </si>
  <si>
    <t>医療法人内海慈仁会有馬病院</t>
  </si>
  <si>
    <t>神戸大学医学部附属病院</t>
  </si>
  <si>
    <t>大阪医科薬科大学病院</t>
  </si>
  <si>
    <t>湘南　大野支店</t>
  </si>
  <si>
    <t>湘南農業協同組合</t>
  </si>
  <si>
    <t>メガネのハラダ</t>
  </si>
  <si>
    <t>株式会社メガネのハラダ</t>
  </si>
  <si>
    <t>丹波ささやま</t>
  </si>
  <si>
    <t>丹波ささやま農業協同組合</t>
  </si>
  <si>
    <t>前橋市</t>
  </si>
  <si>
    <t>前橋市農業協同組合</t>
  </si>
  <si>
    <t>北総産業　春</t>
  </si>
  <si>
    <t>北総産業株式会社</t>
  </si>
  <si>
    <t>ふじ伊豆　富士宮地区</t>
  </si>
  <si>
    <t>JAふじ伊豆</t>
  </si>
  <si>
    <t>佐波伊勢崎</t>
  </si>
  <si>
    <t>佐波伊勢崎農業協同組合</t>
  </si>
  <si>
    <t>ユニフォームニシジマ春</t>
  </si>
  <si>
    <t>株式会社ユニフォームニシジマ</t>
  </si>
  <si>
    <t>全農本所　採寸会</t>
  </si>
  <si>
    <t>全国農業協同組合連合会</t>
  </si>
  <si>
    <t>ふじ伊豆　富士地区</t>
  </si>
  <si>
    <t>東京むさし</t>
  </si>
  <si>
    <t>東京むさし農業協同組合</t>
  </si>
  <si>
    <t>安房（クールビズ）</t>
  </si>
  <si>
    <t>安房農業協同組合</t>
  </si>
  <si>
    <t>北つくば（買取）</t>
  </si>
  <si>
    <t>北つくば農業協同組合</t>
  </si>
  <si>
    <t>多野藤岡</t>
  </si>
  <si>
    <t>多野藤岡医療事務市町村組合立藤岡総合病院</t>
  </si>
  <si>
    <t>POコレクション</t>
  </si>
  <si>
    <t>茨城むつみ（前売り）</t>
  </si>
  <si>
    <t>茨城むつみ農業協同組合</t>
  </si>
  <si>
    <t>多気郡　春夏</t>
  </si>
  <si>
    <t>多気郡農業協同組合</t>
  </si>
  <si>
    <t>ふじ伊豆　御殿場地区本部</t>
  </si>
  <si>
    <t>氷見市　６月</t>
  </si>
  <si>
    <t>氷見市農業協同組合</t>
  </si>
  <si>
    <t>福島さくら　いわき・ふたば</t>
  </si>
  <si>
    <t>福島さくら農業協同組合</t>
  </si>
  <si>
    <t>成田市</t>
  </si>
  <si>
    <t>成田市農業協同組合</t>
  </si>
  <si>
    <t>ふじ伊豆（あいら伊豆 地区）</t>
  </si>
  <si>
    <t>伊勢　南紀</t>
  </si>
  <si>
    <t>伊勢農業協同組合</t>
  </si>
  <si>
    <t>Ｈｏｓａｋａ</t>
  </si>
  <si>
    <t>株式会社Hosaka</t>
  </si>
  <si>
    <t>会津よつば　いいで地区</t>
  </si>
  <si>
    <t>会津よつば農業協同組合</t>
  </si>
  <si>
    <t>茨城みなみ</t>
  </si>
  <si>
    <t>茨城みなみ農業協同組合</t>
  </si>
  <si>
    <t>いしのまき　夏（６月）</t>
  </si>
  <si>
    <t>いしのまき農業協同組合</t>
  </si>
  <si>
    <t>関東自動車（株）</t>
  </si>
  <si>
    <t>関東自動車株式会社</t>
  </si>
  <si>
    <t>たじま</t>
  </si>
  <si>
    <t>きたじま田岡病院</t>
  </si>
  <si>
    <t>東西しらかわ</t>
  </si>
  <si>
    <t>東西しらかわ農業協同組合</t>
  </si>
  <si>
    <t>西三河買取イベント</t>
  </si>
  <si>
    <t>西三河農業協同組合</t>
  </si>
  <si>
    <t>福島さくら　郡山</t>
  </si>
  <si>
    <t>朝日ガスエナジー</t>
  </si>
  <si>
    <t>朝日ガスエナジー株式会社</t>
  </si>
  <si>
    <t>コープ魚沼</t>
  </si>
  <si>
    <t>長正</t>
  </si>
  <si>
    <t>長生農業協同組合</t>
  </si>
  <si>
    <t>大阪宴</t>
  </si>
  <si>
    <t>JAジュエリー統合店</t>
  </si>
  <si>
    <t>はが野</t>
  </si>
  <si>
    <t>はが野農業協同組合</t>
  </si>
  <si>
    <t>庄内みどり</t>
  </si>
  <si>
    <t>JA庄内みどり</t>
  </si>
  <si>
    <t>埼玉中央</t>
  </si>
  <si>
    <t>静岡経済連　本所</t>
  </si>
  <si>
    <t>静岡県経済農業協同組合連合会</t>
  </si>
  <si>
    <t>北つくば</t>
  </si>
  <si>
    <t>北つくば農協葬祭株式会社</t>
  </si>
  <si>
    <t>角弘　本社　M</t>
  </si>
  <si>
    <t>株式会社角弘</t>
  </si>
  <si>
    <t>㈱富士野</t>
  </si>
  <si>
    <t>株式会社富士野</t>
  </si>
  <si>
    <t>ネクスト・ワン</t>
  </si>
  <si>
    <t>ネクスト・ワン株式会社</t>
  </si>
  <si>
    <t>ボンド商事</t>
  </si>
  <si>
    <t>ボンド商事株式会社</t>
  </si>
  <si>
    <t>茨城むつみ</t>
  </si>
  <si>
    <t>野川商事</t>
  </si>
  <si>
    <t>野川商事株式会社</t>
  </si>
  <si>
    <t>いちかわ</t>
  </si>
  <si>
    <t>市川市農業協同組合</t>
  </si>
  <si>
    <t>たかさき</t>
  </si>
  <si>
    <t>高崎市農業協同組合</t>
  </si>
  <si>
    <t>さいた南部ま（戸田支店）</t>
  </si>
  <si>
    <t>伊勢　本店・鳥羽志摩地区</t>
  </si>
  <si>
    <t>山武郡市</t>
  </si>
  <si>
    <t>山武郡市農業協同組合</t>
  </si>
  <si>
    <t>さいた南部ま（新田支店）</t>
  </si>
  <si>
    <t>さいた南部ま（新郷支店）</t>
  </si>
  <si>
    <t>全農兵庫</t>
  </si>
  <si>
    <t>角弘　拠点　M</t>
  </si>
  <si>
    <t>ユニフォームニシジマ秋</t>
  </si>
  <si>
    <t>土田商店　秋</t>
  </si>
  <si>
    <t>越谷市　M</t>
  </si>
  <si>
    <t>北総産業　秋</t>
  </si>
  <si>
    <t>甘楽富岡J</t>
  </si>
  <si>
    <t>甘楽富岡農業協同組合</t>
  </si>
  <si>
    <t>多気郡　秋冬</t>
  </si>
  <si>
    <t>あさか野（和光支店）</t>
  </si>
  <si>
    <t>南関東東京日野自動車（下期）</t>
  </si>
  <si>
    <t>南関東日野自動車株式会社</t>
  </si>
  <si>
    <t>あさか野（新座支店）昨年志木支店</t>
  </si>
  <si>
    <t>近新家具</t>
  </si>
  <si>
    <t>株式会社近新</t>
  </si>
  <si>
    <t>はぐくみ</t>
  </si>
  <si>
    <t>はぐくみ農業協同組合</t>
  </si>
  <si>
    <t>サンディミカミ</t>
  </si>
  <si>
    <t>株式会社サンディ</t>
  </si>
  <si>
    <t>北河内</t>
  </si>
  <si>
    <t>北河内農業協同組合</t>
  </si>
  <si>
    <t>あがつま</t>
  </si>
  <si>
    <t>あがつま農業協同組合</t>
  </si>
  <si>
    <t>ちばみどり（旭、そうさ）</t>
  </si>
  <si>
    <t>ちばみどり農業協同組合</t>
  </si>
  <si>
    <t>なのはな　秋</t>
  </si>
  <si>
    <t>なのはな農業協同組合</t>
  </si>
  <si>
    <t>ふじ伊豆御殿場地区ファッションふれあい広場</t>
  </si>
  <si>
    <t>炭平　東京</t>
  </si>
  <si>
    <t>ちちぶ</t>
  </si>
  <si>
    <t>ＪＡ高知県　香美地区</t>
  </si>
  <si>
    <t>JA高知県　香美地区</t>
  </si>
  <si>
    <t>おおいがわ　大富</t>
  </si>
  <si>
    <t>ふたば</t>
  </si>
  <si>
    <t>医療法人社団和恒会　ふたば病院</t>
  </si>
  <si>
    <t>大阪市</t>
  </si>
  <si>
    <t>JA津安芸</t>
  </si>
  <si>
    <t>安房</t>
  </si>
  <si>
    <t>安房地域医療センター</t>
  </si>
  <si>
    <t>越谷市　J</t>
  </si>
  <si>
    <t>おおいがわ　本店</t>
  </si>
  <si>
    <t>ふかや</t>
  </si>
  <si>
    <t>ＪＡ高知県　土長地区</t>
  </si>
  <si>
    <t>JA高知県　土長地区</t>
  </si>
  <si>
    <t>氷見市　１１月</t>
  </si>
  <si>
    <t>おおいがわ　島田</t>
  </si>
  <si>
    <t>㈱アサダ　11月</t>
  </si>
  <si>
    <t>アサダ株式会社</t>
  </si>
  <si>
    <t>いすみ</t>
  </si>
  <si>
    <t>いすみ医療センター</t>
  </si>
  <si>
    <t>いしのまき　秋（11月）</t>
  </si>
  <si>
    <t>おおいがわ　川根</t>
  </si>
  <si>
    <t>埼玉みずほ</t>
  </si>
  <si>
    <t>グリーン大阪</t>
  </si>
  <si>
    <t>グリーン大阪農業協同組合</t>
  </si>
  <si>
    <t>イワセキ</t>
  </si>
  <si>
    <t>イワセキ株式会社</t>
  </si>
  <si>
    <t>ＪＡ高知県　安芸地区</t>
  </si>
  <si>
    <t>高知県厚生農業協同組合連合会　ＪＡ高知病院</t>
  </si>
  <si>
    <t>エイコウ（よねおり）</t>
  </si>
  <si>
    <t>よねおりかんこうセンター</t>
  </si>
  <si>
    <t>新川ブロック展</t>
  </si>
  <si>
    <t>魚津市農業協同組合</t>
  </si>
  <si>
    <t>いみず野紳士オーダー展示会</t>
  </si>
  <si>
    <t>いみず野農業協同組合</t>
  </si>
  <si>
    <t>ふくしま未来（そうま）</t>
  </si>
  <si>
    <t>ふくしま未来農業協同組合</t>
  </si>
  <si>
    <t>北大阪</t>
  </si>
  <si>
    <t>医療法人成和会　北大阪ほうせんか病院</t>
  </si>
  <si>
    <t>【ジョナサン】2025春夏キャンペーン</t>
  </si>
  <si>
    <t>【フジオフード】SAM’S販売品バッグ</t>
  </si>
  <si>
    <t>株式会社フジオフードシステム</t>
  </si>
  <si>
    <t>【SBJ】2025年度 グリーンエプロン</t>
  </si>
  <si>
    <t>太平ビル　２３区ポロシャツ　Bマーク入れ</t>
  </si>
  <si>
    <t>太平ビルサービス株式会社</t>
  </si>
  <si>
    <t>常総ひかり事務服</t>
  </si>
  <si>
    <t>常総ひかり農業協同組合</t>
  </si>
  <si>
    <t>ちばみどり事務服</t>
  </si>
  <si>
    <t>2024-11-08 09:20:32 medical-総合カタログ</t>
  </si>
  <si>
    <t>レコードタイプなし</t>
  </si>
  <si>
    <t>株式会社廣瀬商会</t>
  </si>
  <si>
    <t>【ヤマナカ】Franteオリジナルバッグ</t>
  </si>
  <si>
    <t>株式会社ヤマナカ</t>
  </si>
  <si>
    <t>【スズキ】2025年　スイフトスポーツ成約記念品</t>
  </si>
  <si>
    <t>スズキ株式会社</t>
  </si>
  <si>
    <t>【ACRO】THREEポイントプログラム（ボトル）</t>
  </si>
  <si>
    <t>【ANA X】Diamond+more会員向け特典</t>
  </si>
  <si>
    <t>ANAX株式会社</t>
  </si>
  <si>
    <t>【いなげや】25年冬セルリキ企画</t>
  </si>
  <si>
    <t>株式会社いなげや</t>
  </si>
  <si>
    <t>【SBJ】勤続表彰リニューアル企画</t>
  </si>
  <si>
    <t>【事前】日本生命2025ニッセイグランプリ</t>
  </si>
  <si>
    <t>【キリン】スプリングバレー　ジャンバー</t>
  </si>
  <si>
    <t>キリンビール株式会社</t>
  </si>
  <si>
    <t>【トップス】26年4月導入MC</t>
  </si>
  <si>
    <t>株式会社トップス</t>
  </si>
  <si>
    <t>【ディーエイチシー】2025年5月エクオールCP</t>
  </si>
  <si>
    <t>DMノベルティ</t>
  </si>
  <si>
    <t>株式会社ケーズホールディングス</t>
  </si>
  <si>
    <t>2026福袋</t>
  </si>
  <si>
    <t>25夏福袋</t>
  </si>
  <si>
    <t>株式会社ゼンショーグローバルレストランホールディングス</t>
  </si>
  <si>
    <t>アルビオン：DR26SS制服</t>
  </si>
  <si>
    <t>【キャメル珈琲】2025年度いぬのお散歩バッグ</t>
  </si>
  <si>
    <t>メニュー修正</t>
  </si>
  <si>
    <t>【三井住友トラストクラブ】2026年度 26年BDギフト</t>
  </si>
  <si>
    <t>【BLIZZAK】2025年度リニューアル各種ウェア提案</t>
  </si>
  <si>
    <t>ブリヂストンタイヤソリューションジャパン株式会社</t>
  </si>
  <si>
    <t>【ファンケル店舗】2024年リニューアル店舗配布ノベルティ</t>
  </si>
  <si>
    <t>WAT2025年6月作業服MC</t>
  </si>
  <si>
    <t>株式会社ウェーブロック・アドバンスト・テクノロジー</t>
  </si>
  <si>
    <t>【POLA】2025年度7月CP</t>
  </si>
  <si>
    <t>【パーソルテンプスタッフ】2026テンプの日</t>
  </si>
  <si>
    <t>【明治】VAAM　ガチャピンコラボタオル</t>
  </si>
  <si>
    <t>株式会社明治</t>
  </si>
  <si>
    <t>MAZAK：作業服マイナーチェンジ</t>
  </si>
  <si>
    <t>ヤマザキマザック株式会社</t>
  </si>
  <si>
    <t>店舗コスチュームリニューアル</t>
  </si>
  <si>
    <t>株式会社モスフードサービス</t>
  </si>
  <si>
    <t>【鎌倉製作所】休憩所改修</t>
  </si>
  <si>
    <t>【ジョリーパスタ】2026年　冬福袋</t>
  </si>
  <si>
    <t>【ジョリーパスタ】2025年　閑散期来店促進CP</t>
  </si>
  <si>
    <t>いがふるさと紳士展示会</t>
  </si>
  <si>
    <t>伊賀ふるさと農業協同組合</t>
  </si>
  <si>
    <t>みな穂農業協同組合</t>
  </si>
  <si>
    <t>アルプス農業協同組合</t>
  </si>
  <si>
    <t>日産株式会社</t>
  </si>
  <si>
    <t>[シャトレーゼ]25年サマーバッグ</t>
  </si>
  <si>
    <t>2026年ファンクラブ入会特典品</t>
  </si>
  <si>
    <t>株式会社ファイターズスポーツ&amp;エンターテイメント</t>
  </si>
  <si>
    <t>【パナソニック】2025年度 ハヤワザリニューアルポロシャツ</t>
  </si>
  <si>
    <t>パナソニック株式会社</t>
  </si>
  <si>
    <t>【SBJ】SAKURAテラスノベルティ</t>
  </si>
  <si>
    <t>【オリーブの丘】2025　母の日福袋</t>
  </si>
  <si>
    <t>株式会社オリーブの丘</t>
  </si>
  <si>
    <t>【シミズオクト】2025年秋冬スタッフ向けブルゾン</t>
  </si>
  <si>
    <t>株式会社シミズオクト</t>
  </si>
  <si>
    <t>【キャメル珈琲】2025年度 りんごバッグ</t>
  </si>
  <si>
    <t>【キャメル珈琲】2025年度 コーヒーの日</t>
  </si>
  <si>
    <t>【アサヒ飲料】新WONDAスタッフブルゾン（25年3月納品）</t>
  </si>
  <si>
    <t>アサヒ飲料株式会社</t>
  </si>
  <si>
    <t>【河合楽器】カワイ音楽教室70周年レッスンバッグモデルチェンジ(26年1月納品)</t>
  </si>
  <si>
    <t>株式会社河合楽器製作所</t>
  </si>
  <si>
    <t>【なか卯】2025年　夏福袋</t>
  </si>
  <si>
    <t>株式会社なか卯</t>
  </si>
  <si>
    <t>銀座ライオン　2026MC</t>
  </si>
  <si>
    <t>株式会社サッポロライオン</t>
  </si>
  <si>
    <t>【ファンケル通販】2025年6月アクネケアプレゼント品</t>
  </si>
  <si>
    <t>【壱番屋】2026年度　福袋</t>
  </si>
  <si>
    <t>株式会社壱番屋</t>
  </si>
  <si>
    <t>【キャメル珈琲】2026年度　コーヒー福袋</t>
  </si>
  <si>
    <t>auショップ タブレット端末ケースリニューアル</t>
  </si>
  <si>
    <t>インバウンド向け</t>
  </si>
  <si>
    <t>株式会社オンデーズ</t>
  </si>
  <si>
    <t>既製品ハット</t>
  </si>
  <si>
    <t>アイケイケイMC</t>
  </si>
  <si>
    <t>アイ・ケイ・ケイホールディングス株式会社</t>
  </si>
  <si>
    <t>秦病院MC</t>
  </si>
  <si>
    <t>医療法人社団秦病院</t>
  </si>
  <si>
    <t>福岡青洲会病院</t>
  </si>
  <si>
    <t>【SBJ】営業インセンティブ企画</t>
  </si>
  <si>
    <t>【キリンビバレッジ】2025年_生茶営業用JR案件</t>
  </si>
  <si>
    <t>25年9月MC案件</t>
  </si>
  <si>
    <t>電気興業株式会社</t>
  </si>
  <si>
    <t>防寒ブルゾンリニューアル</t>
  </si>
  <si>
    <t>B-Rサーティワンアイスクリーム株式会社</t>
  </si>
  <si>
    <t>【ビッグボーイ】2025年　夏福袋</t>
  </si>
  <si>
    <t>株式会社ビッグボーイジャパン</t>
  </si>
  <si>
    <t>[シャトレーゼ]25年工場用包材（ハロウィン向け）</t>
  </si>
  <si>
    <t>【コストコ】2025年_スタッフ用ベスト</t>
  </si>
  <si>
    <t>コストコホールセールジャパン株式会社</t>
  </si>
  <si>
    <t>【ハーバー研究所】福袋2026</t>
  </si>
  <si>
    <t>【アテニア】2025冬キャンペーン</t>
  </si>
  <si>
    <t>【ファンケル通販】2025年8月号ホワイトニングCP</t>
  </si>
  <si>
    <t>【天下一品】2025　天一祭り</t>
  </si>
  <si>
    <t>【TBC】従業員UN</t>
  </si>
  <si>
    <t>【ハーバー研究所】2025年ハッピーハーバー</t>
  </si>
  <si>
    <t>【イオン】2025年 超ナツ夏祭り</t>
  </si>
  <si>
    <t>【POLA】2025年 外商用ノベルティ</t>
  </si>
  <si>
    <t>エルダープログラム会員ノベルティ</t>
  </si>
  <si>
    <t>株式会社三井住友銀行</t>
  </si>
  <si>
    <t>【HABA】2026年4月導入MC</t>
  </si>
  <si>
    <t>株式会社北海道日本ハムファイターズ</t>
  </si>
  <si>
    <t>【JNTL】2025年度 25年CL6月号</t>
  </si>
  <si>
    <t>積水化学工業〈作業服〉</t>
  </si>
  <si>
    <t>積水化学工業株式会社</t>
  </si>
  <si>
    <t>【阪神タイガース】2026年ファンクラブ特典品</t>
  </si>
  <si>
    <t>車いす制服</t>
  </si>
  <si>
    <t>セントラル警備保障株式会社</t>
  </si>
  <si>
    <t>【キャメル珈琲】2025年度 ウィンターバッグ</t>
  </si>
  <si>
    <t>伊藤園　男性用（ベンダー）制服リニューアル</t>
  </si>
  <si>
    <t>株式会社伊藤園</t>
  </si>
  <si>
    <t>【SBJ】ROASTERY TOKYO FALL</t>
  </si>
  <si>
    <t>【ACRO】THREE 25年度冬GWP</t>
  </si>
  <si>
    <t>26　焼肉きんぐ福袋</t>
  </si>
  <si>
    <t>株式会社レインズインターナショナル</t>
  </si>
  <si>
    <t>【イオンサヴール】NEW保冷バッグ</t>
  </si>
  <si>
    <t>イオンサヴール株式会社</t>
  </si>
  <si>
    <t>【ヒューマンアカデミー】ロボット教室入会特典</t>
  </si>
  <si>
    <t>ヒューマンアカデミー株式会社</t>
  </si>
  <si>
    <t>【TOTO】2025SR向けノベルティ</t>
  </si>
  <si>
    <t>作業服（冬服）</t>
  </si>
  <si>
    <t>作業服MC</t>
  </si>
  <si>
    <t>株式会社長谷工コーポレーション</t>
  </si>
  <si>
    <t>【ヤクルト球団】2025年6月‗レディースデイ</t>
  </si>
  <si>
    <t>株式会社ヤクルト球団</t>
  </si>
  <si>
    <t>[シャトレーゼ]25年おいもバッグ</t>
  </si>
  <si>
    <t>長尾病院看護部、看護助手MC</t>
  </si>
  <si>
    <t>長尾病院</t>
  </si>
  <si>
    <t>【JNTL】2025年度 25年CL7,8,9月号</t>
  </si>
  <si>
    <t>【キャメル珈琲】2025年 モンスターポーチ</t>
  </si>
  <si>
    <t>キッチン上位スタッフキャップ</t>
  </si>
  <si>
    <t>【TBC】2025年　50周年お年賀</t>
  </si>
  <si>
    <t>【ベイスターズ】2026年　ファンクラブ入会特典</t>
  </si>
  <si>
    <t>株式会社横浜DeNAベイスターズ</t>
  </si>
  <si>
    <t>【リーガル】2025　テディベア</t>
  </si>
  <si>
    <t>【SBJ】ベアリスタ</t>
  </si>
  <si>
    <t>【ヤクルト球団】2026年ファンクラブ</t>
  </si>
  <si>
    <t>エアクロ新規登録促進施策　福岡トライアル</t>
  </si>
  <si>
    <t>アデコ株式会社</t>
  </si>
  <si>
    <t>【ドラゴンズ】2026年FC入会特典</t>
  </si>
  <si>
    <t>株式会社中日ドラゴンズ</t>
  </si>
  <si>
    <t>キャンディボックス(CB)</t>
  </si>
  <si>
    <t>富国生命保険相互会社</t>
  </si>
  <si>
    <t>リブランディング改定メニュー</t>
  </si>
  <si>
    <t>【SBJ】2025年度 ミニカップギフト</t>
  </si>
  <si>
    <t>【サントリーウエルネス】トライアルポーチ</t>
  </si>
  <si>
    <t>サントリーウエルネス株式会社</t>
  </si>
  <si>
    <t>【タカベーカリー】2025年度 ダークチェリーパイエコバッグ</t>
  </si>
  <si>
    <t>株式会社タカキベーカリー</t>
  </si>
  <si>
    <t>【アムウェイ】2025年12月_クリスマスギフト</t>
  </si>
  <si>
    <t>日本アムウェイ合同会社</t>
  </si>
  <si>
    <t>【アトム】2026年度 福袋</t>
  </si>
  <si>
    <t>アトム株式会社</t>
  </si>
  <si>
    <t>【ハーバー研究所】2025年夏キャンペーン</t>
  </si>
  <si>
    <t>【キリンビバレッジ】2025年5月_スタッフ向けジャンバー</t>
  </si>
  <si>
    <t>中国電力〈作業服〉</t>
  </si>
  <si>
    <t>【第一興商】2026年福袋</t>
  </si>
  <si>
    <t>株式会社第一興商</t>
  </si>
  <si>
    <t>2025年販売品自主提案</t>
  </si>
  <si>
    <t>株式会社セコマ</t>
  </si>
  <si>
    <t>【日清食品】2025年11月_中本抽選CP_スカジャン</t>
  </si>
  <si>
    <t>改訂版リブランディングメニュー</t>
  </si>
  <si>
    <t>2025（ASTALIFT）VIP向けノベルティ</t>
  </si>
  <si>
    <t>株式会社富士フィルムラボラトリー</t>
  </si>
  <si>
    <t>2025（ASTALIFT）トライアルキット用ノベルティ</t>
  </si>
  <si>
    <t>2025-03-12 11:31:08 medical-総合カタログ</t>
  </si>
  <si>
    <t>大和徳洲会病院</t>
  </si>
  <si>
    <t>【アサヒ飲料】自販機部隊営業用ブルゾン（8月）</t>
  </si>
  <si>
    <t>【イオンペット】2026年度 PETEMO福袋</t>
  </si>
  <si>
    <t>イオンペット株式会社</t>
  </si>
  <si>
    <t>【アイビーカンパニー】2026アフタヌーンティー福袋</t>
  </si>
  <si>
    <t>アイビーカンパニー株式会社</t>
  </si>
  <si>
    <t>北九州総合病院、上のみMC</t>
  </si>
  <si>
    <t>北九州総合病院</t>
  </si>
  <si>
    <t>長崎みなとメディカルMC</t>
  </si>
  <si>
    <t>長崎みなとメディカルセンター</t>
  </si>
  <si>
    <t>福岡リハビリテーション病院MC</t>
  </si>
  <si>
    <t>福岡リハビリテーション病院</t>
  </si>
  <si>
    <t>白十字病院MC</t>
  </si>
  <si>
    <t>社会医療法人財団白十字会　白十字病院</t>
  </si>
  <si>
    <t>【ハーバー研究所】2025年_冬キャンペーン</t>
  </si>
  <si>
    <t>近畿車輛</t>
  </si>
  <si>
    <t>近畿車輛株式会社</t>
  </si>
  <si>
    <t>【SBJ】FY26 HOL2_ボトルショルダーバッグ</t>
  </si>
  <si>
    <t>【SBJ】26年福袋バッグ＆グッズ</t>
  </si>
  <si>
    <t>【キャメル珈琲】2026年度 いちごバッグ</t>
  </si>
  <si>
    <t>【JNTL】2025年度 25年CL10,11,12,1月号</t>
  </si>
  <si>
    <t>【ファンケル通販】2025年ベースメイクフェア</t>
  </si>
  <si>
    <t>【フジオフード】　2026年福袋</t>
  </si>
  <si>
    <t>【TOTO】2025年施工店向けポロシャツ</t>
  </si>
  <si>
    <t>【LIXIL】2025エクステリアジャンパーCP</t>
  </si>
  <si>
    <t>株式会社LIXIL</t>
  </si>
  <si>
    <t>【LIXIL】2025exsior社員用ジャンパー</t>
  </si>
  <si>
    <t>【JNTL】2025年度 25年クリスマスコフレ</t>
  </si>
  <si>
    <t>【SBJ】4Q営業インセンティブグッズ</t>
  </si>
  <si>
    <t>【メガネトップ】眼鏡市場2026福袋</t>
  </si>
  <si>
    <t>株式会社メガネトップ</t>
  </si>
  <si>
    <t>【サンリオ/三井住友カード】2025キティサンクスクリスマス</t>
  </si>
  <si>
    <t>株式会社サンリオ</t>
  </si>
  <si>
    <t>【タリーズ】26HB</t>
  </si>
  <si>
    <t>タリーズコーヒージャパン株式会社</t>
  </si>
  <si>
    <t>26年10月MC</t>
  </si>
  <si>
    <t>京成建設株式会社</t>
  </si>
  <si>
    <t>【七葉】2026nana's福袋</t>
  </si>
  <si>
    <t>株式会社七葉</t>
  </si>
  <si>
    <t>【読売巨人軍】26年FC入会特典</t>
  </si>
  <si>
    <t>株式会社読売巨人軍</t>
  </si>
  <si>
    <t>体育スクール　販売用体操服</t>
  </si>
  <si>
    <t>山九グループユニフォームMC</t>
  </si>
  <si>
    <t>山九株式会社</t>
  </si>
  <si>
    <t>株式会社不動テトラ</t>
  </si>
  <si>
    <t>26年度sakura club入会特典品</t>
  </si>
  <si>
    <t>ジャパンラグビーマーケティング株式会社</t>
  </si>
  <si>
    <t>26年度来場特典品</t>
  </si>
  <si>
    <t>【リンガーハット】26年冬福袋</t>
  </si>
  <si>
    <t>株式会社リンガーハット</t>
  </si>
  <si>
    <t>VIマニュアル</t>
  </si>
  <si>
    <t>2025年秋冬　販売会社向け斡旋グッズ</t>
  </si>
  <si>
    <t>【 LINDT】2025年度 ホリデーバッグ</t>
  </si>
  <si>
    <t>LINDT &amp; SPRUNGLI JAPAN株式会社</t>
  </si>
  <si>
    <t>【ビッグボーイジャパン】2026年　冬福袋</t>
  </si>
  <si>
    <t>【なか卯】2026年　冬福袋</t>
  </si>
  <si>
    <t>【読売巨人軍】2026年ファンクラブ早期入会</t>
  </si>
  <si>
    <t>【ECC】2026年　入学進級CP</t>
  </si>
  <si>
    <t>【しまむら】2025年 下期ノベルティ</t>
  </si>
  <si>
    <t>株式会社しまむら</t>
  </si>
  <si>
    <t>【LINDT】2026年度_福袋</t>
  </si>
  <si>
    <t>【SBJ】2026年度 グリーンエプロン（再）※25年10月発注</t>
  </si>
  <si>
    <t>【SBJ】2025年度 オンラインギフトバッグ</t>
  </si>
  <si>
    <t>【SBJ】2025年度 FY26 Afterwaord コーヒーグラウンズ</t>
  </si>
  <si>
    <t>27年10月サービスガイド制服MC</t>
  </si>
  <si>
    <t>タイムズサービス株式会社</t>
  </si>
  <si>
    <t>【イオン】2025年ブラックフライデー</t>
  </si>
  <si>
    <t>【ココス】2026年冬福袋</t>
  </si>
  <si>
    <t>【タリーズ】25ハグミーボトル</t>
  </si>
  <si>
    <t>26年バースデーＤＭプレゼント</t>
  </si>
  <si>
    <t>2025　秋のsmilebox企画</t>
  </si>
  <si>
    <t>【カーブス】26年お誕生日グッズ</t>
  </si>
  <si>
    <t>株式会社カーブスジャパン</t>
  </si>
  <si>
    <t>26年4月信州大学医学部附属病院</t>
  </si>
  <si>
    <t>信州大学医学部附属病院</t>
  </si>
  <si>
    <t>体操教室　販売レオタード</t>
  </si>
  <si>
    <t>パーソナルトレーナー用　ポロシャツ　リニューアル</t>
  </si>
  <si>
    <t>【鹿島アントラーズ】26年FC入会特典</t>
  </si>
  <si>
    <t>株式会社鹿島アントラーズ・エフ・シー</t>
  </si>
  <si>
    <t>【ドトールコーヒー】2026年初荷</t>
  </si>
  <si>
    <t>ご挨拶、お打合せ</t>
  </si>
  <si>
    <t>10.SC</t>
  </si>
  <si>
    <t>テスト株式会社</t>
  </si>
  <si>
    <t>2026MC/ブルゾン・パンツ・キャップ</t>
  </si>
  <si>
    <t>23区　幕張アウトレット</t>
  </si>
  <si>
    <t>株式会社オンワード樫山</t>
  </si>
  <si>
    <t>テスト案件</t>
  </si>
  <si>
    <t>株式会社オンワードホールディングス</t>
  </si>
  <si>
    <t>23区</t>
  </si>
  <si>
    <t>福屋本店　オンワードクローゼットセレクト 改装工事</t>
  </si>
  <si>
    <t>【アテニア】26年春CP</t>
  </si>
  <si>
    <t>2026年感謝ギフト</t>
  </si>
  <si>
    <t>株式会社ダスキン</t>
  </si>
  <si>
    <t>【アンデルセン】2026年度 お楽しみ袋</t>
  </si>
  <si>
    <t>株式会社アンデルセン</t>
  </si>
  <si>
    <t>25年‐26年　年末年始福袋</t>
  </si>
  <si>
    <t>【タカキベーカリー】2026年 リトマの日</t>
  </si>
  <si>
    <t>東京地区社員販売会</t>
  </si>
  <si>
    <t>キッズスペース　の追加工事</t>
  </si>
  <si>
    <t>ゆうなぎ歯科こども歯科</t>
  </si>
  <si>
    <t>23区aoyama</t>
  </si>
  <si>
    <t>ファンケル_2026年3月ご愛顧感謝CP</t>
  </si>
  <si>
    <t>【東急】東急ホテルズユニフォーム</t>
  </si>
  <si>
    <t>東急ホテルズ＆リゾーツ株式会社</t>
  </si>
  <si>
    <t>【キャメル珈琲】2026年度 カカオの森のペンケース</t>
  </si>
  <si>
    <t>【文理】2026年　ワークケース、付録</t>
  </si>
  <si>
    <t>株式会社文理</t>
  </si>
  <si>
    <t>【トーヨータイヤ】2025年　冬タイヤ（OBZERVE）販促ノベルティ</t>
  </si>
  <si>
    <t>株式会社トーヨータイヤジャパン</t>
  </si>
  <si>
    <t>ポロシャツデザイン変え</t>
  </si>
  <si>
    <t>【SBJ】2025年度 FY26HOLベアリスタギフト</t>
  </si>
  <si>
    <t>【POLA】銀座店販売用トート</t>
  </si>
  <si>
    <t>【森永乳業】25年マウントレーニアマイレージCP</t>
  </si>
  <si>
    <t>森永乳業株式会社</t>
  </si>
  <si>
    <t>大和ギフトSHOP</t>
  </si>
  <si>
    <t>株式会社大和</t>
  </si>
  <si>
    <t>販促キャンペーン</t>
  </si>
  <si>
    <t>関西ペイント株式会社</t>
  </si>
  <si>
    <t>2026年福袋</t>
  </si>
  <si>
    <t>【関東マツダ（マツダ）】2026年福袋</t>
  </si>
  <si>
    <t>エアクロ施策　名古屋</t>
  </si>
  <si>
    <t>TOTO2028年1月更新ショールーム制服</t>
  </si>
  <si>
    <t>阪急メンズ館JOSEPH</t>
  </si>
  <si>
    <t>イオンモール福岡</t>
  </si>
  <si>
    <t>株式会社オンワードパーソナルスタイル</t>
  </si>
  <si>
    <t>イオンモール広島府中</t>
  </si>
  <si>
    <t>阪急本店JOSEPH</t>
  </si>
  <si>
    <t>神戸ハーバーランド</t>
  </si>
  <si>
    <t>西宮ガーデンズUNFILO</t>
  </si>
  <si>
    <t>池袋東武カステルバジャック</t>
  </si>
  <si>
    <t>株式会社レナウン</t>
  </si>
  <si>
    <t>J.PRESS　幕張アウトレット</t>
  </si>
  <si>
    <t>J.PRESS　御殿場アウトレット</t>
  </si>
  <si>
    <t>阪急本店　LEONARD</t>
  </si>
  <si>
    <t>三共生興ファッションサービス株式会社</t>
  </si>
  <si>
    <t>京都高島屋　LEONARD</t>
  </si>
  <si>
    <t>【ACRO】THREE梱包資材（リピート）変更⇒レザー巾着</t>
  </si>
  <si>
    <t>ファンケル2026年2月CP</t>
  </si>
  <si>
    <t>ゆめタウン廿日市　オンワードクローゼットセレクト改装工事</t>
  </si>
  <si>
    <t>サンメッセ香川オンワードファミリーセール</t>
  </si>
  <si>
    <t>福屋駅前店　オンワードクローゼットセレクト改装工事</t>
  </si>
  <si>
    <t>[シャトレーゼ]25年クリスマスバッグ</t>
  </si>
  <si>
    <t>[シャトレーゼ]　ギフト包材自主提案</t>
  </si>
  <si>
    <t>阪急本店JOSEPH仮設売場</t>
  </si>
  <si>
    <t>Joseph Joseph株式会社</t>
  </si>
  <si>
    <t>【日本郵政】外務服MC</t>
  </si>
  <si>
    <t>日本郵政株式会社</t>
  </si>
  <si>
    <t>2026ファンクラブ会員特典～タオル～</t>
  </si>
  <si>
    <t>オリックス野球クラブ株式会社</t>
  </si>
  <si>
    <t>仙台地区社員販売会</t>
  </si>
  <si>
    <t>京都高島屋アクアスキュータム</t>
  </si>
  <si>
    <t>引渡し</t>
  </si>
  <si>
    <t>三菱地所・サイモン株式会社</t>
  </si>
  <si>
    <t>【メナード化粧品】2026年オータムキャンペーン</t>
  </si>
  <si>
    <t>日本メナード化粧品株式会社</t>
  </si>
  <si>
    <t>【ブロンコビリー】2026年冬福袋</t>
  </si>
  <si>
    <t>大和　dozo什器</t>
  </si>
  <si>
    <t>アイシティ井上　改装</t>
  </si>
  <si>
    <t>OCS　亀戸クロック改装工事</t>
  </si>
  <si>
    <t>宗永歯科</t>
  </si>
  <si>
    <t>【キャメル珈琲】2026年度 春のコーヒーバッグ</t>
  </si>
  <si>
    <t>【西武・プリンスホテルズワールドワイド】新ホテルUN</t>
  </si>
  <si>
    <t>株式会社プリンスホテル</t>
  </si>
  <si>
    <t>2026年継続特典ノベルティ</t>
  </si>
  <si>
    <t>株式会社ハルメク</t>
  </si>
  <si>
    <t>2026冬キャッシュバックノベルティCP</t>
  </si>
  <si>
    <t>株式会社イエローハット</t>
  </si>
  <si>
    <t>【SBS】安全運転ジャンパー</t>
  </si>
  <si>
    <t>サントリービバレッジソリューション株式会社</t>
  </si>
  <si>
    <t>２３区　青山・梅田阪急</t>
  </si>
  <si>
    <t>チャコット既存店ロゴ交換</t>
  </si>
  <si>
    <t>チャコット株式会社</t>
  </si>
  <si>
    <t>UNFILOザッカ展開</t>
  </si>
  <si>
    <t>uncravePOPUP</t>
  </si>
  <si>
    <t>東筑病院　看護師制服MC</t>
  </si>
  <si>
    <t>東筑病院</t>
  </si>
  <si>
    <t>行橋厚生病院　看護師制服MC</t>
  </si>
  <si>
    <t>医療法人財団つばさ行橋厚生病院</t>
  </si>
  <si>
    <t>看護師制服MC</t>
  </si>
  <si>
    <t>和仁会病院</t>
  </si>
  <si>
    <t>社会医療法人長崎記念病院</t>
  </si>
  <si>
    <t>幕張アウトレット</t>
  </si>
  <si>
    <t>大和高輪ゲートウェイ出店</t>
  </si>
  <si>
    <t>ONWARD CROSSET Select</t>
  </si>
  <si>
    <t>阪急本店アクアスキュータム</t>
  </si>
  <si>
    <t>倉敷天満屋オンワードショップ</t>
  </si>
  <si>
    <t>DAKS　POP-UPSHOP　AW</t>
  </si>
  <si>
    <t>第三カンパニー展示会</t>
  </si>
  <si>
    <t>テスト案件01</t>
  </si>
  <si>
    <t>テスト案件02</t>
  </si>
  <si>
    <t>フロント制服MC</t>
  </si>
  <si>
    <t>アパホテル株式会社</t>
  </si>
  <si>
    <t>【キャメル珈琲】2026年度 レモンバッグ</t>
  </si>
  <si>
    <t>藤井歯科</t>
  </si>
  <si>
    <t>【SBJ】FY26 WIN2 猫ポーチ</t>
  </si>
  <si>
    <t>【SBJ】FY26 SUM2 47都道府県バック＆ステッカー</t>
  </si>
  <si>
    <t>【SBJ】FY26 SUM1 30周年記念セット</t>
  </si>
  <si>
    <t>【SBJ】FY26 コーヒーマストバイ・アソート資材</t>
  </si>
  <si>
    <t>【SBJ】FY26 ホリデーTシャツ</t>
  </si>
  <si>
    <t>【三井化学】コストダウン　事前取組</t>
  </si>
  <si>
    <t>三井化学株式会社</t>
  </si>
  <si>
    <t>ファンケル_通販2026年2月号メンラインプレゼント施策</t>
  </si>
  <si>
    <t>【なか卯】2026冬福袋</t>
  </si>
  <si>
    <t>リケンNPR柏崎事業所　オフィス空間</t>
  </si>
  <si>
    <t>リケンＮＰＲ株式会社</t>
  </si>
  <si>
    <t>2027年福袋</t>
  </si>
  <si>
    <t>株式会社サンクゼール</t>
  </si>
  <si>
    <t>阪急本店SALON 23区</t>
  </si>
  <si>
    <t>26年4月MC案件</t>
  </si>
  <si>
    <t>株式会社マルハニチロ物流</t>
  </si>
  <si>
    <t>北海道旅客鉄道　接客制服</t>
  </si>
  <si>
    <t>北海道旅客鉄道株式会社</t>
  </si>
  <si>
    <t>【HOYA株式会社】年末ケア用品福袋</t>
  </si>
  <si>
    <t>HOYA株式会社</t>
  </si>
  <si>
    <t>国際事業部　社員、販売店用アパレル</t>
  </si>
  <si>
    <t>【日清食品】2025年_カップヌードルJR</t>
  </si>
  <si>
    <t>【POLA】27年百貨店ユニフォーム</t>
  </si>
  <si>
    <t>【東邦HD】26年　作業服</t>
  </si>
  <si>
    <t>東邦ホールディングス株式会社</t>
  </si>
  <si>
    <t>レナウン株式会社</t>
  </si>
  <si>
    <t>全農兵庫引継ぎ</t>
  </si>
  <si>
    <t>オンワード福岡社販設営</t>
  </si>
  <si>
    <t>オンワード福岡社販</t>
  </si>
  <si>
    <t>【リーガル】2026春キャンペーン</t>
  </si>
  <si>
    <t>2026春キャッシュバックノベルティCP</t>
  </si>
  <si>
    <t>【花王】撮影スポット用ビッグうさちゃん</t>
  </si>
  <si>
    <t>【コストコHSJ】2026年_会員向け継続特典</t>
  </si>
  <si>
    <t>【ハーバー研究所】2025年_年末キャンペーン</t>
  </si>
  <si>
    <t>【ハーバー研究所】2025年3月GWP</t>
  </si>
  <si>
    <t>【ディーエイチシー】2025年11月コスメ施策</t>
  </si>
  <si>
    <t>【SBJ】FY26営業インセンティブグッズ</t>
  </si>
  <si>
    <t>【SBJ】FY26  SAKURA</t>
  </si>
  <si>
    <t>【TOHOシネマズ】帽子・エプロン　モデルチェンジ</t>
  </si>
  <si>
    <t>テスト案件03</t>
  </si>
  <si>
    <t>26年　BDギフト</t>
  </si>
  <si>
    <t>株式会社パソナハートフル</t>
  </si>
  <si>
    <t>26年　ギブアウェイ</t>
  </si>
  <si>
    <t>株式会社西武ライオンズ</t>
  </si>
  <si>
    <t>【淀川製鋼所】2025キャンペーンジャンパー</t>
  </si>
  <si>
    <t>株式会社淀川製鋼所</t>
  </si>
  <si>
    <t>CIマニュアル</t>
  </si>
  <si>
    <t>【はま寿司】はまっこセットキャンペーン</t>
  </si>
  <si>
    <t>【阪神タイガース】2026年TORACO</t>
  </si>
  <si>
    <t>【エランコジャパン】2026年処方サポートグッズ</t>
  </si>
  <si>
    <t>イオンモール仙台上杉</t>
  </si>
  <si>
    <t>【エスビック】2025冬セール</t>
  </si>
  <si>
    <t>エスビック株式会社</t>
  </si>
  <si>
    <t>25‐26アプリスタンプキャンペーン</t>
  </si>
  <si>
    <t>消防検査</t>
  </si>
  <si>
    <t>ジュンク堂50周年企画</t>
  </si>
  <si>
    <t>株式会社丸善ジュンク堂書店</t>
  </si>
  <si>
    <t>全農大阪</t>
  </si>
  <si>
    <t>オンワード　大阪社販</t>
  </si>
  <si>
    <t>【SBJ】FY26WIN2ベアリスタメッセージギフト</t>
  </si>
  <si>
    <t>【SBJ】ロースタリーギフトバッグ</t>
  </si>
  <si>
    <t>【NEWART】銀座ダイヤモンドシライシ_今治タオルお年賀ギフト</t>
  </si>
  <si>
    <t>【NEWART】銀座ダイヤモンドシライシご来店＆ご成約特典2026~</t>
  </si>
  <si>
    <t>【東横イン】40周年式典記念品</t>
  </si>
  <si>
    <t>株式会社東横イン</t>
  </si>
  <si>
    <t>乗務員ユニフォーム</t>
  </si>
  <si>
    <t>スカイマーク株式会社</t>
  </si>
  <si>
    <t>仲川歯科</t>
  </si>
  <si>
    <t>株式会社モリタ</t>
  </si>
  <si>
    <t>【キャメル珈琲】2026年度 夏のコーヒーバッグ</t>
  </si>
  <si>
    <t>【JNTL】2025年度 26年CL3,4月号</t>
  </si>
  <si>
    <t>【楽天モバイル】ポロシャツリニューアル</t>
  </si>
  <si>
    <t>楽天モバイル株式会社</t>
  </si>
  <si>
    <t>11-12月CP</t>
  </si>
  <si>
    <t>銀座ステファニー化粧品株式会社</t>
  </si>
  <si>
    <t>2026年1Q営業支援グッズ</t>
  </si>
  <si>
    <t>住友生命保険相互会社</t>
  </si>
  <si>
    <t>2026年未来応援サービス</t>
  </si>
  <si>
    <t>【ロピア】2025ポイント交換ノベルティ</t>
  </si>
  <si>
    <t>株式会社ロピア</t>
  </si>
  <si>
    <t>AQUA店舗制服</t>
  </si>
  <si>
    <t>株式会社AQUA</t>
  </si>
  <si>
    <t>三井不動産商業マネジメント</t>
  </si>
  <si>
    <t>三井不動産商業マネジメント株式会社</t>
  </si>
  <si>
    <t>長崎浜屋KASHIYAMA</t>
  </si>
  <si>
    <t>2026　春夏キャップ</t>
  </si>
  <si>
    <t>2026年福箱</t>
  </si>
  <si>
    <t>【アイビーカンパニー】2026アフタヌーンティ夏福袋</t>
  </si>
  <si>
    <t>アルビオン：IG26SS</t>
  </si>
  <si>
    <t>アルビオン：AL26AW</t>
  </si>
  <si>
    <t>IG26AW</t>
  </si>
  <si>
    <t>【ACRO】THREEポイントプログラム（追加アイテム）</t>
  </si>
  <si>
    <t>2025年ファンクラブ会員向け優勝記念品</t>
  </si>
  <si>
    <t>【ファンケル通販】26年7月ご愛顧感謝CP</t>
  </si>
  <si>
    <t>26フレッシュネスバーガー福袋</t>
  </si>
  <si>
    <t>株式会社フレッシュネス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</si>
</sst>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quot;年&quot;m&quot;月&quot;;@"/>
    <numFmt numFmtId="177" formatCode="yyyy/m/d\ h:mm;@"/>
  </numFmts>
  <fonts count="29">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b/>
      <sz val="11"/>
      <color theme="1"/>
      <name val="游ゴシック"/>
      <family val="3"/>
      <charset val="128"/>
      <scheme val="minor"/>
    </font>
    <font>
      <b/>
      <sz val="12"/>
      <color rgb="FF56585B"/>
      <name val="Calibri"/>
      <family val="2"/>
    </font>
    <font>
      <sz val="12"/>
      <color rgb="FF000000"/>
      <name val="Calibri"/>
      <family val="2"/>
    </font>
    <font>
      <sz val="11"/>
      <color rgb="FF000000"/>
      <name val="游ゴシック"/>
      <family val="3"/>
      <charset val="128"/>
    </font>
    <font>
      <b/>
      <sz val="8"/>
      <color theme="1"/>
      <name val="游ゴシック"/>
      <family val="2"/>
      <charset val="128"/>
      <scheme val="minor"/>
    </font>
    <font>
      <sz val="11"/>
      <color theme="1"/>
      <name val="游ゴシック"/>
      <family val="3"/>
      <charset val="128"/>
    </font>
    <font>
      <sz val="12"/>
      <color rgb="FF000000"/>
      <name val="MS PGothic"/>
      <family val="3"/>
      <charset val="128"/>
    </font>
    <font>
      <sz val="12"/>
      <color theme="1"/>
      <name val="MS PGothic"/>
      <family val="3"/>
      <charset val="128"/>
    </font>
    <font>
      <sz val="12"/>
      <color rgb="FF000000"/>
      <name val="ＭＳ Ｐゴシック"/>
      <family val="3"/>
      <charset val="128"/>
    </font>
    <font>
      <u/>
      <sz val="11"/>
      <color theme="10"/>
      <name val="游ゴシック"/>
      <family val="2"/>
      <charset val="128"/>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E9E8E5"/>
        <bgColor rgb="FF000000"/>
      </patternFill>
    </fill>
    <fill>
      <patternFill patternType="solid">
        <fgColor rgb="FFFFFFFF"/>
        <bgColor rgb="FF000000"/>
      </patternFill>
    </fill>
    <fill>
      <patternFill patternType="solid">
        <fgColor theme="7"/>
        <bgColor indexed="64"/>
      </patternFill>
    </fill>
    <fill>
      <patternFill patternType="solid">
        <fgColor theme="5" tint="0.79998168889431442"/>
        <bgColor indexed="64"/>
      </patternFill>
    </fill>
    <fill>
      <patternFill patternType="solid">
        <fgColor rgb="FFFFC000"/>
        <bgColor rgb="FF000000"/>
      </patternFill>
    </fill>
    <fill>
      <patternFill patternType="solid">
        <fgColor theme="7" tint="0.79998168889431442"/>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rgb="FFFF0000"/>
      </left>
      <right style="thick">
        <color rgb="FFFF0000"/>
      </right>
      <top style="thick">
        <color rgb="FFFF0000"/>
      </top>
      <bottom style="thick">
        <color rgb="FFFF0000"/>
      </bottom>
      <diagonal/>
    </border>
    <border>
      <left style="thin">
        <color rgb="FFD5D3D1"/>
      </left>
      <right/>
      <top style="thin">
        <color rgb="FFD5D3D1"/>
      </top>
      <bottom style="thin">
        <color rgb="FFD5D3D1"/>
      </bottom>
      <diagonal/>
    </border>
    <border>
      <left/>
      <right style="thin">
        <color rgb="FFD5D3D1"/>
      </right>
      <top style="thin">
        <color rgb="FFD5D3D1"/>
      </top>
      <bottom style="thin">
        <color rgb="FFD5D3D1"/>
      </bottom>
      <diagonal/>
    </border>
    <border>
      <left/>
      <right style="thin">
        <color rgb="FFD5D3D1"/>
      </right>
      <top/>
      <bottom style="thin">
        <color rgb="FFD5D3D1"/>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s>
  <cellStyleXfs count="44">
    <xf numFmtId="0" fontId="0" fillId="0" borderId="0">
      <alignment vertical="center"/>
    </xf>
    <xf numFmtId="9" fontId="1" fillId="0" borderId="0" applyFont="0" applyFill="0" applyBorder="0" applyAlignment="0" applyProtection="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28" fillId="0" borderId="0" applyNumberFormat="0" applyFill="0" applyBorder="0" applyAlignment="0" applyProtection="0">
      <alignment vertical="center"/>
    </xf>
  </cellStyleXfs>
  <cellXfs count="65">
    <xf numFmtId="0" fontId="0" fillId="0" borderId="0" xfId="0">
      <alignment vertical="center"/>
    </xf>
    <xf numFmtId="0" fontId="0" fillId="0" borderId="0" xfId="0" pivotButton="1">
      <alignment vertical="center"/>
    </xf>
    <xf numFmtId="0" fontId="0" fillId="0" borderId="0" xfId="0" applyAlignment="1">
      <alignment horizontal="left" vertical="center"/>
    </xf>
    <xf numFmtId="0" fontId="19" fillId="33" borderId="0" xfId="0" applyFont="1" applyFill="1" applyAlignment="1">
      <alignment horizontal="left" vertical="center"/>
    </xf>
    <xf numFmtId="0" fontId="19" fillId="33" borderId="0" xfId="0" applyFont="1" applyFill="1">
      <alignment vertical="center"/>
    </xf>
    <xf numFmtId="0" fontId="19" fillId="33" borderId="10" xfId="0" applyFont="1" applyFill="1" applyBorder="1">
      <alignment vertical="center"/>
    </xf>
    <xf numFmtId="0" fontId="19" fillId="34" borderId="0" xfId="0" applyFont="1" applyFill="1">
      <alignment vertical="center"/>
    </xf>
    <xf numFmtId="0" fontId="0" fillId="35" borderId="0" xfId="0" applyFill="1">
      <alignment vertical="center"/>
    </xf>
    <xf numFmtId="9" fontId="0" fillId="0" borderId="0" xfId="1" applyFont="1">
      <alignment vertical="center"/>
    </xf>
    <xf numFmtId="9" fontId="0" fillId="35" borderId="0" xfId="1" applyFont="1" applyFill="1">
      <alignment vertical="center"/>
    </xf>
    <xf numFmtId="0" fontId="0" fillId="33" borderId="0" xfId="0" applyFill="1">
      <alignment vertical="center"/>
    </xf>
    <xf numFmtId="14" fontId="0" fillId="0" borderId="0" xfId="0" applyNumberFormat="1">
      <alignment vertical="center"/>
    </xf>
    <xf numFmtId="0" fontId="19" fillId="0" borderId="0" xfId="0" applyFont="1">
      <alignment vertical="center"/>
    </xf>
    <xf numFmtId="9" fontId="19" fillId="0" borderId="0" xfId="1" applyFont="1" applyFill="1">
      <alignment vertical="center"/>
    </xf>
    <xf numFmtId="0" fontId="0" fillId="36" borderId="0" xfId="0" applyFill="1">
      <alignment vertical="center"/>
    </xf>
    <xf numFmtId="14" fontId="20" fillId="37" borderId="12" xfId="0" applyNumberFormat="1" applyFont="1" applyFill="1" applyBorder="1" applyAlignment="1">
      <alignment horizontal="right" vertical="center"/>
    </xf>
    <xf numFmtId="14" fontId="0" fillId="0" borderId="0" xfId="0" applyNumberFormat="1" applyAlignment="1">
      <alignment horizontal="right" vertical="center"/>
    </xf>
    <xf numFmtId="14" fontId="21" fillId="38" borderId="12" xfId="0" applyNumberFormat="1" applyFont="1" applyFill="1" applyBorder="1">
      <alignment vertical="center"/>
    </xf>
    <xf numFmtId="0" fontId="21" fillId="38" borderId="13" xfId="0" applyFont="1" applyFill="1" applyBorder="1">
      <alignment vertical="center"/>
    </xf>
    <xf numFmtId="14" fontId="21" fillId="38" borderId="13" xfId="0" applyNumberFormat="1" applyFont="1" applyFill="1" applyBorder="1">
      <alignment vertical="center"/>
    </xf>
    <xf numFmtId="0" fontId="22" fillId="0" borderId="0" xfId="0" applyFont="1">
      <alignment vertical="center"/>
    </xf>
    <xf numFmtId="22" fontId="22" fillId="0" borderId="0" xfId="0" applyNumberFormat="1" applyFont="1">
      <alignment vertical="center"/>
    </xf>
    <xf numFmtId="0" fontId="0" fillId="39" borderId="0" xfId="0" applyFill="1">
      <alignment vertical="center"/>
    </xf>
    <xf numFmtId="0" fontId="0" fillId="0" borderId="14" xfId="0" applyBorder="1">
      <alignment vertical="center"/>
    </xf>
    <xf numFmtId="0" fontId="22" fillId="0" borderId="14" xfId="0" applyFont="1" applyBorder="1" applyAlignment="1">
      <alignment horizontal="center" vertical="center"/>
    </xf>
    <xf numFmtId="0" fontId="0" fillId="40" borderId="14" xfId="0" applyFill="1" applyBorder="1" applyAlignment="1">
      <alignment horizontal="center" vertical="center"/>
    </xf>
    <xf numFmtId="0" fontId="0" fillId="40" borderId="14" xfId="0" applyFill="1" applyBorder="1">
      <alignment vertical="center"/>
    </xf>
    <xf numFmtId="0" fontId="0" fillId="40" borderId="14" xfId="0" applyFill="1" applyBorder="1" applyAlignment="1">
      <alignment horizontal="right" vertical="center"/>
    </xf>
    <xf numFmtId="55" fontId="0" fillId="0" borderId="14" xfId="0" applyNumberFormat="1" applyBorder="1">
      <alignment vertical="center"/>
    </xf>
    <xf numFmtId="0" fontId="22" fillId="39" borderId="0" xfId="0" applyFont="1" applyFill="1">
      <alignment vertical="center"/>
    </xf>
    <xf numFmtId="0" fontId="0" fillId="0" borderId="14" xfId="0" applyBorder="1" applyAlignment="1">
      <alignment horizontal="center" vertical="center"/>
    </xf>
    <xf numFmtId="0" fontId="22" fillId="0" borderId="15" xfId="0" applyFont="1" applyBorder="1" applyAlignment="1">
      <alignment horizontal="center" vertical="center"/>
    </xf>
    <xf numFmtId="0" fontId="0" fillId="0" borderId="15" xfId="0" applyBorder="1">
      <alignment vertical="center"/>
    </xf>
    <xf numFmtId="0" fontId="0" fillId="40" borderId="15" xfId="0" applyFill="1" applyBorder="1">
      <alignment vertical="center"/>
    </xf>
    <xf numFmtId="0" fontId="0" fillId="0" borderId="16" xfId="0" applyBorder="1">
      <alignment vertical="center"/>
    </xf>
    <xf numFmtId="0" fontId="0" fillId="0" borderId="17" xfId="0" applyBorder="1" applyAlignment="1">
      <alignment horizontal="center" vertical="center"/>
    </xf>
    <xf numFmtId="0" fontId="0" fillId="40" borderId="18" xfId="0" applyFill="1" applyBorder="1">
      <alignment vertical="center"/>
    </xf>
    <xf numFmtId="0" fontId="0" fillId="0" borderId="17" xfId="0" applyBorder="1">
      <alignment vertical="center"/>
    </xf>
    <xf numFmtId="0" fontId="0" fillId="40" borderId="19" xfId="0" applyFill="1" applyBorder="1">
      <alignment vertical="center"/>
    </xf>
    <xf numFmtId="0" fontId="0" fillId="0" borderId="19" xfId="0" applyBorder="1">
      <alignment vertical="center"/>
    </xf>
    <xf numFmtId="0" fontId="0" fillId="40" borderId="19" xfId="0" applyFill="1" applyBorder="1" applyAlignment="1">
      <alignment horizontal="center" vertical="center"/>
    </xf>
    <xf numFmtId="0" fontId="23" fillId="40" borderId="14" xfId="0" applyFont="1" applyFill="1" applyBorder="1" applyAlignment="1">
      <alignment horizontal="left" vertical="center"/>
    </xf>
    <xf numFmtId="0" fontId="23" fillId="40" borderId="14" xfId="0" applyFont="1" applyFill="1" applyBorder="1" applyAlignment="1">
      <alignment horizontal="left" vertical="center" wrapText="1"/>
    </xf>
    <xf numFmtId="0" fontId="24" fillId="0" borderId="0" xfId="0" applyFont="1">
      <alignment vertical="center"/>
    </xf>
    <xf numFmtId="0" fontId="25" fillId="0" borderId="0" xfId="0" applyFont="1">
      <alignment vertical="center"/>
    </xf>
    <xf numFmtId="22" fontId="25" fillId="0" borderId="0" xfId="0" applyNumberFormat="1" applyFont="1">
      <alignment vertical="center"/>
    </xf>
    <xf numFmtId="177" fontId="25" fillId="0" borderId="0" xfId="0" applyNumberFormat="1" applyFont="1">
      <alignment vertical="center"/>
    </xf>
    <xf numFmtId="0" fontId="25" fillId="0" borderId="0" xfId="0" applyFont="1" applyAlignment="1">
      <alignment horizontal="center" vertical="center"/>
    </xf>
    <xf numFmtId="0" fontId="26" fillId="0" borderId="0" xfId="0" applyFont="1">
      <alignment vertical="center"/>
    </xf>
    <xf numFmtId="0" fontId="25" fillId="41" borderId="0" xfId="0" applyFont="1" applyFill="1">
      <alignment vertical="center"/>
    </xf>
    <xf numFmtId="0" fontId="26" fillId="33" borderId="0" xfId="0" applyFont="1" applyFill="1">
      <alignment vertical="center"/>
    </xf>
    <xf numFmtId="55" fontId="25" fillId="0" borderId="0" xfId="0" applyNumberFormat="1" applyFont="1">
      <alignment vertical="center"/>
    </xf>
    <xf numFmtId="55" fontId="26" fillId="0" borderId="0" xfId="0" applyNumberFormat="1" applyFont="1">
      <alignment vertical="center"/>
    </xf>
    <xf numFmtId="176" fontId="26" fillId="0" borderId="0" xfId="0" applyNumberFormat="1" applyFont="1">
      <alignment vertical="center"/>
    </xf>
    <xf numFmtId="0" fontId="26" fillId="42" borderId="0" xfId="0" applyFont="1" applyFill="1">
      <alignment vertical="center"/>
    </xf>
    <xf numFmtId="177" fontId="26" fillId="0" borderId="0" xfId="0" applyNumberFormat="1" applyFont="1">
      <alignment vertical="center"/>
    </xf>
    <xf numFmtId="0" fontId="27" fillId="0" borderId="0" xfId="0" applyFont="1">
      <alignment vertical="center"/>
    </xf>
    <xf numFmtId="22" fontId="27" fillId="0" borderId="0" xfId="0" applyNumberFormat="1" applyFont="1">
      <alignment vertical="center"/>
    </xf>
    <xf numFmtId="0" fontId="28" fillId="0" borderId="0" xfId="43" applyFill="1" applyBorder="1" applyAlignment="1">
      <alignment vertical="center"/>
    </xf>
    <xf numFmtId="0" fontId="21" fillId="38" borderId="12" xfId="0" applyFont="1" applyFill="1" applyBorder="1">
      <alignment vertical="center"/>
    </xf>
    <xf numFmtId="0" fontId="20" fillId="37" borderId="12" xfId="0" applyFont="1" applyFill="1" applyBorder="1">
      <alignment vertical="center"/>
    </xf>
    <xf numFmtId="0" fontId="21" fillId="38" borderId="11" xfId="0" applyFont="1" applyFill="1" applyBorder="1">
      <alignment vertical="center"/>
    </xf>
    <xf numFmtId="0" fontId="21" fillId="38" borderId="12" xfId="0" applyFont="1" applyFill="1" applyBorder="1">
      <alignment vertical="center"/>
    </xf>
    <xf numFmtId="0" fontId="20" fillId="37" borderId="11" xfId="0" applyFont="1" applyFill="1" applyBorder="1">
      <alignment vertical="center"/>
    </xf>
    <xf numFmtId="0" fontId="20" fillId="37" borderId="12" xfId="0" applyFont="1" applyFill="1" applyBorder="1">
      <alignment vertical="center"/>
    </xf>
  </cellXfs>
  <cellStyles count="44">
    <cellStyle name="20% - アクセント 1" xfId="20" builtinId="30" customBuiltin="1"/>
    <cellStyle name="20% - アクセント 2" xfId="24" builtinId="34" customBuiltin="1"/>
    <cellStyle name="20% - アクセント 3" xfId="28" builtinId="38" customBuiltin="1"/>
    <cellStyle name="20% - アクセント 4" xfId="32" builtinId="42" customBuiltin="1"/>
    <cellStyle name="20% - アクセント 5" xfId="36" builtinId="46" customBuiltin="1"/>
    <cellStyle name="20% - アクセント 6" xfId="40" builtinId="50" customBuiltin="1"/>
    <cellStyle name="40% - アクセント 1" xfId="21" builtinId="31" customBuiltin="1"/>
    <cellStyle name="40% - アクセント 2" xfId="25" builtinId="35" customBuiltin="1"/>
    <cellStyle name="40% - アクセント 3" xfId="29" builtinId="39" customBuiltin="1"/>
    <cellStyle name="40% - アクセント 4" xfId="33" builtinId="43" customBuiltin="1"/>
    <cellStyle name="40% - アクセント 5" xfId="37" builtinId="47" customBuiltin="1"/>
    <cellStyle name="40% - アクセント 6" xfId="41" builtinId="51" customBuiltin="1"/>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Hyperlink" xfId="43" xr:uid="{00000000-000B-0000-0000-000008000000}"/>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2" builtinId="15" customBuiltin="1"/>
    <cellStyle name="チェック セル" xfId="14" builtinId="23" customBuiltin="1"/>
    <cellStyle name="どちらでもない" xfId="9" builtinId="28" customBuiltin="1"/>
    <cellStyle name="パーセント" xfId="1" builtinId="5"/>
    <cellStyle name="メモ" xfId="16" builtinId="10" customBuiltin="1"/>
    <cellStyle name="リンク セル" xfId="13" builtinId="24" customBuiltin="1"/>
    <cellStyle name="悪い" xfId="8" builtinId="27" customBuiltin="1"/>
    <cellStyle name="計算" xfId="12" builtinId="22" customBuiltin="1"/>
    <cellStyle name="警告文" xfId="15" builtinId="11" customBuiltin="1"/>
    <cellStyle name="見出し 1" xfId="3" builtinId="16" customBuiltin="1"/>
    <cellStyle name="見出し 2" xfId="4" builtinId="17" customBuiltin="1"/>
    <cellStyle name="見出し 3" xfId="5" builtinId="18" customBuiltin="1"/>
    <cellStyle name="見出し 4" xfId="6" builtinId="19" customBuiltin="1"/>
    <cellStyle name="集計" xfId="18" builtinId="25" customBuiltin="1"/>
    <cellStyle name="出力" xfId="11" builtinId="21" customBuiltin="1"/>
    <cellStyle name="説明文" xfId="17" builtinId="53" customBuiltin="1"/>
    <cellStyle name="入力" xfId="10" builtinId="20" customBuiltin="1"/>
    <cellStyle name="標準" xfId="0" builtinId="0"/>
    <cellStyle name="良い" xfId="7" builtinId="26" customBuiltin="1"/>
  </cellStyles>
  <dxfs count="3">
    <dxf>
      <font>
        <color rgb="FF9C5700"/>
      </font>
      <fill>
        <patternFill>
          <bgColor rgb="FFFFEB9C"/>
        </patternFill>
      </fill>
    </dxf>
    <dxf>
      <font>
        <color rgb="FF9C5700"/>
      </font>
      <fill>
        <patternFill>
          <bgColor rgb="FFFFEB9C"/>
        </patternFill>
      </fill>
    </dxf>
    <dxf>
      <fill>
        <patternFill patternType="solid">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SCH</a:t>
            </a:r>
            <a:r>
              <a:rPr lang="ja-JP" altLang="en-US"/>
              <a:t>｜</a:t>
            </a:r>
            <a:r>
              <a:rPr lang="en-US" altLang="ja-JP"/>
              <a:t>SQL/MQL</a:t>
            </a:r>
            <a:r>
              <a:rPr lang="ja-JP" altLang="en-US"/>
              <a:t>月次推移</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SQL</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流入チャネル別集計!$A$32:$A$49</c:f>
              <c:numCache>
                <c:formatCode>yyyy"年"m"月"</c:formatCode>
                <c:ptCount val="18"/>
                <c:pt idx="0">
                  <c:v>45536</c:v>
                </c:pt>
                <c:pt idx="1">
                  <c:v>45566</c:v>
                </c:pt>
                <c:pt idx="2">
                  <c:v>45597</c:v>
                </c:pt>
                <c:pt idx="3">
                  <c:v>45627</c:v>
                </c:pt>
                <c:pt idx="4">
                  <c:v>45658</c:v>
                </c:pt>
                <c:pt idx="5">
                  <c:v>45689</c:v>
                </c:pt>
                <c:pt idx="6">
                  <c:v>45717</c:v>
                </c:pt>
                <c:pt idx="7">
                  <c:v>45748</c:v>
                </c:pt>
                <c:pt idx="8">
                  <c:v>45778</c:v>
                </c:pt>
                <c:pt idx="9">
                  <c:v>45809</c:v>
                </c:pt>
                <c:pt idx="10">
                  <c:v>45839</c:v>
                </c:pt>
                <c:pt idx="11">
                  <c:v>45870</c:v>
                </c:pt>
                <c:pt idx="12">
                  <c:v>45901</c:v>
                </c:pt>
                <c:pt idx="13">
                  <c:v>45931</c:v>
                </c:pt>
                <c:pt idx="14">
                  <c:v>45962</c:v>
                </c:pt>
                <c:pt idx="15">
                  <c:v>45992</c:v>
                </c:pt>
                <c:pt idx="16">
                  <c:v>46023</c:v>
                </c:pt>
                <c:pt idx="17">
                  <c:v>46054</c:v>
                </c:pt>
              </c:numCache>
            </c:numRef>
          </c:cat>
          <c:val>
            <c:numRef>
              <c:f>流入チャネル別集計!$B$32:$B$49</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2-1293-474E-9C85-CB0FE3D76AAC}"/>
            </c:ext>
          </c:extLst>
        </c:ser>
        <c:ser>
          <c:idx val="1"/>
          <c:order val="1"/>
          <c:tx>
            <c:v>MQL</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流入チャネル別集計!$A$32:$A$49</c:f>
              <c:numCache>
                <c:formatCode>yyyy"年"m"月"</c:formatCode>
                <c:ptCount val="18"/>
                <c:pt idx="0">
                  <c:v>45536</c:v>
                </c:pt>
                <c:pt idx="1">
                  <c:v>45566</c:v>
                </c:pt>
                <c:pt idx="2">
                  <c:v>45597</c:v>
                </c:pt>
                <c:pt idx="3">
                  <c:v>45627</c:v>
                </c:pt>
                <c:pt idx="4">
                  <c:v>45658</c:v>
                </c:pt>
                <c:pt idx="5">
                  <c:v>45689</c:v>
                </c:pt>
                <c:pt idx="6">
                  <c:v>45717</c:v>
                </c:pt>
                <c:pt idx="7">
                  <c:v>45748</c:v>
                </c:pt>
                <c:pt idx="8">
                  <c:v>45778</c:v>
                </c:pt>
                <c:pt idx="9">
                  <c:v>45809</c:v>
                </c:pt>
                <c:pt idx="10">
                  <c:v>45839</c:v>
                </c:pt>
                <c:pt idx="11">
                  <c:v>45870</c:v>
                </c:pt>
                <c:pt idx="12">
                  <c:v>45901</c:v>
                </c:pt>
                <c:pt idx="13">
                  <c:v>45931</c:v>
                </c:pt>
                <c:pt idx="14">
                  <c:v>45962</c:v>
                </c:pt>
                <c:pt idx="15">
                  <c:v>45992</c:v>
                </c:pt>
                <c:pt idx="16">
                  <c:v>46023</c:v>
                </c:pt>
                <c:pt idx="17">
                  <c:v>46054</c:v>
                </c:pt>
              </c:numCache>
            </c:numRef>
          </c:cat>
          <c:val>
            <c:numRef>
              <c:f>流入チャネル別集計!$C$32:$C$49</c:f>
              <c:numCache>
                <c:formatCode>General</c:formatCode>
                <c:ptCount val="18"/>
                <c:pt idx="0">
                  <c:v>0</c:v>
                </c:pt>
                <c:pt idx="1">
                  <c:v>3</c:v>
                </c:pt>
                <c:pt idx="2">
                  <c:v>6</c:v>
                </c:pt>
                <c:pt idx="3">
                  <c:v>4</c:v>
                </c:pt>
                <c:pt idx="4">
                  <c:v>3</c:v>
                </c:pt>
                <c:pt idx="5">
                  <c:v>3</c:v>
                </c:pt>
                <c:pt idx="6">
                  <c:v>8</c:v>
                </c:pt>
                <c:pt idx="7">
                  <c:v>4</c:v>
                </c:pt>
                <c:pt idx="8">
                  <c:v>5</c:v>
                </c:pt>
                <c:pt idx="9">
                  <c:v>7</c:v>
                </c:pt>
                <c:pt idx="10">
                  <c:v>0</c:v>
                </c:pt>
                <c:pt idx="11">
                  <c:v>2</c:v>
                </c:pt>
                <c:pt idx="12">
                  <c:v>3</c:v>
                </c:pt>
                <c:pt idx="13">
                  <c:v>1</c:v>
                </c:pt>
                <c:pt idx="14">
                  <c:v>2</c:v>
                </c:pt>
                <c:pt idx="15">
                  <c:v>2</c:v>
                </c:pt>
                <c:pt idx="16">
                  <c:v>2</c:v>
                </c:pt>
                <c:pt idx="17">
                  <c:v>3</c:v>
                </c:pt>
              </c:numCache>
            </c:numRef>
          </c:val>
          <c:smooth val="0"/>
          <c:extLst>
            <c:ext xmlns:c16="http://schemas.microsoft.com/office/drawing/2014/chart" uri="{C3380CC4-5D6E-409C-BE32-E72D297353CC}">
              <c16:uniqueId val="{00000004-1293-474E-9C85-CB0FE3D76AAC}"/>
            </c:ext>
          </c:extLst>
        </c:ser>
        <c:dLbls>
          <c:showLegendKey val="0"/>
          <c:showVal val="0"/>
          <c:showCatName val="0"/>
          <c:showSerName val="0"/>
          <c:showPercent val="0"/>
          <c:showBubbleSize val="0"/>
        </c:dLbls>
        <c:smooth val="0"/>
        <c:axId val="904909319"/>
        <c:axId val="911327239"/>
      </c:lineChart>
      <c:dateAx>
        <c:axId val="904909319"/>
        <c:scaling>
          <c:orientation val="minMax"/>
        </c:scaling>
        <c:delete val="0"/>
        <c:axPos val="b"/>
        <c:numFmt formatCode="yyyy&quot;年&quot;m&quot;月&quot;"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327239"/>
        <c:crosses val="autoZero"/>
        <c:auto val="1"/>
        <c:lblOffset val="100"/>
        <c:baseTimeUnit val="months"/>
      </c:dateAx>
      <c:valAx>
        <c:axId val="911327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909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66675</xdr:rowOff>
    </xdr:from>
    <xdr:to>
      <xdr:col>16</xdr:col>
      <xdr:colOff>476250</xdr:colOff>
      <xdr:row>13</xdr:row>
      <xdr:rowOff>209550</xdr:rowOff>
    </xdr:to>
    <xdr:sp macro="" textlink="">
      <xdr:nvSpPr>
        <xdr:cNvPr id="2" name="四角形 1">
          <a:extLst>
            <a:ext uri="{FF2B5EF4-FFF2-40B4-BE49-F238E27FC236}">
              <a16:creationId xmlns:a16="http://schemas.microsoft.com/office/drawing/2014/main" id="{E37F2C32-AE53-419B-9DEC-BBA51A3B35EA}"/>
            </a:ext>
            <a:ext uri="{147F2762-F138-4A5C-976F-8EAC2B608ADB}">
              <a16:predDERef xmlns:a16="http://schemas.microsoft.com/office/drawing/2014/main" pred="{12771FDF-DC0D-8230-24F0-3A5265F67A6D}"/>
            </a:ext>
          </a:extLst>
        </xdr:cNvPr>
        <xdr:cNvSpPr/>
      </xdr:nvSpPr>
      <xdr:spPr>
        <a:xfrm>
          <a:off x="0" y="66675"/>
          <a:ext cx="13515975" cy="3124200"/>
        </a:xfrm>
        <a:prstGeom prst="rect">
          <a:avLst/>
        </a:prstGeom>
        <a:solidFill>
          <a:srgbClr val="000000">
            <a:alpha val="4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ja-JP" altLang="en-US" sz="2000" b="0" i="0" u="none" strike="noStrike">
              <a:solidFill>
                <a:schemeClr val="lt1"/>
              </a:solidFill>
              <a:latin typeface="Aptos Narrow" panose="020B0004020202020204" pitchFamily="34" charset="0"/>
            </a:rPr>
            <a:t>使わない</a:t>
          </a:r>
        </a:p>
      </xdr:txBody>
    </xdr:sp>
    <xdr:clientData/>
  </xdr:twoCellAnchor>
  <xdr:twoCellAnchor>
    <xdr:from>
      <xdr:col>4</xdr:col>
      <xdr:colOff>19050</xdr:colOff>
      <xdr:row>30</xdr:row>
      <xdr:rowOff>0</xdr:rowOff>
    </xdr:from>
    <xdr:to>
      <xdr:col>12</xdr:col>
      <xdr:colOff>114300</xdr:colOff>
      <xdr:row>49</xdr:row>
      <xdr:rowOff>95250</xdr:rowOff>
    </xdr:to>
    <xdr:graphicFrame macro="">
      <xdr:nvGraphicFramePr>
        <xdr:cNvPr id="3" name="グラフ 2">
          <a:extLst>
            <a:ext uri="{FF2B5EF4-FFF2-40B4-BE49-F238E27FC236}">
              <a16:creationId xmlns:a16="http://schemas.microsoft.com/office/drawing/2014/main" id="{170DBF8C-AF18-65FF-7DEB-1E86505548CE}"/>
            </a:ext>
            <a:ext uri="{147F2762-F138-4A5C-976F-8EAC2B608ADB}">
              <a16:predDERef xmlns:a16="http://schemas.microsoft.com/office/drawing/2014/main" pred="{E37F2C32-AE53-419B-9DEC-BBA51A3B35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123825</xdr:rowOff>
    </xdr:from>
    <xdr:to>
      <xdr:col>10</xdr:col>
      <xdr:colOff>142875</xdr:colOff>
      <xdr:row>21</xdr:row>
      <xdr:rowOff>114300</xdr:rowOff>
    </xdr:to>
    <xdr:sp macro="" textlink="">
      <xdr:nvSpPr>
        <xdr:cNvPr id="4" name="四角形 3">
          <a:extLst>
            <a:ext uri="{FF2B5EF4-FFF2-40B4-BE49-F238E27FC236}">
              <a16:creationId xmlns:a16="http://schemas.microsoft.com/office/drawing/2014/main" id="{193C36F8-2202-4728-ABCB-E8F6684AF1AD}"/>
            </a:ext>
            <a:ext uri="{147F2762-F138-4A5C-976F-8EAC2B608ADB}">
              <a16:predDERef xmlns:a16="http://schemas.microsoft.com/office/drawing/2014/main" pred="{170DBF8C-AF18-65FF-7DEB-1E86505548CE}"/>
            </a:ext>
          </a:extLst>
        </xdr:cNvPr>
        <xdr:cNvSpPr/>
      </xdr:nvSpPr>
      <xdr:spPr>
        <a:xfrm>
          <a:off x="0" y="3333750"/>
          <a:ext cx="9067800" cy="1419225"/>
        </a:xfrm>
        <a:prstGeom prst="rect">
          <a:avLst/>
        </a:prstGeom>
        <a:solidFill>
          <a:srgbClr val="000000">
            <a:alpha val="4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ja-JP" altLang="en-US" sz="2000" b="0" i="0" u="none" strike="noStrike">
              <a:solidFill>
                <a:schemeClr val="lt1"/>
              </a:solidFill>
              <a:latin typeface="Aptos Narrow" panose="020B0004020202020204" pitchFamily="34" charset="0"/>
            </a:rPr>
            <a:t>使わない</a:t>
          </a:r>
        </a:p>
      </xdr:txBody>
    </xdr:sp>
    <xdr:clientData/>
  </xdr:twoCellAnchor>
  <xdr:twoCellAnchor>
    <xdr:from>
      <xdr:col>1</xdr:col>
      <xdr:colOff>0</xdr:colOff>
      <xdr:row>21</xdr:row>
      <xdr:rowOff>161925</xdr:rowOff>
    </xdr:from>
    <xdr:to>
      <xdr:col>9</xdr:col>
      <xdr:colOff>676275</xdr:colOff>
      <xdr:row>28</xdr:row>
      <xdr:rowOff>47625</xdr:rowOff>
    </xdr:to>
    <xdr:sp macro="" textlink="">
      <xdr:nvSpPr>
        <xdr:cNvPr id="5" name="四角形 4">
          <a:extLst>
            <a:ext uri="{FF2B5EF4-FFF2-40B4-BE49-F238E27FC236}">
              <a16:creationId xmlns:a16="http://schemas.microsoft.com/office/drawing/2014/main" id="{B91FF47F-8C11-43BE-BFCB-6391CC5B11EC}"/>
            </a:ext>
            <a:ext uri="{147F2762-F138-4A5C-976F-8EAC2B608ADB}">
              <a16:predDERef xmlns:a16="http://schemas.microsoft.com/office/drawing/2014/main" pred="{193C36F8-2202-4728-ABCB-E8F6684AF1AD}"/>
            </a:ext>
          </a:extLst>
        </xdr:cNvPr>
        <xdr:cNvSpPr/>
      </xdr:nvSpPr>
      <xdr:spPr>
        <a:xfrm>
          <a:off x="1238250" y="4800600"/>
          <a:ext cx="7677150" cy="1285875"/>
        </a:xfrm>
        <a:prstGeom prst="rect">
          <a:avLst/>
        </a:prstGeom>
        <a:solidFill>
          <a:srgbClr val="000000">
            <a:alpha val="4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ja-JP" altLang="en-US" sz="2000" b="0" i="0" u="none" strike="noStrike">
              <a:solidFill>
                <a:schemeClr val="lt1"/>
              </a:solidFill>
              <a:latin typeface="Aptos Narrow" panose="020B0004020202020204" pitchFamily="34" charset="0"/>
            </a:rPr>
            <a:t>使わない</a:t>
          </a:r>
        </a:p>
      </xdr:txBody>
    </xdr:sp>
    <xdr:clientData/>
  </xdr:twoCellAnchor>
</xdr:wsDr>
</file>

<file path=xl/persons/person.xml><?xml version="1.0" encoding="utf-8"?>
<personList xmlns="http://schemas.microsoft.com/office/spreadsheetml/2018/threadedcomments" xmlns:x="http://schemas.openxmlformats.org/spreadsheetml/2006/main">
  <person displayName="神吉 まあや" id="{24B0FD3C-D20A-45F1-840C-00973007F97C}" userId="S::m-kanki@onward.co.jp::323b030d-3703-43a0-ab5a-3f93c9881e61"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神吉 まあや" refreshedDate="45681.722642592591" createdVersion="8" refreshedVersion="8" minRefreshableVersion="3" recordCount="20" xr:uid="{03C7AB7B-B3E1-4742-92FB-81B5ACE1C5E2}">
  <cacheSource type="worksheet">
    <worksheetSource ref="A1:J22" sheet="流入チャネル別顧客一覧"/>
  </cacheSource>
  <cacheFields count="9">
    <cacheField name=" CVフラグ" numFmtId="0">
      <sharedItems count="3">
        <s v="お問い合わせ完了"/>
        <s v="お役立ち資料DL"/>
        <s v="サービス資料DL"/>
      </sharedItems>
    </cacheField>
    <cacheField name="回答日時" numFmtId="14">
      <sharedItems containsSemiMixedTypes="0" containsNonDate="0" containsDate="1" containsString="0" minDate="2024-10-09T14:10:08" maxDate="2025-01-22T16:50:04"/>
    </cacheField>
    <cacheField name="学校名" numFmtId="0">
      <sharedItems/>
    </cacheField>
    <cacheField name="お名前" numFmtId="0">
      <sharedItems/>
    </cacheField>
    <cacheField name="direct" numFmtId="0">
      <sharedItems containsSemiMixedTypes="0" containsString="0" containsNumber="1" containsInteger="1" minValue="0" maxValue="1"/>
    </cacheField>
    <cacheField name="link" numFmtId="0">
      <sharedItems containsSemiMixedTypes="0" containsString="0" containsNumber="1" containsInteger="1" minValue="0" maxValue="1"/>
    </cacheField>
    <cacheField name="listing" numFmtId="0">
      <sharedItems containsSemiMixedTypes="0" containsString="0" containsNumber="1" containsInteger="1" minValue="0" maxValue="1"/>
    </cacheField>
    <cacheField name="mail" numFmtId="0">
      <sharedItems containsSemiMixedTypes="0" containsString="0" containsNumber="1" containsInteger="1" minValue="0" maxValue="1"/>
    </cacheField>
    <cacheField name="organic"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d v="2024-10-09T14:10:08"/>
    <s v="株式会社HA-LU"/>
    <s v="牧野　倭"/>
    <n v="0"/>
    <n v="0"/>
    <n v="1"/>
    <n v="0"/>
    <n v="1"/>
  </r>
  <r>
    <x v="0"/>
    <d v="2024-10-16T16:15:53"/>
    <s v="有限会社サンドレスワールド"/>
    <s v="山本　透"/>
    <n v="0"/>
    <n v="0"/>
    <n v="0"/>
    <n v="0"/>
    <n v="1"/>
  </r>
  <r>
    <x v="0"/>
    <d v="2024-11-01T16:44:03"/>
    <s v="株式会社LuaaZ"/>
    <s v="稲垣　優季"/>
    <n v="0"/>
    <n v="0"/>
    <n v="1"/>
    <n v="0"/>
    <n v="1"/>
  </r>
  <r>
    <x v="0"/>
    <d v="2024-11-07T12:37:09"/>
    <s v="株式会社NYY"/>
    <s v="江藤明子"/>
    <n v="0"/>
    <n v="0"/>
    <n v="1"/>
    <n v="0"/>
    <n v="1"/>
  </r>
  <r>
    <x v="0"/>
    <d v="2024-11-10T13:05:43"/>
    <s v="株式会社Starlight"/>
    <s v="北井　さくら"/>
    <n v="0"/>
    <n v="0"/>
    <n v="0"/>
    <n v="0"/>
    <n v="1"/>
  </r>
  <r>
    <x v="0"/>
    <d v="2024-11-15T14:37:50"/>
    <s v="ナーシング高等学院"/>
    <s v="水野惠介"/>
    <n v="0"/>
    <n v="0"/>
    <n v="1"/>
    <n v="0"/>
    <n v="1"/>
  </r>
  <r>
    <x v="0"/>
    <d v="2024-12-09T08:14:53"/>
    <s v="株式会社ちぼりホールディングス"/>
    <s v="コーポレートデザイン部 嶋 絵夢"/>
    <n v="0"/>
    <n v="1"/>
    <n v="1"/>
    <n v="0"/>
    <n v="1"/>
  </r>
  <r>
    <x v="0"/>
    <d v="2024-12-18T13:20:03"/>
    <s v="株式会社Starlight"/>
    <s v="北井　さくら"/>
    <n v="0"/>
    <n v="0"/>
    <n v="0"/>
    <n v="0"/>
    <n v="1"/>
  </r>
  <r>
    <x v="0"/>
    <d v="2024-12-26T17:12:27"/>
    <s v="筑波大学付属坂戸高校"/>
    <s v="片野陽子"/>
    <n v="0"/>
    <n v="0"/>
    <n v="0"/>
    <n v="0"/>
    <n v="1"/>
  </r>
  <r>
    <x v="0"/>
    <d v="2025-01-22T16:50:04"/>
    <s v="京都共栄学園高等学校吹奏楽部"/>
    <s v="西川 友雅"/>
    <n v="0"/>
    <n v="0"/>
    <n v="0"/>
    <n v="0"/>
    <n v="1"/>
  </r>
  <r>
    <x v="1"/>
    <d v="2024-10-19T10:12:20"/>
    <s v="常総学院バス（株）"/>
    <s v="大久保　孝"/>
    <n v="0"/>
    <n v="0"/>
    <n v="1"/>
    <n v="0"/>
    <n v="1"/>
  </r>
  <r>
    <x v="1"/>
    <d v="2024-11-05T19:44:52"/>
    <s v="埼玉県立朝霞高等学校"/>
    <s v="大山祐奈"/>
    <n v="0"/>
    <n v="0"/>
    <n v="0"/>
    <n v="0"/>
    <n v="1"/>
  </r>
  <r>
    <x v="1"/>
    <d v="2024-12-17T15:24:37"/>
    <s v="八木クリエイティブ"/>
    <s v="松田豊"/>
    <n v="0"/>
    <n v="0"/>
    <n v="1"/>
    <n v="0"/>
    <n v="1"/>
  </r>
  <r>
    <x v="1"/>
    <d v="2025-01-09T19:06:43"/>
    <s v="周南市立徳山高等学校"/>
    <s v="加藤愛花"/>
    <n v="1"/>
    <n v="0"/>
    <n v="0"/>
    <n v="0"/>
    <n v="1"/>
  </r>
  <r>
    <x v="1"/>
    <d v="2025-01-22T09:30:44"/>
    <s v="花巻東高等学校"/>
    <s v="教頭　木村司"/>
    <n v="0"/>
    <n v="0"/>
    <n v="0"/>
    <n v="1"/>
    <n v="0"/>
  </r>
  <r>
    <x v="2"/>
    <d v="2024-10-19T10:02:07"/>
    <s v="常総学院バス（株）"/>
    <s v="大久保　孝"/>
    <n v="0"/>
    <n v="0"/>
    <n v="1"/>
    <n v="0"/>
    <n v="1"/>
  </r>
  <r>
    <x v="2"/>
    <d v="2024-11-07T15:13:16"/>
    <s v="株式会社ブルースカイ"/>
    <s v="北原千春"/>
    <n v="1"/>
    <n v="0"/>
    <n v="0"/>
    <n v="0"/>
    <n v="0"/>
  </r>
  <r>
    <x v="2"/>
    <d v="2024-11-15T12:57:25"/>
    <s v="ナーシング高等学院"/>
    <s v="水野惠介"/>
    <n v="0"/>
    <n v="0"/>
    <n v="1"/>
    <n v="0"/>
    <n v="1"/>
  </r>
  <r>
    <x v="2"/>
    <d v="2024-12-16T19:30:30"/>
    <s v="健行國小"/>
    <s v="Edric"/>
    <n v="0"/>
    <n v="1"/>
    <n v="0"/>
    <n v="0"/>
    <n v="0"/>
  </r>
  <r>
    <x v="2"/>
    <d v="2025-01-09T15:19:03"/>
    <s v="花巻東高等学校"/>
    <s v="教頭　木村司"/>
    <n v="0"/>
    <n v="0"/>
    <n v="0"/>
    <n v="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28C462-C9DC-4366-872A-7D795C127F9A}" name="ピボットテーブル10" cacheId="2"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location ref="A3:F7" firstHeaderRow="0" firstDataRow="1" firstDataCol="1"/>
  <pivotFields count="9">
    <pivotField axis="axisRow" showAll="0">
      <items count="4">
        <item x="0"/>
        <item x="1"/>
        <item x="2"/>
        <item t="default"/>
      </items>
    </pivotField>
    <pivotField numFmtId="14" showAll="0"/>
    <pivotField showAll="0"/>
    <pivotField showAll="0"/>
    <pivotField dataField="1" showAll="0"/>
    <pivotField dataField="1" showAll="0"/>
    <pivotField dataField="1" showAll="0"/>
    <pivotField dataField="1" showAll="0"/>
    <pivotField dataField="1" showAll="0"/>
  </pivotFields>
  <rowFields count="1">
    <field x="0"/>
  </rowFields>
  <rowItems count="4">
    <i>
      <x/>
    </i>
    <i>
      <x v="1"/>
    </i>
    <i>
      <x v="2"/>
    </i>
    <i t="grand">
      <x/>
    </i>
  </rowItems>
  <colFields count="1">
    <field x="-2"/>
  </colFields>
  <colItems count="5">
    <i>
      <x/>
    </i>
    <i i="1">
      <x v="1"/>
    </i>
    <i i="2">
      <x v="2"/>
    </i>
    <i i="3">
      <x v="3"/>
    </i>
    <i i="4">
      <x v="4"/>
    </i>
  </colItems>
  <dataFields count="5">
    <dataField name="合計 / direct" fld="4" baseField="0" baseItem="0"/>
    <dataField name="合計 / link" fld="5" baseField="0" baseItem="0"/>
    <dataField name="合計 / listing" fld="6" baseField="0" baseItem="0"/>
    <dataField name="合計 / mail" fld="7" baseField="0" baseItem="0"/>
    <dataField name="合計 / organic"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G7" dT="2025-01-24T08:06:48.00" personId="{24B0FD3C-D20A-45F1-840C-00973007F97C}" id="{2BE5F242-F098-4CAA-86F0-C0D76F806229}">
    <text>非ユニーク</text>
  </threadedComment>
  <threadedComment ref="H7" dT="2025-01-27T02:15:47.68" personId="{24B0FD3C-D20A-45F1-840C-00973007F97C}" id="{03991D1D-1126-4451-A848-94010F145D14}">
    <text>ユニーク</text>
  </threadedComment>
  <threadedComment ref="I7" dT="2025-01-24T07:43:12.93" personId="{24B0FD3C-D20A-45F1-840C-00973007F97C}" id="{92974422-4767-4216-ACC2-23B24072C782}">
    <text>ユニーク＋千葉黎明</text>
  </threadedComment>
  <threadedComment ref="G8" dT="2025-01-24T07:56:07.61" personId="{24B0FD3C-D20A-45F1-840C-00973007F97C}" id="{27C9098C-96D5-4DE0-873D-265A77748368}">
    <text>非ユニーク</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hyperlink" Target="mailto:tsukamoto@ivycs.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5E868-337C-471A-9A73-69009F8B2D6E}">
  <dimension ref="A3:O52"/>
  <sheetViews>
    <sheetView topLeftCell="A21" workbookViewId="0">
      <selection activeCell="A29" sqref="A29"/>
    </sheetView>
  </sheetViews>
  <sheetFormatPr defaultRowHeight="18"/>
  <cols>
    <col min="1" max="1" width="16.25" bestFit="1" customWidth="1"/>
    <col min="2" max="2" width="12.25" bestFit="1" customWidth="1"/>
    <col min="3" max="3" width="10.08203125" bestFit="1" customWidth="1"/>
    <col min="4" max="4" width="12.5" bestFit="1" customWidth="1"/>
    <col min="5" max="5" width="10.75" bestFit="1" customWidth="1"/>
    <col min="6" max="6" width="13.83203125" bestFit="1" customWidth="1"/>
    <col min="8" max="8" width="14.33203125" customWidth="1"/>
    <col min="13" max="13" width="10.25" customWidth="1"/>
  </cols>
  <sheetData>
    <row r="3" spans="1:15">
      <c r="A3" s="1" t="s">
        <v>0</v>
      </c>
      <c r="B3" t="s">
        <v>1</v>
      </c>
      <c r="C3" t="s">
        <v>2</v>
      </c>
      <c r="D3" t="s">
        <v>3</v>
      </c>
      <c r="E3" t="s">
        <v>4</v>
      </c>
      <c r="F3" t="s">
        <v>5</v>
      </c>
      <c r="G3" s="6" t="s">
        <v>6</v>
      </c>
      <c r="H3" s="6" t="s">
        <v>7</v>
      </c>
      <c r="I3" s="3" t="s">
        <v>8</v>
      </c>
      <c r="J3" s="12" t="s">
        <v>9</v>
      </c>
      <c r="K3" s="12" t="s">
        <v>10</v>
      </c>
      <c r="L3" s="12" t="s">
        <v>11</v>
      </c>
      <c r="M3" s="12" t="s">
        <v>12</v>
      </c>
      <c r="N3" s="12" t="s">
        <v>13</v>
      </c>
      <c r="O3" s="12" t="s">
        <v>14</v>
      </c>
    </row>
    <row r="4" spans="1:15">
      <c r="A4" s="2" t="s">
        <v>15</v>
      </c>
      <c r="B4">
        <v>0</v>
      </c>
      <c r="C4">
        <v>1</v>
      </c>
      <c r="D4">
        <v>5</v>
      </c>
      <c r="E4">
        <v>0</v>
      </c>
      <c r="F4">
        <v>10</v>
      </c>
      <c r="G4" s="6">
        <f>SUM(B4:F4)</f>
        <v>16</v>
      </c>
      <c r="H4" s="6">
        <v>9</v>
      </c>
      <c r="I4" s="4">
        <v>2</v>
      </c>
      <c r="J4" s="12" t="e" cm="1">
        <f t="array" ref="J4">SUMPRODUCT((流入チャネル別顧客一覧_ユニーク!$B:$B="お問い合わせ完了")*((流入チャネル別顧客一覧_ユニーク!#REF!="商談済み")+(流入チャネル別顧客一覧_ユニーク!#REF!="見積提出済み")+(流入チャネル別顧客一覧_ユニーク!#REF!="受注済み")))</f>
        <v>#REF!</v>
      </c>
      <c r="K4" s="13" t="e">
        <f>J4/H4</f>
        <v>#REF!</v>
      </c>
      <c r="L4" s="12" t="e" cm="1">
        <f t="array" ref="L4">SUMPRODUCT((流入チャネル別顧客一覧_ユニーク!$B:$B="お問い合わせ完了")*(流入チャネル別顧客一覧_ユニーク!#REF!="見積提出済み"))</f>
        <v>#REF!</v>
      </c>
      <c r="M4" s="13" t="e">
        <f>L4/H4</f>
        <v>#REF!</v>
      </c>
      <c r="N4" s="12" t="e" cm="1">
        <f t="array" ref="N4">SUMPRODUCT((流入チャネル別顧客一覧_ユニーク!$B:$B="お問い合わせ完了")*(流入チャネル別顧客一覧_ユニーク!#REF!="受注済み"))</f>
        <v>#REF!</v>
      </c>
      <c r="O4" s="13" t="e">
        <f>N4/H4</f>
        <v>#REF!</v>
      </c>
    </row>
    <row r="5" spans="1:15">
      <c r="A5" s="2" t="s">
        <v>16</v>
      </c>
      <c r="B5">
        <v>1</v>
      </c>
      <c r="C5">
        <v>0</v>
      </c>
      <c r="D5">
        <v>2</v>
      </c>
      <c r="E5">
        <v>1</v>
      </c>
      <c r="F5">
        <v>4</v>
      </c>
      <c r="G5" s="6">
        <f t="shared" ref="G5:G7" si="0">SUM(B5:F5)</f>
        <v>8</v>
      </c>
      <c r="H5" s="6">
        <v>3</v>
      </c>
      <c r="I5" s="4">
        <v>0</v>
      </c>
      <c r="J5" s="12" t="e" cm="1">
        <f t="array" ref="J5">SUMPRODUCT((流入チャネル別顧客一覧_ユニーク!$B:$B="お役立ち資料DL")*((流入チャネル別顧客一覧_ユニーク!#REF!="商談済み")+(流入チャネル別顧客一覧_ユニーク!#REF!="見積提出済み")+(流入チャネル別顧客一覧_ユニーク!#REF!="受注済み")))</f>
        <v>#REF!</v>
      </c>
      <c r="K5" s="13" t="e">
        <f t="shared" ref="K5:K7" si="1">J5/H5</f>
        <v>#REF!</v>
      </c>
      <c r="L5" s="12" t="e" cm="1">
        <f t="array" ref="L5">SUMPRODUCT((流入チャネル別顧客一覧_ユニーク!$B:$B="お役立ち資料DL")*(流入チャネル別顧客一覧_ユニーク!#REF!="見積提出済み"))</f>
        <v>#REF!</v>
      </c>
      <c r="M5" s="13" t="e">
        <f t="shared" ref="M5:M7" si="2">L5/H5</f>
        <v>#REF!</v>
      </c>
      <c r="N5" s="12" t="e" cm="1">
        <f t="array" ref="N5">SUMPRODUCT((流入チャネル別顧客一覧_ユニーク!$B:$B="お役立ち資料DL")*(流入チャネル別顧客一覧_ユニーク!#REF!="受注済み"))</f>
        <v>#REF!</v>
      </c>
      <c r="O5" s="13" t="e">
        <f t="shared" ref="O5:O7" si="3">N5/H5</f>
        <v>#REF!</v>
      </c>
    </row>
    <row r="6" spans="1:15" ht="18.5" thickBot="1">
      <c r="A6" s="2" t="s">
        <v>17</v>
      </c>
      <c r="B6">
        <v>1</v>
      </c>
      <c r="C6">
        <v>1</v>
      </c>
      <c r="D6">
        <v>2</v>
      </c>
      <c r="E6">
        <v>1</v>
      </c>
      <c r="F6">
        <v>2</v>
      </c>
      <c r="G6" s="6">
        <f t="shared" si="0"/>
        <v>7</v>
      </c>
      <c r="H6" s="6">
        <v>4</v>
      </c>
      <c r="I6" s="4">
        <v>1</v>
      </c>
      <c r="J6" s="12" t="e" cm="1">
        <f t="array" ref="J6">SUMPRODUCT((流入チャネル別顧客一覧_ユニーク!$B:$B="サービス資料DL")*((流入チャネル別顧客一覧_ユニーク!#REF!="商談済み")+(流入チャネル別顧客一覧_ユニーク!#REF!="見積提出済み")+(流入チャネル別顧客一覧_ユニーク!#REF!="受注済み")))</f>
        <v>#REF!</v>
      </c>
      <c r="K6" s="13" t="e">
        <f t="shared" si="1"/>
        <v>#REF!</v>
      </c>
      <c r="L6" s="12" t="e" cm="1">
        <f t="array" ref="L6">SUMPRODUCT((流入チャネル別顧客一覧_ユニーク!$B:$B="サービス資料DL")*(流入チャネル別顧客一覧_ユニーク!#REF!="見積提出済み"))</f>
        <v>#REF!</v>
      </c>
      <c r="M6" s="13" t="e">
        <f t="shared" si="2"/>
        <v>#REF!</v>
      </c>
      <c r="N6" s="12" t="e" cm="1">
        <f t="array" ref="N6">SUMPRODUCT((流入チャネル別顧客一覧_ユニーク!$B:$B="サービス資料DL")*(流入チャネル別顧客一覧_ユニーク!#REF!="受注済み"))</f>
        <v>#REF!</v>
      </c>
      <c r="O6" s="13" t="e">
        <f t="shared" si="3"/>
        <v>#REF!</v>
      </c>
    </row>
    <row r="7" spans="1:15" ht="19" thickTop="1" thickBot="1">
      <c r="A7" s="2" t="s">
        <v>18</v>
      </c>
      <c r="B7">
        <v>2</v>
      </c>
      <c r="C7">
        <v>2</v>
      </c>
      <c r="D7">
        <v>9</v>
      </c>
      <c r="E7">
        <v>2</v>
      </c>
      <c r="F7">
        <v>16</v>
      </c>
      <c r="G7" s="6">
        <f t="shared" si="0"/>
        <v>31</v>
      </c>
      <c r="H7" s="6">
        <f>SUM(H4:H6)</f>
        <v>16</v>
      </c>
      <c r="I7" s="5">
        <f>SUM(I4:I6)+1</f>
        <v>4</v>
      </c>
      <c r="J7" s="12" t="e">
        <f>SUM(J4:J6)</f>
        <v>#REF!</v>
      </c>
      <c r="K7" s="13" t="e">
        <f t="shared" si="1"/>
        <v>#REF!</v>
      </c>
      <c r="L7" s="12" t="e">
        <f>SUM(L4:L6)</f>
        <v>#REF!</v>
      </c>
      <c r="M7" s="13" t="e">
        <f t="shared" si="2"/>
        <v>#REF!</v>
      </c>
      <c r="N7" s="12" t="e">
        <f>SUM(N4:N6)</f>
        <v>#REF!</v>
      </c>
      <c r="O7" s="13" t="e">
        <f t="shared" si="3"/>
        <v>#REF!</v>
      </c>
    </row>
    <row r="8" spans="1:15" ht="18.5" thickTop="1">
      <c r="A8" s="3" t="s">
        <v>19</v>
      </c>
      <c r="B8" s="4">
        <v>1</v>
      </c>
      <c r="C8" s="4">
        <v>0</v>
      </c>
      <c r="D8" s="4">
        <v>1</v>
      </c>
      <c r="E8" s="4">
        <v>1</v>
      </c>
      <c r="F8" s="4">
        <v>2</v>
      </c>
      <c r="G8" s="4">
        <f>SUM(B8:F8)</f>
        <v>5</v>
      </c>
    </row>
    <row r="9" spans="1:15" ht="18.5" thickTop="1"/>
    <row r="10" spans="1:15">
      <c r="A10" s="7" t="s">
        <v>0</v>
      </c>
      <c r="B10" s="7" t="s">
        <v>1</v>
      </c>
      <c r="C10" s="7" t="s">
        <v>2</v>
      </c>
      <c r="D10" s="7" t="s">
        <v>3</v>
      </c>
      <c r="E10" s="7" t="s">
        <v>4</v>
      </c>
      <c r="F10" s="7" t="s">
        <v>5</v>
      </c>
    </row>
    <row r="11" spans="1:15">
      <c r="A11" t="s">
        <v>15</v>
      </c>
      <c r="B11" s="8">
        <f>GETPIVOTDATA("合計 / direct",$A3," CVフラグ","お問い合わせ完了")/$G4</f>
        <v>0</v>
      </c>
      <c r="C11" s="8">
        <f>GETPIVOTDATA("合計 / link",$A3," CVフラグ","お問い合わせ完了")/$G4</f>
        <v>6.25E-2</v>
      </c>
      <c r="D11" s="8">
        <f>GETPIVOTDATA("合計 / listing",$A3," CVフラグ","お問い合わせ完了")/$G4</f>
        <v>0.3125</v>
      </c>
      <c r="E11" s="8">
        <f>GETPIVOTDATA("合計 / mail",$A3," CVフラグ","お問い合わせ完了")/$G4</f>
        <v>0</v>
      </c>
      <c r="F11" s="8">
        <f>GETPIVOTDATA("合計 / organic",$A3," CVフラグ","お問い合わせ完了")/$G4</f>
        <v>0.625</v>
      </c>
    </row>
    <row r="12" spans="1:15">
      <c r="A12" t="s">
        <v>20</v>
      </c>
      <c r="B12" s="8">
        <f>GETPIVOTDATA("合計 / direct",$A4," CVフラグ","お役立ち資料DL")/$G5</f>
        <v>0.125</v>
      </c>
      <c r="C12" s="8">
        <f>GETPIVOTDATA("合計 / link",$A4," CVフラグ","お役立ち資料DL")/$G5</f>
        <v>0</v>
      </c>
      <c r="D12" s="8">
        <f>GETPIVOTDATA("合計 / listing",$A4," CVフラグ","お役立ち資料DL")/$G5</f>
        <v>0.25</v>
      </c>
      <c r="E12" s="8">
        <f>GETPIVOTDATA("合計 / mail",$A4," CVフラグ","お役立ち資料DL")/$G5</f>
        <v>0.125</v>
      </c>
      <c r="F12" s="8">
        <f>GETPIVOTDATA("合計 / organic",$A4," CVフラグ","お役立ち資料DL")/$G5</f>
        <v>0.5</v>
      </c>
    </row>
    <row r="13" spans="1:15">
      <c r="A13" t="s">
        <v>21</v>
      </c>
      <c r="B13" s="8">
        <f>GETPIVOTDATA("合計 / direct",$A5," CVフラグ","サービス資料DL")/$G6</f>
        <v>0.14285714285714285</v>
      </c>
      <c r="C13" s="8">
        <f>GETPIVOTDATA("合計 / link",$A5," CVフラグ","サービス資料DL")/$G6</f>
        <v>0.14285714285714285</v>
      </c>
      <c r="D13" s="8">
        <f>GETPIVOTDATA("合計 / listing",$A5," CVフラグ","サービス資料DL")/$G6</f>
        <v>0.2857142857142857</v>
      </c>
      <c r="E13" s="8">
        <f>GETPIVOTDATA("合計 / mail",$A5," CVフラグ","サービス資料DL")/$G6</f>
        <v>0.14285714285714285</v>
      </c>
      <c r="F13" s="8">
        <f>GETPIVOTDATA("合計 / organic",$A5," CVフラグ","サービス資料DL")/$G6</f>
        <v>0.2857142857142857</v>
      </c>
    </row>
    <row r="14" spans="1:15">
      <c r="A14" s="7" t="s">
        <v>18</v>
      </c>
      <c r="B14" s="9">
        <f>GETPIVOTDATA("合計 / direct",$A$3)/$G7</f>
        <v>6.4516129032258063E-2</v>
      </c>
      <c r="C14" s="9">
        <f>GETPIVOTDATA("合計 / link",$A$3)/$G7</f>
        <v>6.4516129032258063E-2</v>
      </c>
      <c r="D14" s="9">
        <f>GETPIVOTDATA("合計 / listing",$A$3)/$G7</f>
        <v>0.29032258064516131</v>
      </c>
      <c r="E14" s="9">
        <f>GETPIVOTDATA("合計 / mail",$A$3)/$G7</f>
        <v>6.4516129032258063E-2</v>
      </c>
      <c r="F14" s="9">
        <f>GETPIVOTDATA("合計 / organic",$A$3)/$G7</f>
        <v>0.5161290322580645</v>
      </c>
    </row>
    <row r="16" spans="1:15">
      <c r="A16" s="22" t="s">
        <v>22</v>
      </c>
      <c r="B16" s="22"/>
      <c r="C16" s="22"/>
      <c r="D16" s="22"/>
      <c r="E16" s="22"/>
      <c r="F16" s="22"/>
      <c r="G16" s="22"/>
      <c r="H16" s="22"/>
      <c r="I16" s="22"/>
      <c r="J16" s="22"/>
    </row>
    <row r="17" spans="1:13">
      <c r="A17" s="23"/>
      <c r="B17" s="30" t="s">
        <v>23</v>
      </c>
      <c r="C17" s="31" t="s">
        <v>24</v>
      </c>
      <c r="D17" s="24" t="s">
        <v>25</v>
      </c>
      <c r="E17" s="24" t="s">
        <v>26</v>
      </c>
      <c r="F17" s="24" t="s">
        <v>27</v>
      </c>
      <c r="G17" s="24" t="s">
        <v>28</v>
      </c>
      <c r="H17" s="24" t="s">
        <v>29</v>
      </c>
      <c r="I17" s="24" t="s">
        <v>30</v>
      </c>
      <c r="J17" s="25" t="s">
        <v>18</v>
      </c>
    </row>
    <row r="18" spans="1:13">
      <c r="A18" s="23" t="s">
        <v>31</v>
      </c>
      <c r="B18" s="23">
        <f>COUNTIFS(流入チャネル別顧客一覧!$A:$A,"お問い合わせ完了",流入チャネル別顧客一覧!H:H,1)</f>
        <v>1</v>
      </c>
      <c r="C18" s="32">
        <f>COUNTIFS(流入チャネル別顧客一覧!$A:$A,"お問い合わせ完了",流入チャネル別顧客一覧!I:I,1)</f>
        <v>3</v>
      </c>
      <c r="D18" s="23">
        <f>COUNTIFS(流入チャネル別顧客一覧!$A:$A,"お問い合わせ完了",流入チャネル別顧客一覧!J:J,1)</f>
        <v>1</v>
      </c>
      <c r="E18" s="23">
        <f>COUNTIFS(流入チャネル別顧客一覧!$A:$A,"お問い合わせ完了",流入チャネル別顧客一覧!K:K,1)</f>
        <v>4</v>
      </c>
      <c r="F18" s="23">
        <f>COUNTIFS(流入チャネル別顧客一覧!$A:$A,"お問い合わせ完了",流入チャネル別顧客一覧!L:L,1)</f>
        <v>5</v>
      </c>
      <c r="G18" s="23">
        <f>COUNTIFS(流入チャネル別顧客一覧!$A:$A,"お問い合わせ完了",流入チャネル別顧客一覧!M:M,1)</f>
        <v>0</v>
      </c>
      <c r="H18" s="23">
        <f>COUNTIFS(流入チャネル別顧客一覧!$A:$A,"お問い合わせ完了",流入チャネル別顧客一覧!N:N,1)</f>
        <v>15</v>
      </c>
      <c r="I18" s="23">
        <f>COUNTIFS(流入チャネル別顧客一覧!$A:$A,"お問い合わせ完了",流入チャネル別顧客一覧!O:O,1)</f>
        <v>6</v>
      </c>
      <c r="J18" s="26">
        <f>SUM(B18:I18)</f>
        <v>35</v>
      </c>
    </row>
    <row r="19" spans="1:13">
      <c r="A19" s="23" t="s">
        <v>32</v>
      </c>
      <c r="B19" s="23">
        <f>COUNTIFS(流入チャネル別顧客一覧!$A:$A,"お役立ち資料DL",流入チャネル別顧客一覧!H:H,1)</f>
        <v>0</v>
      </c>
      <c r="C19" s="32">
        <f>COUNTIFS(流入チャネル別顧客一覧!$A:$A,"お役立ち資料DL",流入チャネル別顧客一覧!I:I,1)</f>
        <v>6</v>
      </c>
      <c r="D19" s="23">
        <f>COUNTIFS(流入チャネル別顧客一覧!$A:$A,"お役立ち資料DL",流入チャネル別顧客一覧!J:J,1)</f>
        <v>0</v>
      </c>
      <c r="E19" s="23">
        <f>COUNTIFS(流入チャネル別顧客一覧!$A:$A,"お役立ち資料DL",流入チャネル別顧客一覧!K:K,1)</f>
        <v>1</v>
      </c>
      <c r="F19" s="23">
        <f>COUNTIFS(流入チャネル別顧客一覧!$A:$A,"お役立ち資料DL",流入チャネル別顧客一覧!L:L,1)</f>
        <v>2</v>
      </c>
      <c r="G19" s="23">
        <f>COUNTIFS(流入チャネル別顧客一覧!$A:$A,"お役立ち資料DL",流入チャネル別顧客一覧!M:M,1)</f>
        <v>3</v>
      </c>
      <c r="H19" s="23">
        <f>COUNTIFS(流入チャネル別顧客一覧!$A:$A,"お役立ち資料DL",流入チャネル別顧客一覧!N:N,1)</f>
        <v>2</v>
      </c>
      <c r="I19" s="23">
        <f>COUNTIFS(流入チャネル別顧客一覧!$A:$A,"お役立ち資料DL",流入チャネル別顧客一覧!O:O,1)</f>
        <v>0</v>
      </c>
      <c r="J19" s="26">
        <f>SUM(B19:I19)</f>
        <v>14</v>
      </c>
    </row>
    <row r="20" spans="1:13">
      <c r="A20" s="23" t="s">
        <v>33</v>
      </c>
      <c r="B20" s="37">
        <f>COUNTIFS(流入チャネル別顧客一覧!$A:$A,"サービス資料DL",流入チャネル別顧客一覧!H:H,1)</f>
        <v>0</v>
      </c>
      <c r="C20" s="32">
        <f>COUNTIFS(流入チャネル別顧客一覧!$A:$A,"サービス資料DL",流入チャネル別顧客一覧!I:I,1)</f>
        <v>1</v>
      </c>
      <c r="D20" s="23">
        <f>COUNTIFS(流入チャネル別顧客一覧!$A:$A,"サービス資料DL",流入チャネル別顧客一覧!J:J,1)</f>
        <v>2</v>
      </c>
      <c r="E20" s="23">
        <f>COUNTIFS(流入チャネル別顧客一覧!$A:$A,"サービス資料DL",流入チャネル別顧客一覧!K:K,1)</f>
        <v>2</v>
      </c>
      <c r="F20" s="23">
        <f>COUNTIFS(流入チャネル別顧客一覧!$A:$A,"サービス資料DL",流入チャネル別顧客一覧!L:L,1)</f>
        <v>5</v>
      </c>
      <c r="G20" s="23">
        <f>COUNTIFS(流入チャネル別顧客一覧!$A:$A,"サービス資料DL",流入チャネル別顧客一覧!M:M,1)</f>
        <v>1</v>
      </c>
      <c r="H20" s="23">
        <f>COUNTIFS(流入チャネル別顧客一覧!$A:$A,"サービス資料DL",流入チャネル別顧客一覧!N:N,1)</f>
        <v>5</v>
      </c>
      <c r="I20" s="23">
        <f>COUNTIFS(流入チャネル別顧客一覧!$A:$A,"サービス資料DL",流入チャネル別顧客一覧!O:O,1)</f>
        <v>0</v>
      </c>
      <c r="J20" s="26">
        <f>SUM(B20:I20)</f>
        <v>16</v>
      </c>
    </row>
    <row r="21" spans="1:13">
      <c r="A21" s="36" t="s">
        <v>18</v>
      </c>
      <c r="B21" s="26">
        <f>SUM(B18:B20)</f>
        <v>1</v>
      </c>
      <c r="C21" s="33">
        <f>SUM(C18:C20)</f>
        <v>10</v>
      </c>
      <c r="D21" s="26">
        <f t="shared" ref="D21:I21" si="4">SUM(D18:D20)</f>
        <v>3</v>
      </c>
      <c r="E21" s="26">
        <f t="shared" si="4"/>
        <v>7</v>
      </c>
      <c r="F21" s="26">
        <f t="shared" si="4"/>
        <v>12</v>
      </c>
      <c r="G21" s="26">
        <f t="shared" si="4"/>
        <v>4</v>
      </c>
      <c r="H21" s="26">
        <f t="shared" si="4"/>
        <v>22</v>
      </c>
      <c r="I21" s="26">
        <f t="shared" si="4"/>
        <v>6</v>
      </c>
      <c r="J21" s="26">
        <f>SUM(J18:J20)</f>
        <v>65</v>
      </c>
    </row>
    <row r="23" spans="1:13">
      <c r="A23" s="22" t="s">
        <v>34</v>
      </c>
      <c r="B23" s="22"/>
      <c r="C23" s="22"/>
      <c r="D23" s="22"/>
      <c r="E23" s="22"/>
      <c r="F23" s="22"/>
      <c r="G23" s="22"/>
      <c r="H23" s="22"/>
      <c r="I23" s="22"/>
      <c r="J23" s="22"/>
    </row>
    <row r="24" spans="1:13" ht="26">
      <c r="A24" s="34"/>
      <c r="B24" s="35" t="s">
        <v>23</v>
      </c>
      <c r="C24" s="31" t="s">
        <v>24</v>
      </c>
      <c r="D24" s="24" t="s">
        <v>25</v>
      </c>
      <c r="E24" s="24" t="s">
        <v>26</v>
      </c>
      <c r="F24" s="24" t="s">
        <v>27</v>
      </c>
      <c r="G24" s="24" t="s">
        <v>28</v>
      </c>
      <c r="H24" s="24" t="s">
        <v>29</v>
      </c>
      <c r="I24" s="24" t="s">
        <v>30</v>
      </c>
      <c r="J24" s="40" t="s">
        <v>18</v>
      </c>
      <c r="K24" s="42" t="s">
        <v>35</v>
      </c>
      <c r="L24" s="42" t="s">
        <v>36</v>
      </c>
      <c r="M24" s="41" t="s">
        <v>37</v>
      </c>
    </row>
    <row r="25" spans="1:13">
      <c r="A25" s="23" t="s">
        <v>31</v>
      </c>
      <c r="B25" s="23">
        <f>COUNTIFS(流入チャネル別顧客一覧_ユニーク!$B:$B,"お問い合わせ完了",流入チャネル別顧客一覧_ユニーク!I:I,1)</f>
        <v>1</v>
      </c>
      <c r="C25" s="32">
        <f>COUNTIFS(流入チャネル別顧客一覧_ユニーク!$B:$B,"お問い合わせ完了",流入チャネル別顧客一覧_ユニーク!J:J,1)</f>
        <v>2</v>
      </c>
      <c r="D25" s="23">
        <f>COUNTIFS(流入チャネル別顧客一覧_ユニーク!$B:$B,"お問い合わせ完了",流入チャネル別顧客一覧_ユニーク!K:K,1)</f>
        <v>1</v>
      </c>
      <c r="E25" s="23">
        <f>COUNTIFS(流入チャネル別顧客一覧_ユニーク!$B:$B,"お問い合わせ完了",流入チャネル別顧客一覧_ユニーク!L:L,1)</f>
        <v>4</v>
      </c>
      <c r="F25" s="23">
        <f>COUNTIFS(流入チャネル別顧客一覧_ユニーク!$B:$B,"お問い合わせ完了",流入チャネル別顧客一覧_ユニーク!M:M,1)</f>
        <v>4</v>
      </c>
      <c r="G25" s="23">
        <f>COUNTIFS(流入チャネル別顧客一覧_ユニーク!$B:$B,"お問い合わせ完了",流入チャネル別顧客一覧_ユニーク!N:N,1)</f>
        <v>0</v>
      </c>
      <c r="H25" s="23">
        <f>COUNTIFS(流入チャネル別顧客一覧_ユニーク!$B:$B,"お問い合わせ完了",流入チャネル別顧客一覧_ユニーク!O:O,1)</f>
        <v>7</v>
      </c>
      <c r="I25" s="23">
        <f>COUNTIFS(流入チャネル別顧客一覧_ユニーク!$B:$B,"お問い合わせ完了",流入チャネル別顧客一覧_ユニーク!P:P,1)</f>
        <v>6</v>
      </c>
      <c r="J25" s="38">
        <f>SUM(B25:I25)</f>
        <v>25</v>
      </c>
      <c r="K25" s="26">
        <f>COUNTIF(流入チャネル別顧客一覧_ユニーク!B:B,"お問い合わせ完了")</f>
        <v>25</v>
      </c>
      <c r="L25" s="26">
        <f>COUNTIF(流入チャネル別顧客一覧_ユニーク!B:B,"入力画面: SC_ご相談・お見積り依頼フォーム")</f>
        <v>21</v>
      </c>
      <c r="M25" s="26">
        <f>SUM(K25:L25)</f>
        <v>46</v>
      </c>
    </row>
    <row r="26" spans="1:13">
      <c r="A26" s="23" t="s">
        <v>32</v>
      </c>
      <c r="B26" s="23">
        <f>COUNTIFS(流入チャネル別顧客一覧_ユニーク!$B:$B,"お役立ち資料DL",流入チャネル別顧客一覧_ユニーク!I:I,1)</f>
        <v>0</v>
      </c>
      <c r="C26" s="32">
        <f>COUNTIFS(流入チャネル別顧客一覧_ユニーク!$B:$B,"お役立ち資料DL",流入チャネル別顧客一覧_ユニーク!J:J,1)</f>
        <v>6</v>
      </c>
      <c r="D26" s="23">
        <f>COUNTIFS(流入チャネル別顧客一覧_ユニーク!$B:$B,"お役立ち資料DL",流入チャネル別顧客一覧_ユニーク!K:K,1)</f>
        <v>0</v>
      </c>
      <c r="E26" s="23">
        <f>COUNTIFS(流入チャネル別顧客一覧_ユニーク!$B:$B,"お役立ち資料DL",流入チャネル別顧客一覧_ユニーク!L:L,1)</f>
        <v>0</v>
      </c>
      <c r="F26" s="23">
        <f>COUNTIFS(流入チャネル別顧客一覧_ユニーク!$B:$B,"お役立ち資料DL",流入チャネル別顧客一覧_ユニーク!M:M,1)</f>
        <v>1</v>
      </c>
      <c r="G26" s="23">
        <f>COUNTIFS(流入チャネル別顧客一覧_ユニーク!$B:$B,"お役立ち資料DL",流入チャネル別顧客一覧_ユニーク!N:N,1)</f>
        <v>2</v>
      </c>
      <c r="H26" s="23">
        <f>COUNTIFS(流入チャネル別顧客一覧_ユニーク!$B:$B,"お役立ち資料DL",流入チャネル別顧客一覧_ユニーク!O:O,1)</f>
        <v>0</v>
      </c>
      <c r="I26" s="23">
        <f>COUNTIFS(流入チャネル別顧客一覧_ユニーク!$B:$B,"お役立ち資料DL",流入チャネル別顧客一覧_ユニーク!P:P,1)</f>
        <v>0</v>
      </c>
      <c r="J26" s="38">
        <f>SUM(B26:I26)</f>
        <v>9</v>
      </c>
      <c r="K26" s="26">
        <f>COUNTIF(流入チャネル別顧客一覧_ユニーク!B:B,"お役立ち資料DL")</f>
        <v>9</v>
      </c>
      <c r="L26" s="26">
        <f>COUNTIF(流入チャネル別顧客一覧_ユニーク!B:B,"入力画面: SC_ご相談・お見積り依頼フォーム")</f>
        <v>21</v>
      </c>
      <c r="M26" s="26">
        <f t="shared" ref="M26:M27" si="5">SUM(K26:L26)</f>
        <v>30</v>
      </c>
    </row>
    <row r="27" spans="1:13">
      <c r="A27" s="23" t="s">
        <v>33</v>
      </c>
      <c r="B27" s="37">
        <f>COUNTIFS(流入チャネル別顧客一覧_ユニーク!$B:$B,"サービス資料DL",流入チャネル別顧客一覧_ユニーク!I:I,1)</f>
        <v>0</v>
      </c>
      <c r="C27" s="32">
        <f>COUNTIFS(流入チャネル別顧客一覧_ユニーク!$B:$B,"サービス資料DL",流入チャネル別顧客一覧_ユニーク!J:J,1)</f>
        <v>1</v>
      </c>
      <c r="D27" s="23">
        <f>COUNTIFS(流入チャネル別顧客一覧_ユニーク!$B:$B,"サービス資料DL",流入チャネル別顧客一覧_ユニーク!K:K,1)</f>
        <v>1</v>
      </c>
      <c r="E27" s="23">
        <f>COUNTIFS(流入チャネル別顧客一覧_ユニーク!$B:$B,"サービス資料DL",流入チャネル別顧客一覧_ユニーク!L:L,1)</f>
        <v>1</v>
      </c>
      <c r="F27" s="23">
        <f>COUNTIFS(流入チャネル別顧客一覧_ユニーク!$B:$B,"サービス資料DL",流入チャネル別顧客一覧_ユニーク!M:M,1)</f>
        <v>3</v>
      </c>
      <c r="G27" s="23">
        <f>COUNTIFS(流入チャネル別顧客一覧_ユニーク!$B:$B,"サービス資料DL",流入チャネル別顧客一覧_ユニーク!N:N,1)</f>
        <v>0</v>
      </c>
      <c r="H27" s="23">
        <f>COUNTIFS(流入チャネル別顧客一覧_ユニーク!$B:$B,"サービス資料DL",流入チャネル別顧客一覧_ユニーク!O:O,1)</f>
        <v>1</v>
      </c>
      <c r="I27" s="23">
        <f>COUNTIFS(流入チャネル別顧客一覧_ユニーク!$B:$B,"サービス資料DL",流入チャネル別顧客一覧_ユニーク!P:P,1)</f>
        <v>0</v>
      </c>
      <c r="J27" s="38">
        <f>SUM(B27:I27)</f>
        <v>7</v>
      </c>
      <c r="K27" s="26">
        <f>COUNTIF(流入チャネル別顧客一覧_ユニーク!B:B,"サービス資料DL")</f>
        <v>8</v>
      </c>
      <c r="L27" s="26">
        <f>COUNTIF(流入チャネル別顧客一覧_ユニーク!B:B,"入力画面: SC_お役立ち資料")</f>
        <v>3</v>
      </c>
      <c r="M27" s="26">
        <f t="shared" si="5"/>
        <v>11</v>
      </c>
    </row>
    <row r="28" spans="1:13">
      <c r="A28" s="36" t="s">
        <v>18</v>
      </c>
      <c r="B28" s="26">
        <f>SUM(B25:B27)</f>
        <v>1</v>
      </c>
      <c r="C28" s="33">
        <f>SUM(C25:C27)</f>
        <v>9</v>
      </c>
      <c r="D28" s="26">
        <f t="shared" ref="D28:J28" si="6">SUM(D25:D27)</f>
        <v>2</v>
      </c>
      <c r="E28" s="26">
        <f t="shared" si="6"/>
        <v>5</v>
      </c>
      <c r="F28" s="26">
        <f t="shared" si="6"/>
        <v>8</v>
      </c>
      <c r="G28" s="26">
        <f t="shared" si="6"/>
        <v>2</v>
      </c>
      <c r="H28" s="26">
        <f t="shared" si="6"/>
        <v>8</v>
      </c>
      <c r="I28" s="26">
        <f t="shared" si="6"/>
        <v>6</v>
      </c>
      <c r="J28" s="38">
        <f t="shared" si="6"/>
        <v>41</v>
      </c>
      <c r="K28" s="26">
        <f>SUM(K25:K27)</f>
        <v>42</v>
      </c>
      <c r="L28" s="26">
        <f>SUM(L25:L27)</f>
        <v>45</v>
      </c>
      <c r="M28" s="26">
        <f>SUM(M25:M27)</f>
        <v>87</v>
      </c>
    </row>
    <row r="30" spans="1:13">
      <c r="A30" t="s">
        <v>38</v>
      </c>
      <c r="B30" t="s">
        <v>39</v>
      </c>
      <c r="C30" t="s">
        <v>40</v>
      </c>
    </row>
    <row r="31" spans="1:13">
      <c r="A31" s="27" t="s">
        <v>18</v>
      </c>
      <c r="B31" s="38" t="e">
        <f>SUM(B32:B49)</f>
        <v>#REF!</v>
      </c>
      <c r="C31" s="26">
        <f>SUM(C32:C49)</f>
        <v>58</v>
      </c>
    </row>
    <row r="32" spans="1:13">
      <c r="A32" s="28">
        <v>45536</v>
      </c>
      <c r="B32" s="39" t="e">
        <f>COUNTIFS(流入チャネル別顧客一覧_ユニーク!$Q:$Q,"2024-09",流入チャネル別顧客一覧_ユニーク!#REF!,1)</f>
        <v>#REF!</v>
      </c>
      <c r="C32" s="23">
        <f>COUNTIF(流入チャネル別顧客一覧_ユニーク!$Q:$Q,A32)</f>
        <v>0</v>
      </c>
    </row>
    <row r="33" spans="1:3">
      <c r="A33" s="28">
        <v>45566</v>
      </c>
      <c r="B33" s="39" t="e">
        <f>COUNTIFS(流入チャネル別顧客一覧_ユニーク!$Q:$Q,"2024-10",流入チャネル別顧客一覧_ユニーク!#REF!,1)</f>
        <v>#REF!</v>
      </c>
      <c r="C33" s="23">
        <f>COUNTIF(流入チャネル別顧客一覧_ユニーク!$Q:$Q,A33)</f>
        <v>3</v>
      </c>
    </row>
    <row r="34" spans="1:3">
      <c r="A34" s="28">
        <v>45597</v>
      </c>
      <c r="B34" s="39" t="e">
        <f>COUNTIFS(流入チャネル別顧客一覧_ユニーク!$Q:$Q,"2024-11",流入チャネル別顧客一覧_ユニーク!#REF!,1)</f>
        <v>#REF!</v>
      </c>
      <c r="C34" s="23">
        <f>COUNTIF(流入チャネル別顧客一覧_ユニーク!$Q:$Q,A34)</f>
        <v>6</v>
      </c>
    </row>
    <row r="35" spans="1:3">
      <c r="A35" s="28">
        <v>45627</v>
      </c>
      <c r="B35" s="39" t="e">
        <f>COUNTIFS(流入チャネル別顧客一覧_ユニーク!$Q:$Q,"2024-12",流入チャネル別顧客一覧_ユニーク!#REF!,1)</f>
        <v>#REF!</v>
      </c>
      <c r="C35" s="23">
        <f>COUNTIF(流入チャネル別顧客一覧_ユニーク!$Q:$Q,A35)</f>
        <v>4</v>
      </c>
    </row>
    <row r="36" spans="1:3">
      <c r="A36" s="28">
        <v>45658</v>
      </c>
      <c r="B36" s="39" t="e">
        <f>COUNTIFS(流入チャネル別顧客一覧_ユニーク!$Q:$Q,"2025-01",流入チャネル別顧客一覧_ユニーク!#REF!,1)</f>
        <v>#REF!</v>
      </c>
      <c r="C36" s="23">
        <f>COUNTIF(流入チャネル別顧客一覧_ユニーク!$Q:$Q,A36)</f>
        <v>3</v>
      </c>
    </row>
    <row r="37" spans="1:3">
      <c r="A37" s="28">
        <v>45689</v>
      </c>
      <c r="B37" s="39" t="e">
        <f>COUNTIFS(流入チャネル別顧客一覧_ユニーク!$Q:$Q,"2025-02",流入チャネル別顧客一覧_ユニーク!#REF!,1)</f>
        <v>#REF!</v>
      </c>
      <c r="C37" s="23">
        <f>COUNTIF(流入チャネル別顧客一覧_ユニーク!$Q:$Q,A37)</f>
        <v>3</v>
      </c>
    </row>
    <row r="38" spans="1:3">
      <c r="A38" s="28">
        <v>45717</v>
      </c>
      <c r="B38" s="39" t="e">
        <f>COUNTIFS(流入チャネル別顧客一覧_ユニーク!$Q:$Q,"2025-03",流入チャネル別顧客一覧_ユニーク!#REF!,1)</f>
        <v>#REF!</v>
      </c>
      <c r="C38" s="23">
        <f>COUNTIF(流入チャネル別顧客一覧_ユニーク!$Q:$Q,A38)</f>
        <v>8</v>
      </c>
    </row>
    <row r="39" spans="1:3">
      <c r="A39" s="28">
        <v>45748</v>
      </c>
      <c r="B39" s="39" t="e">
        <f>COUNTIFS(流入チャネル別顧客一覧_ユニーク!$Q:$Q,"2025-04",流入チャネル別顧客一覧_ユニーク!#REF!,1)</f>
        <v>#REF!</v>
      </c>
      <c r="C39" s="23">
        <f>COUNTIF(流入チャネル別顧客一覧_ユニーク!$Q:$Q,A39)</f>
        <v>4</v>
      </c>
    </row>
    <row r="40" spans="1:3">
      <c r="A40" s="28">
        <v>45778</v>
      </c>
      <c r="B40" s="39" t="e">
        <f>COUNTIFS(流入チャネル別顧客一覧_ユニーク!$Q:$Q,"2025-05",流入チャネル別顧客一覧_ユニーク!#REF!,1)</f>
        <v>#REF!</v>
      </c>
      <c r="C40" s="23">
        <f>COUNTIF(流入チャネル別顧客一覧_ユニーク!$Q:$Q,A40)</f>
        <v>5</v>
      </c>
    </row>
    <row r="41" spans="1:3">
      <c r="A41" s="28">
        <v>45809</v>
      </c>
      <c r="B41" s="39" t="e">
        <f>COUNTIFS(流入チャネル別顧客一覧_ユニーク!$Q:$Q,"2025-06",流入チャネル別顧客一覧_ユニーク!#REF!,1)</f>
        <v>#REF!</v>
      </c>
      <c r="C41" s="23">
        <f>COUNTIF(流入チャネル別顧客一覧_ユニーク!$Q:$Q,A41)</f>
        <v>7</v>
      </c>
    </row>
    <row r="42" spans="1:3">
      <c r="A42" s="28">
        <v>45839</v>
      </c>
      <c r="B42" s="39" t="e">
        <f>COUNTIFS(流入チャネル別顧客一覧_ユニーク!$Q:$Q,"2025-07",流入チャネル別顧客一覧_ユニーク!#REF!,1)</f>
        <v>#REF!</v>
      </c>
      <c r="C42" s="23">
        <f>COUNTIF(流入チャネル別顧客一覧_ユニーク!$Q:$Q,A42)</f>
        <v>0</v>
      </c>
    </row>
    <row r="43" spans="1:3">
      <c r="A43" s="28">
        <v>45870</v>
      </c>
      <c r="B43" s="39" t="e">
        <f>COUNTIFS(流入チャネル別顧客一覧_ユニーク!$Q:$Q,"2025-08",流入チャネル別顧客一覧_ユニーク!#REF!,1)</f>
        <v>#REF!</v>
      </c>
      <c r="C43" s="23">
        <f>COUNTIF(流入チャネル別顧客一覧_ユニーク!$Q:$Q,A43)</f>
        <v>2</v>
      </c>
    </row>
    <row r="44" spans="1:3">
      <c r="A44" s="28">
        <v>45901</v>
      </c>
      <c r="B44" s="39" t="e">
        <f>COUNTIFS(流入チャネル別顧客一覧_ユニーク!$Q:$Q,"2025-09",流入チャネル別顧客一覧_ユニーク!#REF!,1)</f>
        <v>#REF!</v>
      </c>
      <c r="C44" s="23">
        <f>COUNTIF(流入チャネル別顧客一覧_ユニーク!$Q:$Q,A44)</f>
        <v>3</v>
      </c>
    </row>
    <row r="45" spans="1:3">
      <c r="A45" s="28">
        <v>45931</v>
      </c>
      <c r="B45" s="39" t="e">
        <f>COUNTIFS(流入チャネル別顧客一覧_ユニーク!$Q:$Q,"2025-10",流入チャネル別顧客一覧_ユニーク!#REF!,1)</f>
        <v>#REF!</v>
      </c>
      <c r="C45" s="23">
        <f>COUNTIF(流入チャネル別顧客一覧_ユニーク!$Q:$Q,A45)</f>
        <v>1</v>
      </c>
    </row>
    <row r="46" spans="1:3">
      <c r="A46" s="28">
        <v>45962</v>
      </c>
      <c r="B46" s="39" t="e">
        <f>COUNTIFS(流入チャネル別顧客一覧_ユニーク!$Q:$Q,"2025-11",流入チャネル別顧客一覧_ユニーク!#REF!,1)</f>
        <v>#REF!</v>
      </c>
      <c r="C46" s="23">
        <f>COUNTIF(流入チャネル別顧客一覧_ユニーク!$Q:$Q,A46)</f>
        <v>2</v>
      </c>
    </row>
    <row r="47" spans="1:3">
      <c r="A47" s="28">
        <v>45992</v>
      </c>
      <c r="B47" s="39" t="e">
        <f>COUNTIFS(流入チャネル別顧客一覧_ユニーク!$Q:$Q,"2025-12",流入チャネル別顧客一覧_ユニーク!#REF!,1)</f>
        <v>#REF!</v>
      </c>
      <c r="C47" s="23">
        <f>COUNTIF(流入チャネル別顧客一覧_ユニーク!$Q:$Q,A47)</f>
        <v>2</v>
      </c>
    </row>
    <row r="48" spans="1:3">
      <c r="A48" s="28">
        <v>46023</v>
      </c>
      <c r="B48" s="39" t="e">
        <f>COUNTIFS(流入チャネル別顧客一覧_ユニーク!$Q:$Q,"2026-01",流入チャネル別顧客一覧_ユニーク!#REF!,1)</f>
        <v>#REF!</v>
      </c>
      <c r="C48" s="23">
        <f>COUNTIF(流入チャネル別顧客一覧_ユニーク!$Q:$Q,A48)</f>
        <v>2</v>
      </c>
    </row>
    <row r="49" spans="1:12">
      <c r="A49" s="28">
        <v>46054</v>
      </c>
      <c r="B49" s="39" t="e">
        <f>COUNTIFS(流入チャネル別顧客一覧_ユニーク!$Q:$Q,"2026-02",流入チャネル別顧客一覧_ユニーク!#REF!,1)</f>
        <v>#REF!</v>
      </c>
      <c r="C49" s="23">
        <f>COUNTIF(流入チャネル別顧客一覧_ユニーク!$Q:$Q,A49)</f>
        <v>3</v>
      </c>
      <c r="D49" s="20"/>
      <c r="E49" s="20"/>
      <c r="F49" s="20"/>
      <c r="G49" s="20"/>
      <c r="H49" s="20"/>
      <c r="I49" s="20"/>
      <c r="J49" s="20"/>
      <c r="K49" s="20"/>
      <c r="L49" s="20"/>
    </row>
    <row r="50" spans="1:12">
      <c r="B50" s="20"/>
      <c r="C50" s="21"/>
      <c r="D50" s="20"/>
      <c r="E50" s="20"/>
      <c r="F50" s="20"/>
      <c r="G50" s="20"/>
      <c r="H50" s="20"/>
      <c r="I50" s="20"/>
      <c r="J50" s="20"/>
      <c r="K50" s="20"/>
      <c r="L50" s="20"/>
    </row>
    <row r="51" spans="1:12">
      <c r="B51" s="20"/>
      <c r="C51" s="21"/>
      <c r="D51" s="20"/>
      <c r="E51" s="20"/>
      <c r="F51" s="20"/>
      <c r="G51" s="20"/>
      <c r="H51" s="20"/>
      <c r="I51" s="20"/>
      <c r="J51" s="20"/>
      <c r="K51" s="20"/>
      <c r="L51" s="20"/>
    </row>
    <row r="52" spans="1:12">
      <c r="B52" s="20"/>
      <c r="C52" s="21"/>
      <c r="D52" s="20"/>
      <c r="E52" s="20"/>
      <c r="F52" s="20"/>
      <c r="G52" s="20"/>
      <c r="H52" s="20"/>
      <c r="I52" s="20"/>
      <c r="J52" s="20"/>
      <c r="K52" s="20"/>
      <c r="L52" s="20"/>
    </row>
  </sheetData>
  <phoneticPr fontId="18"/>
  <pageMargins left="0.7" right="0.7" top="0.75" bottom="0.75" header="0.3" footer="0.3"/>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1B197-D48E-4E47-9F45-FDF4BA642F07}">
  <dimension ref="A1:Q111"/>
  <sheetViews>
    <sheetView zoomScale="85" zoomScaleNormal="85" workbookViewId="0">
      <pane xSplit="4" ySplit="1" topLeftCell="E49" activePane="bottomRight" state="frozen"/>
      <selection pane="topRight" activeCell="D1" sqref="D1"/>
      <selection pane="bottomLeft" activeCell="A2" sqref="A2"/>
      <selection pane="bottomRight"/>
    </sheetView>
  </sheetViews>
  <sheetFormatPr defaultRowHeight="15.75" customHeight="1"/>
  <cols>
    <col min="1" max="1" width="18.08203125" customWidth="1"/>
    <col min="2" max="2" width="20.58203125" style="11" customWidth="1"/>
    <col min="3" max="3" width="28.08203125" customWidth="1"/>
    <col min="4" max="4" width="30.75" bestFit="1" customWidth="1"/>
  </cols>
  <sheetData>
    <row r="1" spans="1:17" ht="18">
      <c r="A1" s="20" t="s">
        <v>41</v>
      </c>
      <c r="B1" s="20" t="s">
        <v>42</v>
      </c>
      <c r="C1" s="20" t="s">
        <v>43</v>
      </c>
      <c r="D1" s="20" t="s">
        <v>44</v>
      </c>
      <c r="E1" s="20" t="s">
        <v>45</v>
      </c>
      <c r="F1" s="20" t="s">
        <v>46</v>
      </c>
      <c r="G1" s="20" t="s">
        <v>47</v>
      </c>
      <c r="H1" s="20" t="s">
        <v>23</v>
      </c>
      <c r="I1" s="20" t="s">
        <v>24</v>
      </c>
      <c r="J1" s="20" t="s">
        <v>25</v>
      </c>
      <c r="K1" s="20" t="s">
        <v>26</v>
      </c>
      <c r="L1" s="20" t="s">
        <v>27</v>
      </c>
      <c r="M1" s="20" t="s">
        <v>28</v>
      </c>
      <c r="N1" s="20" t="s">
        <v>29</v>
      </c>
      <c r="O1" s="20" t="s">
        <v>30</v>
      </c>
      <c r="P1" s="10" t="s">
        <v>48</v>
      </c>
      <c r="Q1" s="10" t="s">
        <v>49</v>
      </c>
    </row>
    <row r="2" spans="1:17" ht="18">
      <c r="A2" s="20" t="s">
        <v>15</v>
      </c>
      <c r="B2" s="21">
        <v>45574.590277777781</v>
      </c>
      <c r="C2" s="20" t="s">
        <v>50</v>
      </c>
      <c r="D2" s="20" t="s">
        <v>51</v>
      </c>
      <c r="E2" s="20" t="s">
        <v>52</v>
      </c>
      <c r="F2" s="20"/>
      <c r="G2" s="20" t="s">
        <v>27</v>
      </c>
      <c r="H2" s="20"/>
      <c r="I2" s="20">
        <v>0</v>
      </c>
      <c r="J2" s="20">
        <v>0</v>
      </c>
      <c r="K2" s="20">
        <v>0</v>
      </c>
      <c r="L2" s="20">
        <v>1</v>
      </c>
      <c r="M2" s="20">
        <v>0</v>
      </c>
      <c r="N2" s="20">
        <v>0</v>
      </c>
      <c r="O2" s="20">
        <v>0</v>
      </c>
    </row>
    <row r="3" spans="1:17" ht="18">
      <c r="A3" s="20" t="s">
        <v>15</v>
      </c>
      <c r="B3" s="21">
        <v>45574.590277777781</v>
      </c>
      <c r="C3" s="20" t="s">
        <v>50</v>
      </c>
      <c r="D3" s="20" t="s">
        <v>51</v>
      </c>
      <c r="E3" s="20" t="s">
        <v>52</v>
      </c>
      <c r="F3" s="20"/>
      <c r="G3" s="20" t="s">
        <v>29</v>
      </c>
      <c r="H3" s="20"/>
      <c r="I3" s="20">
        <v>0</v>
      </c>
      <c r="J3" s="20">
        <v>0</v>
      </c>
      <c r="K3" s="20">
        <v>0</v>
      </c>
      <c r="L3" s="20">
        <v>0</v>
      </c>
      <c r="M3" s="20">
        <v>0</v>
      </c>
      <c r="N3" s="20">
        <v>1</v>
      </c>
      <c r="O3" s="20">
        <v>0</v>
      </c>
    </row>
    <row r="4" spans="1:17" ht="18">
      <c r="A4" s="20" t="s">
        <v>15</v>
      </c>
      <c r="B4" s="21">
        <v>45581.677083333336</v>
      </c>
      <c r="C4" s="20" t="s">
        <v>53</v>
      </c>
      <c r="D4" s="20" t="s">
        <v>54</v>
      </c>
      <c r="E4" s="20" t="s">
        <v>55</v>
      </c>
      <c r="F4" s="20"/>
      <c r="G4" s="20" t="s">
        <v>29</v>
      </c>
      <c r="H4" s="20"/>
      <c r="I4" s="20">
        <v>0</v>
      </c>
      <c r="J4" s="20">
        <v>0</v>
      </c>
      <c r="K4" s="20">
        <v>0</v>
      </c>
      <c r="L4" s="20">
        <v>0</v>
      </c>
      <c r="M4" s="20">
        <v>0</v>
      </c>
      <c r="N4" s="20">
        <v>1</v>
      </c>
      <c r="O4" s="20">
        <v>0</v>
      </c>
    </row>
    <row r="5" spans="1:17" ht="18">
      <c r="A5" s="20" t="s">
        <v>15</v>
      </c>
      <c r="B5" s="21">
        <v>45597.697222222225</v>
      </c>
      <c r="C5" s="20" t="s">
        <v>56</v>
      </c>
      <c r="D5" s="20" t="s">
        <v>57</v>
      </c>
      <c r="E5" s="20" t="s">
        <v>58</v>
      </c>
      <c r="F5" s="20" t="s">
        <v>59</v>
      </c>
      <c r="G5" s="20" t="s">
        <v>27</v>
      </c>
      <c r="H5" s="20"/>
      <c r="I5" s="20">
        <v>0</v>
      </c>
      <c r="J5" s="20">
        <v>0</v>
      </c>
      <c r="K5" s="20">
        <v>0</v>
      </c>
      <c r="L5" s="20">
        <v>1</v>
      </c>
      <c r="M5" s="20">
        <v>0</v>
      </c>
      <c r="N5" s="20">
        <v>0</v>
      </c>
      <c r="O5" s="20">
        <v>0</v>
      </c>
    </row>
    <row r="6" spans="1:17" ht="18">
      <c r="A6" s="20" t="s">
        <v>15</v>
      </c>
      <c r="B6" s="21">
        <v>45597.697222222225</v>
      </c>
      <c r="C6" s="20" t="s">
        <v>56</v>
      </c>
      <c r="D6" s="20" t="s">
        <v>57</v>
      </c>
      <c r="E6" s="20" t="s">
        <v>58</v>
      </c>
      <c r="F6" s="20" t="s">
        <v>59</v>
      </c>
      <c r="G6" s="20" t="s">
        <v>29</v>
      </c>
      <c r="H6" s="20"/>
      <c r="I6" s="20">
        <v>0</v>
      </c>
      <c r="J6" s="20">
        <v>0</v>
      </c>
      <c r="K6" s="20">
        <v>0</v>
      </c>
      <c r="L6" s="20">
        <v>0</v>
      </c>
      <c r="M6" s="20">
        <v>0</v>
      </c>
      <c r="N6" s="20">
        <v>1</v>
      </c>
      <c r="O6" s="20">
        <v>0</v>
      </c>
      <c r="Q6" s="10" t="s">
        <v>60</v>
      </c>
    </row>
    <row r="7" spans="1:17" ht="18">
      <c r="A7" s="20" t="s">
        <v>15</v>
      </c>
      <c r="B7" s="21">
        <v>45603.525694444441</v>
      </c>
      <c r="C7" s="20" t="s">
        <v>61</v>
      </c>
      <c r="D7" s="20" t="s">
        <v>62</v>
      </c>
      <c r="E7" s="20" t="s">
        <v>63</v>
      </c>
      <c r="F7" s="20"/>
      <c r="G7" s="20" t="s">
        <v>27</v>
      </c>
      <c r="H7" s="20"/>
      <c r="I7" s="20">
        <v>0</v>
      </c>
      <c r="J7" s="20">
        <v>0</v>
      </c>
      <c r="K7" s="20">
        <v>0</v>
      </c>
      <c r="L7" s="20">
        <v>1</v>
      </c>
      <c r="M7" s="20">
        <v>0</v>
      </c>
      <c r="N7" s="20">
        <v>0</v>
      </c>
      <c r="O7" s="20">
        <v>0</v>
      </c>
    </row>
    <row r="8" spans="1:17" ht="18">
      <c r="A8" s="20" t="s">
        <v>15</v>
      </c>
      <c r="B8" s="21">
        <v>45603.525694444441</v>
      </c>
      <c r="C8" s="20" t="s">
        <v>61</v>
      </c>
      <c r="D8" s="20" t="s">
        <v>62</v>
      </c>
      <c r="E8" s="20" t="s">
        <v>63</v>
      </c>
      <c r="F8" s="20"/>
      <c r="G8" s="20" t="s">
        <v>29</v>
      </c>
      <c r="H8" s="20"/>
      <c r="I8" s="20">
        <v>0</v>
      </c>
      <c r="J8" s="20">
        <v>0</v>
      </c>
      <c r="K8" s="20">
        <v>0</v>
      </c>
      <c r="L8" s="20">
        <v>0</v>
      </c>
      <c r="M8" s="20">
        <v>0</v>
      </c>
      <c r="N8" s="20">
        <v>1</v>
      </c>
      <c r="O8" s="20">
        <v>0</v>
      </c>
    </row>
    <row r="9" spans="1:17" ht="18">
      <c r="A9" s="20" t="s">
        <v>15</v>
      </c>
      <c r="B9" s="21">
        <v>45606.545138888891</v>
      </c>
      <c r="C9" s="20" t="s">
        <v>64</v>
      </c>
      <c r="D9" s="20" t="s">
        <v>65</v>
      </c>
      <c r="E9" s="20" t="s">
        <v>66</v>
      </c>
      <c r="F9" s="20"/>
      <c r="G9" s="20" t="s">
        <v>24</v>
      </c>
      <c r="H9" s="20"/>
      <c r="I9" s="20">
        <v>1</v>
      </c>
      <c r="J9" s="20">
        <v>0</v>
      </c>
      <c r="K9" s="20">
        <v>0</v>
      </c>
      <c r="L9" s="20">
        <v>0</v>
      </c>
      <c r="M9" s="20">
        <v>0</v>
      </c>
      <c r="N9" s="20">
        <v>0</v>
      </c>
      <c r="O9" s="20">
        <v>0</v>
      </c>
    </row>
    <row r="10" spans="1:17" ht="18">
      <c r="A10" s="20" t="s">
        <v>15</v>
      </c>
      <c r="B10" s="21">
        <v>45611.609027777777</v>
      </c>
      <c r="C10" s="20" t="s">
        <v>67</v>
      </c>
      <c r="D10" s="20" t="s">
        <v>68</v>
      </c>
      <c r="E10" s="20" t="s">
        <v>69</v>
      </c>
      <c r="F10" s="20" t="s">
        <v>59</v>
      </c>
      <c r="G10" s="20" t="s">
        <v>27</v>
      </c>
      <c r="H10" s="20"/>
      <c r="I10" s="20">
        <v>0</v>
      </c>
      <c r="J10" s="20">
        <v>0</v>
      </c>
      <c r="K10" s="20">
        <v>0</v>
      </c>
      <c r="L10" s="20">
        <v>1</v>
      </c>
      <c r="M10" s="20">
        <v>0</v>
      </c>
      <c r="N10" s="20">
        <v>0</v>
      </c>
      <c r="O10" s="20">
        <v>0</v>
      </c>
    </row>
    <row r="11" spans="1:17" ht="18">
      <c r="A11" s="20" t="s">
        <v>15</v>
      </c>
      <c r="B11" s="21">
        <v>45611.609027777777</v>
      </c>
      <c r="C11" s="20" t="s">
        <v>67</v>
      </c>
      <c r="D11" s="20" t="s">
        <v>68</v>
      </c>
      <c r="E11" s="20" t="s">
        <v>69</v>
      </c>
      <c r="F11" s="20" t="s">
        <v>59</v>
      </c>
      <c r="G11" s="20" t="s">
        <v>29</v>
      </c>
      <c r="H11" s="20"/>
      <c r="I11" s="20">
        <v>0</v>
      </c>
      <c r="J11" s="20">
        <v>0</v>
      </c>
      <c r="K11" s="20">
        <v>0</v>
      </c>
      <c r="L11" s="20">
        <v>0</v>
      </c>
      <c r="M11" s="20">
        <v>0</v>
      </c>
      <c r="N11" s="20">
        <v>1</v>
      </c>
      <c r="O11" s="20">
        <v>0</v>
      </c>
    </row>
    <row r="12" spans="1:17" ht="18">
      <c r="A12" s="20" t="s">
        <v>15</v>
      </c>
      <c r="B12" s="21">
        <v>45635.343055555553</v>
      </c>
      <c r="C12" s="20" t="s">
        <v>70</v>
      </c>
      <c r="D12" s="20" t="s">
        <v>71</v>
      </c>
      <c r="E12" s="20" t="s">
        <v>72</v>
      </c>
      <c r="F12" s="20" t="s">
        <v>73</v>
      </c>
      <c r="G12" s="20" t="s">
        <v>26</v>
      </c>
      <c r="H12" s="20"/>
      <c r="I12" s="20">
        <v>0</v>
      </c>
      <c r="J12" s="20">
        <v>0</v>
      </c>
      <c r="K12" s="20">
        <v>1</v>
      </c>
      <c r="L12" s="20">
        <v>0</v>
      </c>
      <c r="M12" s="20">
        <v>0</v>
      </c>
      <c r="N12" s="20">
        <v>0</v>
      </c>
      <c r="O12" s="20">
        <v>0</v>
      </c>
      <c r="Q12" s="10" t="s">
        <v>74</v>
      </c>
    </row>
    <row r="13" spans="1:17" ht="18">
      <c r="A13" s="20" t="s">
        <v>15</v>
      </c>
      <c r="B13" s="21">
        <v>45635.343055555553</v>
      </c>
      <c r="C13" s="20" t="s">
        <v>70</v>
      </c>
      <c r="D13" s="20" t="s">
        <v>71</v>
      </c>
      <c r="E13" s="20" t="s">
        <v>72</v>
      </c>
      <c r="F13" s="20" t="s">
        <v>73</v>
      </c>
      <c r="G13" s="20" t="s">
        <v>27</v>
      </c>
      <c r="H13" s="20"/>
      <c r="I13" s="20">
        <v>0</v>
      </c>
      <c r="J13" s="20">
        <v>0</v>
      </c>
      <c r="K13" s="20">
        <v>0</v>
      </c>
      <c r="L13" s="20">
        <v>1</v>
      </c>
      <c r="M13" s="20">
        <v>0</v>
      </c>
      <c r="N13" s="20">
        <v>0</v>
      </c>
      <c r="O13" s="20">
        <v>0</v>
      </c>
    </row>
    <row r="14" spans="1:17" ht="18">
      <c r="A14" s="20" t="s">
        <v>15</v>
      </c>
      <c r="B14" s="21">
        <v>45635.343055555553</v>
      </c>
      <c r="C14" s="20" t="s">
        <v>70</v>
      </c>
      <c r="D14" s="20" t="s">
        <v>71</v>
      </c>
      <c r="E14" s="20" t="s">
        <v>72</v>
      </c>
      <c r="F14" s="20" t="s">
        <v>73</v>
      </c>
      <c r="G14" s="20" t="s">
        <v>29</v>
      </c>
      <c r="H14" s="20"/>
      <c r="I14" s="20">
        <v>0</v>
      </c>
      <c r="J14" s="20">
        <v>0</v>
      </c>
      <c r="K14" s="20">
        <v>0</v>
      </c>
      <c r="L14" s="20">
        <v>0</v>
      </c>
      <c r="M14" s="20">
        <v>0</v>
      </c>
      <c r="N14" s="20">
        <v>1</v>
      </c>
      <c r="O14" s="20">
        <v>0</v>
      </c>
    </row>
    <row r="15" spans="1:17" ht="18">
      <c r="A15" s="20" t="s">
        <v>15</v>
      </c>
      <c r="B15" s="21">
        <v>45644.555555555555</v>
      </c>
      <c r="C15" s="20" t="s">
        <v>64</v>
      </c>
      <c r="D15" s="20" t="s">
        <v>65</v>
      </c>
      <c r="E15" s="20" t="s">
        <v>66</v>
      </c>
      <c r="F15" s="20"/>
      <c r="G15" s="20" t="s">
        <v>29</v>
      </c>
      <c r="H15" s="20"/>
      <c r="I15" s="20">
        <v>0</v>
      </c>
      <c r="J15" s="20">
        <v>0</v>
      </c>
      <c r="K15" s="20">
        <v>0</v>
      </c>
      <c r="L15" s="20">
        <v>0</v>
      </c>
      <c r="M15" s="20">
        <v>0</v>
      </c>
      <c r="N15" s="20">
        <v>1</v>
      </c>
      <c r="O15" s="20">
        <v>0</v>
      </c>
    </row>
    <row r="16" spans="1:17" ht="18">
      <c r="A16" s="20" t="s">
        <v>15</v>
      </c>
      <c r="B16" s="21">
        <v>45652.716666666667</v>
      </c>
      <c r="C16" s="20" t="s">
        <v>75</v>
      </c>
      <c r="D16" s="20" t="s">
        <v>76</v>
      </c>
      <c r="E16" s="20" t="s">
        <v>77</v>
      </c>
      <c r="F16" s="20"/>
      <c r="G16" s="20" t="s">
        <v>29</v>
      </c>
      <c r="H16" s="20"/>
      <c r="I16" s="20">
        <v>0</v>
      </c>
      <c r="J16" s="20">
        <v>0</v>
      </c>
      <c r="K16" s="20">
        <v>0</v>
      </c>
      <c r="L16" s="20">
        <v>0</v>
      </c>
      <c r="M16" s="20">
        <v>0</v>
      </c>
      <c r="N16" s="20">
        <v>1</v>
      </c>
      <c r="O16" s="20">
        <v>0</v>
      </c>
    </row>
    <row r="17" spans="1:17" ht="18">
      <c r="A17" s="20" t="s">
        <v>15</v>
      </c>
      <c r="B17" s="21">
        <v>45679.701388888891</v>
      </c>
      <c r="C17" s="20" t="s">
        <v>78</v>
      </c>
      <c r="D17" s="20" t="s">
        <v>79</v>
      </c>
      <c r="E17" s="20" t="s">
        <v>80</v>
      </c>
      <c r="F17" s="20" t="s">
        <v>59</v>
      </c>
      <c r="G17" s="20" t="s">
        <v>29</v>
      </c>
      <c r="H17" s="20"/>
      <c r="I17" s="20">
        <v>0</v>
      </c>
      <c r="J17" s="20">
        <v>0</v>
      </c>
      <c r="K17" s="20">
        <v>0</v>
      </c>
      <c r="L17" s="20">
        <v>0</v>
      </c>
      <c r="M17" s="20">
        <v>0</v>
      </c>
      <c r="N17" s="20">
        <v>1</v>
      </c>
      <c r="O17" s="20">
        <v>0</v>
      </c>
    </row>
    <row r="18" spans="1:17" ht="18">
      <c r="A18" s="20" t="s">
        <v>15</v>
      </c>
      <c r="B18" s="21">
        <v>45696.813888888886</v>
      </c>
      <c r="C18" s="20" t="s">
        <v>81</v>
      </c>
      <c r="D18" s="20" t="s">
        <v>82</v>
      </c>
      <c r="E18" s="20" t="s">
        <v>83</v>
      </c>
      <c r="F18" s="20"/>
      <c r="G18" s="20" t="s">
        <v>26</v>
      </c>
      <c r="H18" s="20"/>
      <c r="I18" s="20">
        <v>0</v>
      </c>
      <c r="J18" s="20">
        <v>0</v>
      </c>
      <c r="K18" s="20">
        <v>1</v>
      </c>
      <c r="L18" s="20">
        <v>0</v>
      </c>
      <c r="M18" s="20">
        <v>0</v>
      </c>
      <c r="N18" s="20">
        <v>0</v>
      </c>
      <c r="O18" s="20">
        <v>0</v>
      </c>
    </row>
    <row r="19" spans="1:17" ht="18">
      <c r="A19" s="20" t="s">
        <v>15</v>
      </c>
      <c r="B19" s="21">
        <v>45696.813888888886</v>
      </c>
      <c r="C19" s="20" t="s">
        <v>81</v>
      </c>
      <c r="D19" s="20" t="s">
        <v>82</v>
      </c>
      <c r="E19" s="20" t="s">
        <v>83</v>
      </c>
      <c r="F19" s="20"/>
      <c r="G19" s="20" t="s">
        <v>29</v>
      </c>
      <c r="H19" s="20"/>
      <c r="I19" s="20">
        <v>0</v>
      </c>
      <c r="J19" s="20">
        <v>0</v>
      </c>
      <c r="K19" s="20">
        <v>0</v>
      </c>
      <c r="L19" s="20">
        <v>0</v>
      </c>
      <c r="M19" s="20">
        <v>0</v>
      </c>
      <c r="N19" s="20">
        <v>1</v>
      </c>
      <c r="O19" s="20">
        <v>0</v>
      </c>
      <c r="P19" s="10" t="s">
        <v>84</v>
      </c>
      <c r="Q19" s="10" t="s">
        <v>85</v>
      </c>
    </row>
    <row r="20" spans="1:17" ht="18">
      <c r="A20" s="20" t="s">
        <v>15</v>
      </c>
      <c r="B20" s="21">
        <v>45723.763888888891</v>
      </c>
      <c r="C20" s="20" t="s">
        <v>86</v>
      </c>
      <c r="D20" s="20" t="s">
        <v>87</v>
      </c>
      <c r="E20" s="20" t="s">
        <v>87</v>
      </c>
      <c r="F20" s="20"/>
      <c r="G20" s="20" t="s">
        <v>26</v>
      </c>
      <c r="H20" s="20"/>
      <c r="I20" s="20">
        <v>0</v>
      </c>
      <c r="J20" s="20">
        <v>0</v>
      </c>
      <c r="K20" s="20">
        <v>1</v>
      </c>
      <c r="L20" s="20">
        <v>0</v>
      </c>
      <c r="M20" s="20">
        <v>0</v>
      </c>
      <c r="N20" s="20">
        <v>0</v>
      </c>
      <c r="O20" s="20">
        <v>0</v>
      </c>
    </row>
    <row r="21" spans="1:17" ht="18">
      <c r="A21" s="20" t="s">
        <v>15</v>
      </c>
      <c r="B21" s="21">
        <v>45725.003472222219</v>
      </c>
      <c r="C21" s="20" t="s">
        <v>64</v>
      </c>
      <c r="D21" s="20" t="s">
        <v>65</v>
      </c>
      <c r="E21" s="20" t="s">
        <v>88</v>
      </c>
      <c r="F21" s="20"/>
      <c r="G21" s="20" t="s">
        <v>24</v>
      </c>
      <c r="H21" s="20"/>
      <c r="I21" s="20">
        <v>1</v>
      </c>
      <c r="J21" s="20">
        <v>0</v>
      </c>
      <c r="K21" s="20">
        <v>0</v>
      </c>
      <c r="L21" s="20">
        <v>0</v>
      </c>
      <c r="M21" s="20">
        <v>0</v>
      </c>
      <c r="N21" s="20">
        <v>0</v>
      </c>
      <c r="O21" s="20">
        <v>0</v>
      </c>
    </row>
    <row r="22" spans="1:17" ht="18">
      <c r="A22" s="20" t="s">
        <v>15</v>
      </c>
      <c r="B22" s="21">
        <v>45727.257638888892</v>
      </c>
      <c r="C22" s="20" t="s">
        <v>89</v>
      </c>
      <c r="D22" s="20" t="s">
        <v>90</v>
      </c>
      <c r="E22" s="20" t="s">
        <v>91</v>
      </c>
      <c r="F22" s="20"/>
      <c r="G22" s="20" t="s">
        <v>30</v>
      </c>
      <c r="H22" s="20"/>
      <c r="I22" s="20">
        <v>0</v>
      </c>
      <c r="J22" s="20">
        <v>0</v>
      </c>
      <c r="K22" s="20">
        <v>0</v>
      </c>
      <c r="L22" s="20">
        <v>0</v>
      </c>
      <c r="M22" s="20">
        <v>0</v>
      </c>
      <c r="N22" s="20">
        <v>0</v>
      </c>
      <c r="O22" s="20">
        <v>1</v>
      </c>
    </row>
    <row r="23" spans="1:17" ht="18">
      <c r="A23" s="20" t="s">
        <v>15</v>
      </c>
      <c r="B23" s="21">
        <v>45730.681250000001</v>
      </c>
      <c r="C23" s="20" t="s">
        <v>92</v>
      </c>
      <c r="D23" s="20" t="s">
        <v>93</v>
      </c>
      <c r="E23" s="20" t="s">
        <v>94</v>
      </c>
      <c r="F23" s="20" t="s">
        <v>59</v>
      </c>
      <c r="G23" s="20" t="s">
        <v>30</v>
      </c>
      <c r="H23" s="20"/>
      <c r="I23" s="20">
        <v>0</v>
      </c>
      <c r="J23" s="20">
        <v>0</v>
      </c>
      <c r="K23" s="20">
        <v>0</v>
      </c>
      <c r="L23" s="20">
        <v>0</v>
      </c>
      <c r="M23" s="20">
        <v>0</v>
      </c>
      <c r="N23" s="20">
        <v>0</v>
      </c>
      <c r="O23" s="20">
        <v>1</v>
      </c>
      <c r="Q23" s="10" t="s">
        <v>95</v>
      </c>
    </row>
    <row r="24" spans="1:17" ht="15.75" customHeight="1">
      <c r="A24" s="20" t="s">
        <v>15</v>
      </c>
      <c r="B24" s="21">
        <v>45731.999305555553</v>
      </c>
      <c r="C24" s="20" t="s">
        <v>96</v>
      </c>
      <c r="D24" s="20" t="s">
        <v>97</v>
      </c>
      <c r="E24" s="20" t="s">
        <v>98</v>
      </c>
      <c r="F24" s="20"/>
      <c r="G24" s="20" t="s">
        <v>29</v>
      </c>
      <c r="H24" s="20"/>
      <c r="I24" s="20">
        <v>0</v>
      </c>
      <c r="J24" s="20">
        <v>0</v>
      </c>
      <c r="K24" s="20">
        <v>0</v>
      </c>
      <c r="L24" s="20">
        <v>0</v>
      </c>
      <c r="M24" s="20">
        <v>0</v>
      </c>
      <c r="N24" s="20">
        <v>1</v>
      </c>
      <c r="O24" s="20">
        <v>0</v>
      </c>
    </row>
    <row r="25" spans="1:17" ht="18">
      <c r="A25" s="20" t="s">
        <v>15</v>
      </c>
      <c r="B25" s="21">
        <v>45747.822916666664</v>
      </c>
      <c r="C25" s="20" t="s">
        <v>99</v>
      </c>
      <c r="D25" s="20" t="s">
        <v>100</v>
      </c>
      <c r="E25" s="20" t="s">
        <v>101</v>
      </c>
      <c r="F25" s="20"/>
      <c r="G25" s="20" t="s">
        <v>30</v>
      </c>
      <c r="H25" s="20"/>
      <c r="I25" s="20">
        <v>0</v>
      </c>
      <c r="J25" s="20">
        <v>0</v>
      </c>
      <c r="K25" s="20">
        <v>0</v>
      </c>
      <c r="L25" s="20">
        <v>0</v>
      </c>
      <c r="M25" s="20">
        <v>0</v>
      </c>
      <c r="N25" s="20">
        <v>0</v>
      </c>
      <c r="O25" s="20">
        <v>1</v>
      </c>
    </row>
    <row r="26" spans="1:17" ht="18">
      <c r="A26" s="20" t="s">
        <v>16</v>
      </c>
      <c r="B26" s="21">
        <v>45584.425000000003</v>
      </c>
      <c r="C26" s="20" t="s">
        <v>102</v>
      </c>
      <c r="D26" s="20" t="s">
        <v>103</v>
      </c>
      <c r="E26" s="20" t="s">
        <v>104</v>
      </c>
      <c r="F26" s="20"/>
      <c r="G26" s="20" t="s">
        <v>27</v>
      </c>
      <c r="H26" s="20"/>
      <c r="I26" s="20">
        <v>0</v>
      </c>
      <c r="J26" s="20">
        <v>0</v>
      </c>
      <c r="K26" s="20">
        <v>0</v>
      </c>
      <c r="L26" s="20">
        <v>1</v>
      </c>
      <c r="M26" s="20">
        <v>0</v>
      </c>
      <c r="N26" s="20">
        <v>0</v>
      </c>
      <c r="O26" s="20">
        <v>0</v>
      </c>
    </row>
    <row r="27" spans="1:17" s="14" customFormat="1" ht="18">
      <c r="A27" s="20" t="s">
        <v>16</v>
      </c>
      <c r="B27" s="21">
        <v>45584.425000000003</v>
      </c>
      <c r="C27" s="20" t="s">
        <v>102</v>
      </c>
      <c r="D27" s="20" t="s">
        <v>103</v>
      </c>
      <c r="E27" s="20" t="s">
        <v>104</v>
      </c>
      <c r="F27" s="20"/>
      <c r="G27" s="20" t="s">
        <v>29</v>
      </c>
      <c r="H27" s="20"/>
      <c r="I27" s="20">
        <v>0</v>
      </c>
      <c r="J27" s="20">
        <v>0</v>
      </c>
      <c r="K27" s="20">
        <v>0</v>
      </c>
      <c r="L27" s="20">
        <v>0</v>
      </c>
      <c r="M27" s="20">
        <v>0</v>
      </c>
      <c r="N27" s="20">
        <v>1</v>
      </c>
      <c r="O27" s="20">
        <v>0</v>
      </c>
    </row>
    <row r="28" spans="1:17" ht="18">
      <c r="A28" s="20" t="s">
        <v>16</v>
      </c>
      <c r="B28" s="21">
        <v>45601.822222222225</v>
      </c>
      <c r="C28" s="20" t="s">
        <v>105</v>
      </c>
      <c r="D28" s="20" t="s">
        <v>106</v>
      </c>
      <c r="E28" s="20" t="s">
        <v>107</v>
      </c>
      <c r="F28" s="20"/>
      <c r="G28" s="20" t="s">
        <v>24</v>
      </c>
      <c r="H28" s="20"/>
      <c r="I28" s="20">
        <v>1</v>
      </c>
      <c r="J28" s="20">
        <v>0</v>
      </c>
      <c r="K28" s="20">
        <v>0</v>
      </c>
      <c r="L28" s="20">
        <v>0</v>
      </c>
      <c r="M28" s="20">
        <v>0</v>
      </c>
      <c r="N28" s="20">
        <v>0</v>
      </c>
      <c r="O28" s="20">
        <v>0</v>
      </c>
    </row>
    <row r="29" spans="1:17" ht="18">
      <c r="A29" s="20" t="s">
        <v>16</v>
      </c>
      <c r="B29" s="21">
        <v>45643.64166666667</v>
      </c>
      <c r="C29" s="20" t="s">
        <v>108</v>
      </c>
      <c r="D29" s="20" t="s">
        <v>109</v>
      </c>
      <c r="E29" s="20" t="s">
        <v>110</v>
      </c>
      <c r="F29" s="20"/>
      <c r="G29" s="20" t="s">
        <v>24</v>
      </c>
      <c r="H29" s="20"/>
      <c r="I29" s="20">
        <v>1</v>
      </c>
      <c r="J29" s="20">
        <v>0</v>
      </c>
      <c r="K29" s="20">
        <v>0</v>
      </c>
      <c r="L29" s="20">
        <v>0</v>
      </c>
      <c r="M29" s="20">
        <v>0</v>
      </c>
      <c r="N29" s="20">
        <v>0</v>
      </c>
      <c r="O29" s="20">
        <v>0</v>
      </c>
    </row>
    <row r="30" spans="1:17" ht="18">
      <c r="A30" s="20" t="s">
        <v>16</v>
      </c>
      <c r="B30" s="21">
        <v>45643.64166666667</v>
      </c>
      <c r="C30" s="20" t="s">
        <v>108</v>
      </c>
      <c r="D30" s="20" t="s">
        <v>109</v>
      </c>
      <c r="E30" s="20" t="s">
        <v>110</v>
      </c>
      <c r="F30" s="20"/>
      <c r="G30" s="20" t="s">
        <v>27</v>
      </c>
      <c r="H30" s="20"/>
      <c r="I30" s="20">
        <v>0</v>
      </c>
      <c r="J30" s="20">
        <v>0</v>
      </c>
      <c r="K30" s="20">
        <v>0</v>
      </c>
      <c r="L30" s="20">
        <v>1</v>
      </c>
      <c r="M30" s="20">
        <v>0</v>
      </c>
      <c r="N30" s="20">
        <v>0</v>
      </c>
      <c r="O30" s="20">
        <v>0</v>
      </c>
    </row>
    <row r="31" spans="1:17" ht="18">
      <c r="A31" s="20" t="s">
        <v>16</v>
      </c>
      <c r="B31" s="21">
        <v>45643.64166666667</v>
      </c>
      <c r="C31" s="20" t="s">
        <v>108</v>
      </c>
      <c r="D31" s="20" t="s">
        <v>109</v>
      </c>
      <c r="E31" s="20" t="s">
        <v>110</v>
      </c>
      <c r="F31" s="20"/>
      <c r="G31" s="20" t="s">
        <v>29</v>
      </c>
      <c r="H31" s="20"/>
      <c r="I31" s="20">
        <v>0</v>
      </c>
      <c r="J31" s="20">
        <v>0</v>
      </c>
      <c r="K31" s="20">
        <v>0</v>
      </c>
      <c r="L31" s="20">
        <v>0</v>
      </c>
      <c r="M31" s="20">
        <v>0</v>
      </c>
      <c r="N31" s="20">
        <v>1</v>
      </c>
      <c r="O31" s="20">
        <v>0</v>
      </c>
    </row>
    <row r="32" spans="1:17" s="14" customFormat="1" ht="18">
      <c r="A32" s="20" t="s">
        <v>16</v>
      </c>
      <c r="B32" s="21">
        <v>45666.79583333333</v>
      </c>
      <c r="C32" s="20" t="s">
        <v>111</v>
      </c>
      <c r="D32" s="20" t="s">
        <v>112</v>
      </c>
      <c r="E32" s="20" t="s">
        <v>113</v>
      </c>
      <c r="F32" s="20"/>
      <c r="G32" s="20" t="s">
        <v>24</v>
      </c>
      <c r="H32" s="20"/>
      <c r="I32" s="20">
        <v>1</v>
      </c>
      <c r="J32" s="20">
        <v>0</v>
      </c>
      <c r="K32" s="20">
        <v>0</v>
      </c>
      <c r="L32" s="20">
        <v>0</v>
      </c>
      <c r="M32" s="20">
        <v>0</v>
      </c>
      <c r="N32" s="20">
        <v>0</v>
      </c>
      <c r="O32" s="20">
        <v>0</v>
      </c>
    </row>
    <row r="33" spans="1:15" ht="18">
      <c r="A33" s="20" t="s">
        <v>16</v>
      </c>
      <c r="B33" s="21">
        <v>45679.395833333336</v>
      </c>
      <c r="C33" s="20" t="s">
        <v>114</v>
      </c>
      <c r="D33" s="20" t="s">
        <v>115</v>
      </c>
      <c r="E33" s="20" t="s">
        <v>116</v>
      </c>
      <c r="F33" s="20"/>
      <c r="G33" s="20" t="s">
        <v>28</v>
      </c>
      <c r="H33" s="20"/>
      <c r="I33" s="20">
        <v>0</v>
      </c>
      <c r="J33" s="20">
        <v>0</v>
      </c>
      <c r="K33" s="20">
        <v>0</v>
      </c>
      <c r="L33" s="20">
        <v>0</v>
      </c>
      <c r="M33" s="20">
        <v>1</v>
      </c>
      <c r="N33" s="20">
        <v>0</v>
      </c>
      <c r="O33" s="20">
        <v>0</v>
      </c>
    </row>
    <row r="34" spans="1:15" ht="18">
      <c r="A34" s="20" t="s">
        <v>16</v>
      </c>
      <c r="B34" s="21">
        <v>45692.357638888891</v>
      </c>
      <c r="C34" s="20" t="s">
        <v>117</v>
      </c>
      <c r="D34" s="20" t="s">
        <v>115</v>
      </c>
      <c r="E34" s="20" t="s">
        <v>118</v>
      </c>
      <c r="F34" s="20"/>
      <c r="G34" s="20" t="s">
        <v>28</v>
      </c>
      <c r="H34" s="20"/>
      <c r="I34" s="20">
        <v>0</v>
      </c>
      <c r="J34" s="20">
        <v>0</v>
      </c>
      <c r="K34" s="20">
        <v>0</v>
      </c>
      <c r="L34" s="20">
        <v>0</v>
      </c>
      <c r="M34" s="20">
        <v>1</v>
      </c>
      <c r="N34" s="20">
        <v>0</v>
      </c>
      <c r="O34" s="20">
        <v>0</v>
      </c>
    </row>
    <row r="35" spans="1:15" ht="18">
      <c r="A35" s="20" t="s">
        <v>16</v>
      </c>
      <c r="B35" s="21">
        <v>45713.513888888891</v>
      </c>
      <c r="C35" s="20" t="s">
        <v>119</v>
      </c>
      <c r="D35" s="20" t="s">
        <v>120</v>
      </c>
      <c r="E35" s="20" t="s">
        <v>121</v>
      </c>
      <c r="F35" s="20"/>
      <c r="G35" s="20" t="s">
        <v>24</v>
      </c>
      <c r="H35" s="20"/>
      <c r="I35" s="20">
        <v>1</v>
      </c>
      <c r="J35" s="20">
        <v>0</v>
      </c>
      <c r="K35" s="20">
        <v>0</v>
      </c>
      <c r="L35" s="20">
        <v>0</v>
      </c>
      <c r="M35" s="20">
        <v>0</v>
      </c>
      <c r="N35" s="20">
        <v>0</v>
      </c>
      <c r="O35" s="20">
        <v>0</v>
      </c>
    </row>
    <row r="36" spans="1:15" ht="18">
      <c r="A36" s="20" t="s">
        <v>16</v>
      </c>
      <c r="B36" s="21">
        <v>45713.513888888891</v>
      </c>
      <c r="C36" s="20" t="s">
        <v>119</v>
      </c>
      <c r="D36" s="20" t="s">
        <v>120</v>
      </c>
      <c r="E36" s="20" t="s">
        <v>121</v>
      </c>
      <c r="F36" s="20"/>
      <c r="G36" s="20" t="s">
        <v>26</v>
      </c>
      <c r="H36" s="20"/>
      <c r="I36" s="20">
        <v>0</v>
      </c>
      <c r="J36" s="20">
        <v>0</v>
      </c>
      <c r="K36" s="20">
        <v>1</v>
      </c>
      <c r="L36" s="20">
        <v>0</v>
      </c>
      <c r="M36" s="20">
        <v>0</v>
      </c>
      <c r="N36" s="20">
        <v>0</v>
      </c>
      <c r="O36" s="20">
        <v>0</v>
      </c>
    </row>
    <row r="37" spans="1:15" s="14" customFormat="1" ht="18">
      <c r="A37" s="20" t="s">
        <v>16</v>
      </c>
      <c r="B37" s="21">
        <v>45721.530555555553</v>
      </c>
      <c r="C37" s="20" t="s">
        <v>122</v>
      </c>
      <c r="D37" s="20" t="s">
        <v>123</v>
      </c>
      <c r="E37" s="20" t="s">
        <v>124</v>
      </c>
      <c r="F37" s="20"/>
      <c r="G37" s="20" t="s">
        <v>24</v>
      </c>
      <c r="H37" s="20"/>
      <c r="I37" s="20">
        <v>1</v>
      </c>
      <c r="J37" s="20">
        <v>0</v>
      </c>
      <c r="K37" s="20">
        <v>0</v>
      </c>
      <c r="L37" s="20">
        <v>0</v>
      </c>
      <c r="M37" s="20">
        <v>0</v>
      </c>
      <c r="N37" s="20">
        <v>0</v>
      </c>
      <c r="O37" s="20">
        <v>0</v>
      </c>
    </row>
    <row r="38" spans="1:15" ht="18">
      <c r="A38" s="20" t="s">
        <v>17</v>
      </c>
      <c r="B38" s="21">
        <v>45584.418055555558</v>
      </c>
      <c r="C38" s="20" t="s">
        <v>102</v>
      </c>
      <c r="D38" s="20" t="s">
        <v>103</v>
      </c>
      <c r="E38" s="20" t="s">
        <v>104</v>
      </c>
      <c r="F38" s="20"/>
      <c r="G38" s="20" t="s">
        <v>27</v>
      </c>
      <c r="H38" s="20"/>
      <c r="I38" s="20">
        <v>0</v>
      </c>
      <c r="J38" s="20">
        <v>0</v>
      </c>
      <c r="K38" s="20">
        <v>0</v>
      </c>
      <c r="L38" s="20">
        <v>1</v>
      </c>
      <c r="M38" s="20">
        <v>0</v>
      </c>
      <c r="N38" s="20">
        <v>0</v>
      </c>
      <c r="O38" s="20">
        <v>0</v>
      </c>
    </row>
    <row r="39" spans="1:15" ht="18">
      <c r="A39" s="20" t="s">
        <v>17</v>
      </c>
      <c r="B39" s="21">
        <v>45584.418055555558</v>
      </c>
      <c r="C39" s="20" t="s">
        <v>102</v>
      </c>
      <c r="D39" s="20" t="s">
        <v>103</v>
      </c>
      <c r="E39" s="20" t="s">
        <v>104</v>
      </c>
      <c r="F39" s="20"/>
      <c r="G39" s="20" t="s">
        <v>29</v>
      </c>
      <c r="H39" s="20"/>
      <c r="I39" s="20">
        <v>0</v>
      </c>
      <c r="J39" s="20">
        <v>0</v>
      </c>
      <c r="K39" s="20">
        <v>0</v>
      </c>
      <c r="L39" s="20">
        <v>0</v>
      </c>
      <c r="M39" s="20">
        <v>0</v>
      </c>
      <c r="N39" s="20">
        <v>1</v>
      </c>
      <c r="O39" s="20">
        <v>0</v>
      </c>
    </row>
    <row r="40" spans="1:15" ht="18">
      <c r="A40" s="20" t="s">
        <v>17</v>
      </c>
      <c r="B40" s="21">
        <v>45603.634027777778</v>
      </c>
      <c r="C40" s="20" t="s">
        <v>125</v>
      </c>
      <c r="D40" s="20" t="s">
        <v>126</v>
      </c>
      <c r="E40" s="20" t="s">
        <v>127</v>
      </c>
      <c r="F40" s="20"/>
      <c r="G40" s="20" t="s">
        <v>25</v>
      </c>
      <c r="H40" s="20"/>
      <c r="I40" s="20">
        <v>0</v>
      </c>
      <c r="J40" s="20">
        <v>1</v>
      </c>
      <c r="K40" s="20">
        <v>0</v>
      </c>
      <c r="L40" s="20">
        <v>0</v>
      </c>
      <c r="M40" s="20">
        <v>0</v>
      </c>
      <c r="N40" s="20">
        <v>0</v>
      </c>
      <c r="O40" s="20">
        <v>0</v>
      </c>
    </row>
    <row r="41" spans="1:15" ht="18">
      <c r="A41" s="20" t="s">
        <v>17</v>
      </c>
      <c r="B41" s="21">
        <v>45611.539583333331</v>
      </c>
      <c r="C41" s="20" t="s">
        <v>67</v>
      </c>
      <c r="D41" s="20" t="s">
        <v>68</v>
      </c>
      <c r="E41" s="20" t="s">
        <v>69</v>
      </c>
      <c r="F41" s="20"/>
      <c r="G41" s="20" t="s">
        <v>27</v>
      </c>
      <c r="H41" s="20"/>
      <c r="I41" s="20">
        <v>0</v>
      </c>
      <c r="J41" s="20">
        <v>0</v>
      </c>
      <c r="K41" s="20">
        <v>0</v>
      </c>
      <c r="L41" s="20">
        <v>1</v>
      </c>
      <c r="M41" s="20">
        <v>0</v>
      </c>
      <c r="N41" s="20">
        <v>0</v>
      </c>
      <c r="O41" s="20">
        <v>0</v>
      </c>
    </row>
    <row r="42" spans="1:15" ht="18">
      <c r="A42" s="20" t="s">
        <v>17</v>
      </c>
      <c r="B42" s="21">
        <v>45611.539583333331</v>
      </c>
      <c r="C42" s="20" t="s">
        <v>67</v>
      </c>
      <c r="D42" s="20" t="s">
        <v>68</v>
      </c>
      <c r="E42" s="20" t="s">
        <v>69</v>
      </c>
      <c r="F42" s="20"/>
      <c r="G42" s="20" t="s">
        <v>29</v>
      </c>
      <c r="H42" s="20"/>
      <c r="I42" s="20">
        <v>0</v>
      </c>
      <c r="J42" s="20">
        <v>0</v>
      </c>
      <c r="K42" s="20">
        <v>0</v>
      </c>
      <c r="L42" s="20">
        <v>0</v>
      </c>
      <c r="M42" s="20">
        <v>0</v>
      </c>
      <c r="N42" s="20">
        <v>1</v>
      </c>
      <c r="O42" s="20">
        <v>0</v>
      </c>
    </row>
    <row r="43" spans="1:15" ht="18">
      <c r="A43" s="20" t="s">
        <v>17</v>
      </c>
      <c r="B43" s="21">
        <v>45642.8125</v>
      </c>
      <c r="C43" s="20" t="s">
        <v>128</v>
      </c>
      <c r="D43" s="20" t="s">
        <v>129</v>
      </c>
      <c r="E43" s="20" t="s">
        <v>130</v>
      </c>
      <c r="F43" s="20"/>
      <c r="G43" s="20" t="s">
        <v>26</v>
      </c>
      <c r="H43" s="20"/>
      <c r="I43" s="20">
        <v>0</v>
      </c>
      <c r="J43" s="20">
        <v>0</v>
      </c>
      <c r="K43" s="20">
        <v>1</v>
      </c>
      <c r="L43" s="20">
        <v>0</v>
      </c>
      <c r="M43" s="20">
        <v>0</v>
      </c>
      <c r="N43" s="20">
        <v>0</v>
      </c>
      <c r="O43" s="20">
        <v>0</v>
      </c>
    </row>
    <row r="44" spans="1:15" ht="18">
      <c r="A44" s="20" t="s">
        <v>17</v>
      </c>
      <c r="B44" s="21">
        <v>45666.638194444444</v>
      </c>
      <c r="C44" s="20" t="s">
        <v>114</v>
      </c>
      <c r="D44" s="20" t="s">
        <v>115</v>
      </c>
      <c r="E44" s="20" t="s">
        <v>116</v>
      </c>
      <c r="F44" s="20"/>
      <c r="G44" s="20" t="s">
        <v>28</v>
      </c>
      <c r="H44" s="20"/>
      <c r="I44" s="20">
        <v>0</v>
      </c>
      <c r="J44" s="20">
        <v>0</v>
      </c>
      <c r="K44" s="20">
        <v>0</v>
      </c>
      <c r="L44" s="20">
        <v>0</v>
      </c>
      <c r="M44" s="20">
        <v>1</v>
      </c>
      <c r="N44" s="20">
        <v>0</v>
      </c>
      <c r="O44" s="20">
        <v>0</v>
      </c>
    </row>
    <row r="45" spans="1:15" ht="18">
      <c r="A45" s="20" t="s">
        <v>17</v>
      </c>
      <c r="B45" s="21">
        <v>45699.761805555558</v>
      </c>
      <c r="C45" s="20" t="s">
        <v>131</v>
      </c>
      <c r="D45" s="20" t="s">
        <v>132</v>
      </c>
      <c r="E45" s="20" t="s">
        <v>133</v>
      </c>
      <c r="F45" s="20"/>
      <c r="G45" s="20" t="s">
        <v>27</v>
      </c>
      <c r="H45" s="20"/>
      <c r="I45" s="20">
        <v>0</v>
      </c>
      <c r="J45" s="20">
        <v>0</v>
      </c>
      <c r="K45" s="20">
        <v>0</v>
      </c>
      <c r="L45" s="20">
        <v>1</v>
      </c>
      <c r="M45" s="20">
        <v>0</v>
      </c>
      <c r="N45" s="20">
        <v>0</v>
      </c>
      <c r="O45" s="20">
        <v>0</v>
      </c>
    </row>
    <row r="46" spans="1:15" ht="18">
      <c r="A46" s="20" t="s">
        <v>17</v>
      </c>
      <c r="B46" s="21">
        <v>45726.550694444442</v>
      </c>
      <c r="C46" s="20" t="s">
        <v>134</v>
      </c>
      <c r="D46" s="20" t="s">
        <v>135</v>
      </c>
      <c r="E46" s="20" t="s">
        <v>136</v>
      </c>
      <c r="F46" s="20"/>
      <c r="G46" s="20" t="s">
        <v>27</v>
      </c>
      <c r="H46" s="20"/>
      <c r="I46" s="20">
        <v>0</v>
      </c>
      <c r="J46" s="20">
        <v>0</v>
      </c>
      <c r="K46" s="20">
        <v>0</v>
      </c>
      <c r="L46" s="20">
        <v>1</v>
      </c>
      <c r="M46" s="20">
        <v>0</v>
      </c>
      <c r="N46" s="20">
        <v>0</v>
      </c>
      <c r="O46" s="20">
        <v>0</v>
      </c>
    </row>
    <row r="47" spans="1:15" ht="18">
      <c r="A47" s="20" t="s">
        <v>17</v>
      </c>
      <c r="B47" s="21">
        <v>45726.550694444442</v>
      </c>
      <c r="C47" s="20" t="s">
        <v>134</v>
      </c>
      <c r="D47" s="20" t="s">
        <v>135</v>
      </c>
      <c r="E47" s="20" t="s">
        <v>136</v>
      </c>
      <c r="F47" s="20"/>
      <c r="G47" s="20" t="s">
        <v>29</v>
      </c>
      <c r="H47" s="20"/>
      <c r="I47" s="20">
        <v>0</v>
      </c>
      <c r="J47" s="20">
        <v>0</v>
      </c>
      <c r="K47" s="20">
        <v>0</v>
      </c>
      <c r="L47" s="20">
        <v>0</v>
      </c>
      <c r="M47" s="20">
        <v>0</v>
      </c>
      <c r="N47" s="20">
        <v>1</v>
      </c>
      <c r="O47" s="20">
        <v>0</v>
      </c>
    </row>
    <row r="48" spans="1:15" ht="18">
      <c r="A48" s="20" t="s">
        <v>17</v>
      </c>
      <c r="B48" s="21">
        <v>45733.81527777778</v>
      </c>
      <c r="C48" s="20" t="s">
        <v>137</v>
      </c>
      <c r="D48" s="20" t="s">
        <v>138</v>
      </c>
      <c r="E48" s="20" t="s">
        <v>139</v>
      </c>
      <c r="F48" s="20"/>
      <c r="G48" s="20" t="s">
        <v>29</v>
      </c>
      <c r="H48" s="20"/>
      <c r="I48" s="20">
        <v>0</v>
      </c>
      <c r="J48" s="20">
        <v>0</v>
      </c>
      <c r="K48" s="20">
        <v>0</v>
      </c>
      <c r="L48" s="20">
        <v>0</v>
      </c>
      <c r="M48" s="20">
        <v>0</v>
      </c>
      <c r="N48" s="20">
        <v>1</v>
      </c>
      <c r="O48" s="20">
        <v>0</v>
      </c>
    </row>
    <row r="49" spans="1:15" ht="18">
      <c r="A49" s="29" t="s">
        <v>15</v>
      </c>
      <c r="B49" s="21">
        <v>45755.419444444444</v>
      </c>
      <c r="C49" s="20" t="s">
        <v>140</v>
      </c>
      <c r="D49" s="20" t="s">
        <v>141</v>
      </c>
      <c r="E49" s="20" t="s">
        <v>142</v>
      </c>
      <c r="F49" s="20" t="s">
        <v>143</v>
      </c>
      <c r="G49" s="20" t="s">
        <v>30</v>
      </c>
      <c r="H49" s="20"/>
      <c r="I49" s="20">
        <v>0</v>
      </c>
      <c r="J49" s="20">
        <v>0</v>
      </c>
      <c r="K49" s="20">
        <v>0</v>
      </c>
      <c r="L49" s="20">
        <v>0</v>
      </c>
      <c r="M49">
        <v>0</v>
      </c>
      <c r="N49" s="20">
        <v>0</v>
      </c>
      <c r="O49" s="20">
        <v>1</v>
      </c>
    </row>
    <row r="50" spans="1:15" ht="18">
      <c r="A50" s="20" t="s">
        <v>15</v>
      </c>
      <c r="B50" s="21">
        <v>45758.759722222225</v>
      </c>
      <c r="C50" s="20" t="s">
        <v>144</v>
      </c>
      <c r="D50" s="20" t="s">
        <v>145</v>
      </c>
      <c r="E50" s="20" t="s">
        <v>146</v>
      </c>
      <c r="F50" s="20"/>
      <c r="G50" s="20" t="s">
        <v>25</v>
      </c>
      <c r="H50" s="20"/>
      <c r="I50" s="20">
        <v>0</v>
      </c>
      <c r="J50" s="20">
        <v>1</v>
      </c>
      <c r="K50" s="20">
        <v>0</v>
      </c>
      <c r="L50" s="20">
        <v>0</v>
      </c>
      <c r="M50">
        <v>0</v>
      </c>
      <c r="N50" s="20">
        <v>0</v>
      </c>
      <c r="O50" s="20">
        <v>0</v>
      </c>
    </row>
    <row r="51" spans="1:15" ht="18">
      <c r="A51" s="20" t="s">
        <v>15</v>
      </c>
      <c r="B51" s="21">
        <v>45767.011805555558</v>
      </c>
      <c r="C51" s="20" t="s">
        <v>147</v>
      </c>
      <c r="D51" s="20" t="s">
        <v>148</v>
      </c>
      <c r="E51" s="20" t="s">
        <v>149</v>
      </c>
      <c r="F51" s="20" t="s">
        <v>59</v>
      </c>
      <c r="G51" s="20" t="s">
        <v>29</v>
      </c>
      <c r="H51" s="20"/>
      <c r="I51" s="20">
        <v>0</v>
      </c>
      <c r="J51" s="20">
        <v>0</v>
      </c>
      <c r="K51" s="20">
        <v>0</v>
      </c>
      <c r="L51" s="20">
        <v>0</v>
      </c>
      <c r="M51">
        <v>0</v>
      </c>
      <c r="N51" s="20">
        <v>1</v>
      </c>
      <c r="O51" s="20">
        <v>0</v>
      </c>
    </row>
    <row r="52" spans="1:15" ht="18">
      <c r="A52" s="20" t="s">
        <v>16</v>
      </c>
      <c r="B52" s="21">
        <v>45758.305555555555</v>
      </c>
      <c r="C52" s="20" t="s">
        <v>150</v>
      </c>
      <c r="D52" s="20" t="s">
        <v>151</v>
      </c>
      <c r="E52" s="20" t="s">
        <v>152</v>
      </c>
      <c r="F52" s="20"/>
      <c r="G52" s="20" t="s">
        <v>24</v>
      </c>
      <c r="H52" s="20"/>
      <c r="I52" s="20">
        <v>1</v>
      </c>
      <c r="J52" s="20">
        <v>0</v>
      </c>
      <c r="K52" s="20">
        <v>0</v>
      </c>
      <c r="L52" s="20">
        <v>0</v>
      </c>
      <c r="M52">
        <v>0</v>
      </c>
      <c r="N52" s="20">
        <v>0</v>
      </c>
      <c r="O52" s="20">
        <v>0</v>
      </c>
    </row>
    <row r="53" spans="1:15" ht="18">
      <c r="A53" s="20" t="s">
        <v>15</v>
      </c>
      <c r="B53" s="21">
        <v>45786.386805555558</v>
      </c>
      <c r="C53" s="20" t="s">
        <v>153</v>
      </c>
      <c r="D53" s="20" t="s">
        <v>154</v>
      </c>
      <c r="E53" s="20" t="s">
        <v>155</v>
      </c>
      <c r="F53" s="20" t="s">
        <v>156</v>
      </c>
      <c r="G53" s="20" t="s">
        <v>29</v>
      </c>
      <c r="H53" s="20">
        <v>0</v>
      </c>
      <c r="I53" s="20">
        <v>0</v>
      </c>
      <c r="J53" s="20">
        <v>0</v>
      </c>
      <c r="K53" s="20">
        <v>0</v>
      </c>
      <c r="L53" s="20">
        <v>0</v>
      </c>
      <c r="M53" s="20">
        <v>0</v>
      </c>
      <c r="N53" s="20">
        <v>1</v>
      </c>
      <c r="O53" s="20">
        <v>0</v>
      </c>
    </row>
    <row r="54" spans="1:15" ht="18">
      <c r="A54" s="20" t="s">
        <v>15</v>
      </c>
      <c r="B54" s="21">
        <v>45797.974999999999</v>
      </c>
      <c r="C54" s="20" t="s">
        <v>64</v>
      </c>
      <c r="D54" s="20" t="s">
        <v>65</v>
      </c>
      <c r="E54" s="20" t="s">
        <v>157</v>
      </c>
      <c r="F54" s="20"/>
      <c r="G54" s="20" t="s">
        <v>24</v>
      </c>
      <c r="H54" s="20">
        <v>0</v>
      </c>
      <c r="I54" s="20">
        <v>1</v>
      </c>
      <c r="J54" s="20">
        <v>0</v>
      </c>
      <c r="K54" s="20">
        <v>0</v>
      </c>
      <c r="L54" s="20">
        <v>0</v>
      </c>
      <c r="M54" s="20">
        <v>0</v>
      </c>
      <c r="N54" s="20">
        <v>0</v>
      </c>
      <c r="O54" s="20">
        <v>0</v>
      </c>
    </row>
    <row r="55" spans="1:15" ht="18">
      <c r="A55" s="20" t="s">
        <v>15</v>
      </c>
      <c r="B55" s="21">
        <v>45800.476388888892</v>
      </c>
      <c r="C55" s="20" t="s">
        <v>158</v>
      </c>
      <c r="D55" s="20" t="s">
        <v>159</v>
      </c>
      <c r="E55" s="20" t="s">
        <v>160</v>
      </c>
      <c r="F55" s="20" t="s">
        <v>156</v>
      </c>
      <c r="G55" s="20" t="s">
        <v>23</v>
      </c>
      <c r="H55" s="20">
        <v>1</v>
      </c>
      <c r="I55" s="20">
        <v>0</v>
      </c>
      <c r="J55">
        <v>0</v>
      </c>
      <c r="K55" s="20">
        <v>0</v>
      </c>
      <c r="L55">
        <v>0</v>
      </c>
      <c r="M55">
        <v>0</v>
      </c>
      <c r="N55" s="20">
        <v>0</v>
      </c>
      <c r="O55">
        <v>0</v>
      </c>
    </row>
    <row r="56" spans="1:15" ht="18">
      <c r="A56" s="20" t="s">
        <v>15</v>
      </c>
      <c r="B56" s="21">
        <v>45800.476388888892</v>
      </c>
      <c r="C56" s="20" t="s">
        <v>158</v>
      </c>
      <c r="D56" s="20" t="s">
        <v>159</v>
      </c>
      <c r="E56" s="20" t="s">
        <v>160</v>
      </c>
      <c r="F56" s="20" t="s">
        <v>156</v>
      </c>
      <c r="G56" s="20" t="s">
        <v>29</v>
      </c>
      <c r="H56" s="20">
        <v>0</v>
      </c>
      <c r="I56" s="20">
        <v>0</v>
      </c>
      <c r="J56">
        <v>0</v>
      </c>
      <c r="K56" s="20">
        <v>0</v>
      </c>
      <c r="L56">
        <v>0</v>
      </c>
      <c r="M56">
        <v>0</v>
      </c>
      <c r="N56" s="20">
        <v>1</v>
      </c>
      <c r="O56">
        <v>0</v>
      </c>
    </row>
    <row r="57" spans="1:15" ht="18">
      <c r="A57" s="20" t="s">
        <v>15</v>
      </c>
      <c r="B57" s="21">
        <v>45800.537499999999</v>
      </c>
      <c r="C57" s="20" t="s">
        <v>161</v>
      </c>
      <c r="D57" s="20" t="s">
        <v>162</v>
      </c>
      <c r="E57" s="20" t="s">
        <v>163</v>
      </c>
      <c r="F57" s="20"/>
      <c r="G57" s="20" t="s">
        <v>26</v>
      </c>
      <c r="H57" s="20">
        <v>0</v>
      </c>
      <c r="I57" s="20">
        <v>0</v>
      </c>
      <c r="J57">
        <v>0</v>
      </c>
      <c r="K57" s="20">
        <v>1</v>
      </c>
      <c r="L57">
        <v>0</v>
      </c>
      <c r="M57">
        <v>0</v>
      </c>
      <c r="N57" s="20">
        <v>0</v>
      </c>
      <c r="O57">
        <v>0</v>
      </c>
    </row>
    <row r="58" spans="1:15" ht="18">
      <c r="A58" s="20" t="s">
        <v>15</v>
      </c>
      <c r="B58" s="21">
        <v>45812.479861111111</v>
      </c>
      <c r="C58" s="20" t="s">
        <v>164</v>
      </c>
      <c r="D58" s="20" t="s">
        <v>165</v>
      </c>
      <c r="E58" s="20" t="s">
        <v>166</v>
      </c>
      <c r="F58" s="20" t="s">
        <v>156</v>
      </c>
      <c r="G58" s="20" t="s">
        <v>30</v>
      </c>
      <c r="H58">
        <v>0</v>
      </c>
      <c r="I58">
        <v>0</v>
      </c>
      <c r="J58">
        <v>0</v>
      </c>
      <c r="K58">
        <v>0</v>
      </c>
      <c r="L58">
        <v>0</v>
      </c>
      <c r="M58" s="20">
        <v>0</v>
      </c>
      <c r="N58">
        <v>0</v>
      </c>
      <c r="O58" s="20">
        <v>1</v>
      </c>
    </row>
    <row r="59" spans="1:15" ht="18">
      <c r="A59" s="20" t="s">
        <v>16</v>
      </c>
      <c r="B59" s="21">
        <v>45818.506944444445</v>
      </c>
      <c r="C59" s="20" t="s">
        <v>167</v>
      </c>
      <c r="D59" s="20" t="s">
        <v>168</v>
      </c>
      <c r="E59" s="20" t="s">
        <v>169</v>
      </c>
      <c r="F59" s="20"/>
      <c r="G59" s="20" t="s">
        <v>28</v>
      </c>
      <c r="H59">
        <v>0</v>
      </c>
      <c r="I59">
        <v>0</v>
      </c>
      <c r="J59">
        <v>0</v>
      </c>
      <c r="K59">
        <v>0</v>
      </c>
      <c r="L59">
        <v>0</v>
      </c>
      <c r="M59" s="20">
        <v>1</v>
      </c>
      <c r="N59">
        <v>0</v>
      </c>
      <c r="O59" s="20">
        <v>0</v>
      </c>
    </row>
    <row r="60" spans="1:15" ht="18">
      <c r="A60" s="20" t="s">
        <v>15</v>
      </c>
      <c r="B60" s="21">
        <v>45826.557638888888</v>
      </c>
      <c r="C60" s="20" t="s">
        <v>170</v>
      </c>
      <c r="D60" s="20" t="s">
        <v>171</v>
      </c>
      <c r="E60" s="20" t="s">
        <v>172</v>
      </c>
      <c r="F60" s="20" t="s">
        <v>59</v>
      </c>
      <c r="G60" s="20" t="s">
        <v>30</v>
      </c>
      <c r="H60">
        <v>0</v>
      </c>
      <c r="I60" s="20">
        <v>0</v>
      </c>
      <c r="J60" s="20">
        <v>0</v>
      </c>
      <c r="K60" s="20">
        <v>0</v>
      </c>
      <c r="L60" s="20">
        <v>0</v>
      </c>
      <c r="M60">
        <v>0</v>
      </c>
      <c r="N60" s="20">
        <v>0</v>
      </c>
      <c r="O60" s="20">
        <v>1</v>
      </c>
    </row>
    <row r="61" spans="1:15" ht="18">
      <c r="A61" s="20" t="s">
        <v>15</v>
      </c>
      <c r="B61" s="21">
        <v>45828.620833333334</v>
      </c>
      <c r="C61" s="20" t="s">
        <v>64</v>
      </c>
      <c r="D61" s="20" t="s">
        <v>65</v>
      </c>
      <c r="E61" s="20" t="s">
        <v>173</v>
      </c>
      <c r="F61" s="20"/>
      <c r="G61" s="20" t="s">
        <v>29</v>
      </c>
      <c r="H61">
        <v>0</v>
      </c>
      <c r="I61" s="20">
        <v>0</v>
      </c>
      <c r="J61" s="20">
        <v>0</v>
      </c>
      <c r="K61" s="20">
        <v>0</v>
      </c>
      <c r="L61" s="20">
        <v>0</v>
      </c>
      <c r="M61">
        <v>0</v>
      </c>
      <c r="N61" s="20">
        <v>1</v>
      </c>
      <c r="O61" s="20">
        <v>0</v>
      </c>
    </row>
    <row r="62" spans="1:15" ht="18">
      <c r="A62" s="20" t="s">
        <v>17</v>
      </c>
      <c r="B62" s="21">
        <v>45827.553472222222</v>
      </c>
      <c r="C62" s="20" t="s">
        <v>174</v>
      </c>
      <c r="D62" s="20" t="s">
        <v>175</v>
      </c>
      <c r="E62" s="20" t="s">
        <v>176</v>
      </c>
      <c r="F62" s="20"/>
      <c r="G62" s="20" t="s">
        <v>24</v>
      </c>
      <c r="H62">
        <v>0</v>
      </c>
      <c r="I62" s="20">
        <v>1</v>
      </c>
      <c r="J62" s="20">
        <v>0</v>
      </c>
      <c r="K62" s="20">
        <v>0</v>
      </c>
      <c r="L62" s="20">
        <v>0</v>
      </c>
      <c r="M62">
        <v>0</v>
      </c>
      <c r="N62" s="20">
        <v>0</v>
      </c>
      <c r="O62" s="20">
        <v>0</v>
      </c>
    </row>
    <row r="63" spans="1:15" ht="18">
      <c r="A63" s="20" t="s">
        <v>17</v>
      </c>
      <c r="B63" s="21">
        <v>45831.509722222225</v>
      </c>
      <c r="C63" s="20" t="s">
        <v>177</v>
      </c>
      <c r="D63" s="20" t="s">
        <v>178</v>
      </c>
      <c r="E63" s="20" t="s">
        <v>179</v>
      </c>
      <c r="F63" s="20"/>
      <c r="G63" s="20" t="s">
        <v>25</v>
      </c>
      <c r="H63">
        <v>0</v>
      </c>
      <c r="I63" s="20">
        <v>0</v>
      </c>
      <c r="J63" s="20">
        <v>1</v>
      </c>
      <c r="K63" s="20">
        <v>0</v>
      </c>
      <c r="L63" s="20">
        <v>0</v>
      </c>
      <c r="M63">
        <v>0</v>
      </c>
      <c r="N63" s="20">
        <v>0</v>
      </c>
      <c r="O63" s="20">
        <v>0</v>
      </c>
    </row>
    <row r="64" spans="1:15" ht="18">
      <c r="A64" s="20" t="s">
        <v>17</v>
      </c>
      <c r="B64" s="21">
        <v>45831.509722222225</v>
      </c>
      <c r="C64" s="20" t="s">
        <v>177</v>
      </c>
      <c r="D64" s="20" t="s">
        <v>178</v>
      </c>
      <c r="E64" s="20" t="s">
        <v>179</v>
      </c>
      <c r="F64" s="20"/>
      <c r="G64" s="20" t="s">
        <v>26</v>
      </c>
      <c r="H64">
        <v>0</v>
      </c>
      <c r="I64" s="20">
        <v>0</v>
      </c>
      <c r="J64" s="20">
        <v>0</v>
      </c>
      <c r="K64" s="20">
        <v>1</v>
      </c>
      <c r="L64" s="20">
        <v>0</v>
      </c>
      <c r="M64">
        <v>0</v>
      </c>
      <c r="N64" s="20">
        <v>0</v>
      </c>
      <c r="O64" s="20">
        <v>0</v>
      </c>
    </row>
    <row r="65" spans="1:15" ht="18">
      <c r="A65" s="20" t="s">
        <v>17</v>
      </c>
      <c r="B65" s="21">
        <v>45831.509722222225</v>
      </c>
      <c r="C65" s="20" t="s">
        <v>177</v>
      </c>
      <c r="D65" s="20" t="s">
        <v>178</v>
      </c>
      <c r="E65" s="20" t="s">
        <v>179</v>
      </c>
      <c r="F65" s="20"/>
      <c r="G65" s="20" t="s">
        <v>27</v>
      </c>
      <c r="H65">
        <v>0</v>
      </c>
      <c r="I65" s="20">
        <v>0</v>
      </c>
      <c r="J65" s="20">
        <v>0</v>
      </c>
      <c r="K65" s="20">
        <v>0</v>
      </c>
      <c r="L65" s="20">
        <v>1</v>
      </c>
      <c r="M65">
        <v>0</v>
      </c>
      <c r="N65" s="20">
        <v>0</v>
      </c>
      <c r="O65" s="20">
        <v>0</v>
      </c>
    </row>
    <row r="66" spans="1:15" ht="18">
      <c r="A66" s="20" t="s">
        <v>17</v>
      </c>
      <c r="B66" s="21">
        <v>45831.509722222225</v>
      </c>
      <c r="C66" s="20" t="s">
        <v>177</v>
      </c>
      <c r="D66" s="20" t="s">
        <v>178</v>
      </c>
      <c r="E66" s="20" t="s">
        <v>179</v>
      </c>
      <c r="F66" s="20"/>
      <c r="G66" s="20" t="s">
        <v>29</v>
      </c>
      <c r="H66">
        <v>0</v>
      </c>
      <c r="I66" s="20">
        <v>0</v>
      </c>
      <c r="J66" s="20">
        <v>0</v>
      </c>
      <c r="K66" s="20">
        <v>0</v>
      </c>
      <c r="L66" s="20">
        <v>0</v>
      </c>
      <c r="M66">
        <v>0</v>
      </c>
      <c r="N66" s="20">
        <v>1</v>
      </c>
      <c r="O66" s="20">
        <v>0</v>
      </c>
    </row>
    <row r="67" spans="1:15" ht="18">
      <c r="A67" t="s">
        <v>180</v>
      </c>
    </row>
    <row r="68" spans="1:15" ht="18"/>
    <row r="69" spans="1:15" ht="18"/>
    <row r="70" spans="1:15" ht="18"/>
    <row r="71" spans="1:15" ht="18"/>
    <row r="72" spans="1:15" ht="18"/>
    <row r="73" spans="1:15" ht="18"/>
    <row r="74" spans="1:15" ht="18"/>
    <row r="75" spans="1:15" ht="18"/>
    <row r="76" spans="1:15" ht="18"/>
    <row r="77" spans="1:15" ht="18"/>
    <row r="78" spans="1:15" ht="18"/>
    <row r="79" spans="1:15" ht="18"/>
    <row r="80" spans="1:15" ht="18"/>
    <row r="81" ht="18"/>
    <row r="82" ht="18"/>
    <row r="83" ht="18"/>
    <row r="84" ht="18"/>
    <row r="85" ht="18"/>
    <row r="86" ht="18"/>
    <row r="87" ht="18"/>
    <row r="88" ht="18"/>
    <row r="89" ht="18"/>
    <row r="90" ht="18"/>
    <row r="91" ht="18"/>
    <row r="92" ht="18"/>
    <row r="93" ht="18"/>
    <row r="94" ht="18"/>
    <row r="95" ht="18"/>
    <row r="96" ht="18"/>
    <row r="97" spans="1:2" ht="18"/>
    <row r="98" spans="1:2" ht="18"/>
    <row r="99" spans="1:2" ht="18"/>
    <row r="100" spans="1:2" ht="18"/>
    <row r="101" spans="1:2" ht="18"/>
    <row r="102" spans="1:2" ht="18"/>
    <row r="103" spans="1:2" ht="18"/>
    <row r="104" spans="1:2" ht="18"/>
    <row r="105" spans="1:2" ht="18"/>
    <row r="106" spans="1:2" ht="18"/>
    <row r="109" spans="1:2" ht="18">
      <c r="A109">
        <f>COUNTIF(A$3:A$45,"お問い合わせ完了")</f>
        <v>23</v>
      </c>
      <c r="B109" s="11" t="s">
        <v>181</v>
      </c>
    </row>
    <row r="110" spans="1:2" ht="18">
      <c r="A110">
        <f>COUNTIF(A$3:A$45,"お役立ち資料DL")</f>
        <v>12</v>
      </c>
      <c r="B110" s="11" t="s">
        <v>182</v>
      </c>
    </row>
    <row r="111" spans="1:2" ht="18">
      <c r="A111">
        <f>COUNTIF(A$3:A$45,"サービス資料DL")</f>
        <v>8</v>
      </c>
      <c r="B111" s="11" t="s">
        <v>183</v>
      </c>
    </row>
  </sheetData>
  <phoneticPr fontId="18"/>
  <conditionalFormatting sqref="D1:D52 D67:D1048576">
    <cfRule type="duplicateValues" dxfId="2"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9C3D1-979A-43C1-A5B1-10B0F43A17DD}">
  <sheetPr>
    <tabColor rgb="FF92D050"/>
  </sheetPr>
  <dimension ref="A1:U76"/>
  <sheetViews>
    <sheetView tabSelected="1" topLeftCell="B1" zoomScale="70" zoomScaleNormal="70" workbookViewId="0">
      <pane ySplit="1" topLeftCell="A25" activePane="bottomLeft" state="frozen"/>
      <selection pane="bottomLeft" activeCell="H43" sqref="H43"/>
    </sheetView>
  </sheetViews>
  <sheetFormatPr defaultColWidth="9" defaultRowHeight="15.75" customHeight="1"/>
  <cols>
    <col min="1" max="1" width="8.5" style="48" customWidth="1"/>
    <col min="2" max="2" width="33.58203125" style="48" customWidth="1"/>
    <col min="3" max="3" width="20.75" style="55" customWidth="1"/>
    <col min="4" max="4" width="20.83203125" style="48" customWidth="1"/>
    <col min="5" max="5" width="37.5" style="48" customWidth="1"/>
    <col min="6" max="7" width="9" style="48"/>
    <col min="8" max="8" width="16.75" style="48" customWidth="1"/>
    <col min="9" max="16" width="9" style="48" hidden="1" customWidth="1"/>
    <col min="17" max="17" width="9" style="48" bestFit="1" customWidth="1"/>
    <col min="18" max="18" width="16.25" style="48" customWidth="1"/>
    <col min="19" max="19" width="17.83203125" style="48" customWidth="1"/>
    <col min="20" max="20" width="16.33203125" style="48" customWidth="1"/>
    <col min="21" max="21" width="9" style="48"/>
  </cols>
  <sheetData>
    <row r="1" spans="2:21" ht="18">
      <c r="B1" s="44" t="s">
        <v>41</v>
      </c>
      <c r="C1" s="46" t="s">
        <v>42</v>
      </c>
      <c r="D1" s="44" t="s">
        <v>43</v>
      </c>
      <c r="E1" s="44" t="s">
        <v>44</v>
      </c>
      <c r="F1" s="44" t="s">
        <v>45</v>
      </c>
      <c r="G1" s="44" t="s">
        <v>46</v>
      </c>
      <c r="H1" s="44" t="s">
        <v>47</v>
      </c>
      <c r="I1" s="47" t="s">
        <v>23</v>
      </c>
      <c r="J1" s="44" t="s">
        <v>24</v>
      </c>
      <c r="K1" s="44" t="s">
        <v>25</v>
      </c>
      <c r="L1" s="44" t="s">
        <v>26</v>
      </c>
      <c r="M1" s="44" t="s">
        <v>27</v>
      </c>
      <c r="N1" s="44" t="s">
        <v>28</v>
      </c>
      <c r="O1" s="44" t="s">
        <v>29</v>
      </c>
      <c r="P1" s="44" t="s">
        <v>30</v>
      </c>
      <c r="R1" s="49" t="s">
        <v>184</v>
      </c>
      <c r="S1" s="49" t="s">
        <v>185</v>
      </c>
      <c r="T1" s="49" t="s">
        <v>186</v>
      </c>
      <c r="U1" s="50" t="s">
        <v>49</v>
      </c>
    </row>
    <row r="2" spans="2:21" ht="18">
      <c r="B2" s="44" t="s">
        <v>15</v>
      </c>
      <c r="C2" s="46">
        <v>45574.590277777781</v>
      </c>
      <c r="D2" s="44" t="s">
        <v>50</v>
      </c>
      <c r="E2" s="44" t="s">
        <v>51</v>
      </c>
      <c r="F2" s="44" t="s">
        <v>52</v>
      </c>
      <c r="G2" s="44"/>
      <c r="H2" s="44" t="s">
        <v>27</v>
      </c>
      <c r="I2" s="44"/>
      <c r="J2" s="44">
        <v>0</v>
      </c>
      <c r="K2" s="44">
        <v>0</v>
      </c>
      <c r="L2" s="44">
        <v>0</v>
      </c>
      <c r="M2" s="44">
        <v>1</v>
      </c>
      <c r="N2" s="44">
        <v>0</v>
      </c>
      <c r="O2" s="44">
        <v>0</v>
      </c>
      <c r="P2" s="44">
        <v>0</v>
      </c>
      <c r="Q2" s="48" t="str">
        <f t="shared" ref="Q2:Q47" si="0">TEXT(C2, "yyyy-mm")</f>
        <v>2024-10</v>
      </c>
    </row>
    <row r="3" spans="2:21" ht="18">
      <c r="B3" s="44" t="s">
        <v>15</v>
      </c>
      <c r="C3" s="46">
        <v>45581.677083333336</v>
      </c>
      <c r="D3" s="44" t="s">
        <v>53</v>
      </c>
      <c r="E3" s="44" t="s">
        <v>54</v>
      </c>
      <c r="F3" s="44" t="s">
        <v>55</v>
      </c>
      <c r="G3" s="44"/>
      <c r="H3" s="44" t="s">
        <v>29</v>
      </c>
      <c r="I3" s="44"/>
      <c r="J3" s="44">
        <v>0</v>
      </c>
      <c r="K3" s="44">
        <v>0</v>
      </c>
      <c r="L3" s="44">
        <v>0</v>
      </c>
      <c r="M3" s="44">
        <v>0</v>
      </c>
      <c r="N3" s="44">
        <v>0</v>
      </c>
      <c r="O3" s="44">
        <v>1</v>
      </c>
      <c r="P3" s="44">
        <v>0</v>
      </c>
      <c r="Q3" s="48" t="str">
        <f t="shared" si="0"/>
        <v>2024-10</v>
      </c>
    </row>
    <row r="4" spans="2:21" ht="18">
      <c r="B4" s="44" t="s">
        <v>16</v>
      </c>
      <c r="C4" s="46">
        <v>45584.425000000003</v>
      </c>
      <c r="D4" s="44" t="s">
        <v>102</v>
      </c>
      <c r="E4" s="44" t="s">
        <v>103</v>
      </c>
      <c r="F4" s="44" t="s">
        <v>104</v>
      </c>
      <c r="G4" s="44"/>
      <c r="H4" s="44" t="s">
        <v>27</v>
      </c>
      <c r="I4" s="44"/>
      <c r="J4" s="44">
        <v>0</v>
      </c>
      <c r="K4" s="44">
        <v>0</v>
      </c>
      <c r="L4" s="44">
        <v>0</v>
      </c>
      <c r="M4" s="44">
        <v>1</v>
      </c>
      <c r="N4" s="44">
        <v>0</v>
      </c>
      <c r="O4" s="44">
        <v>0</v>
      </c>
      <c r="P4" s="44">
        <v>0</v>
      </c>
      <c r="Q4" s="48" t="str">
        <f t="shared" si="0"/>
        <v>2024-10</v>
      </c>
    </row>
    <row r="5" spans="2:21" ht="18">
      <c r="B5" s="44" t="s">
        <v>15</v>
      </c>
      <c r="C5" s="46">
        <v>45597.697222222225</v>
      </c>
      <c r="D5" s="44" t="s">
        <v>56</v>
      </c>
      <c r="E5" s="44" t="s">
        <v>57</v>
      </c>
      <c r="F5" s="44" t="s">
        <v>58</v>
      </c>
      <c r="G5" s="44" t="s">
        <v>59</v>
      </c>
      <c r="H5" s="44" t="s">
        <v>27</v>
      </c>
      <c r="I5" s="44"/>
      <c r="J5" s="44">
        <v>0</v>
      </c>
      <c r="K5" s="44">
        <v>0</v>
      </c>
      <c r="L5" s="44">
        <v>0</v>
      </c>
      <c r="M5" s="44">
        <v>1</v>
      </c>
      <c r="N5" s="44">
        <v>0</v>
      </c>
      <c r="O5" s="44">
        <v>0</v>
      </c>
      <c r="P5" s="44">
        <v>0</v>
      </c>
      <c r="Q5" s="48" t="str">
        <f t="shared" si="0"/>
        <v>2024-11</v>
      </c>
    </row>
    <row r="6" spans="2:21" ht="18">
      <c r="B6" s="44" t="s">
        <v>16</v>
      </c>
      <c r="C6" s="46">
        <v>45601.822222222225</v>
      </c>
      <c r="D6" s="44" t="s">
        <v>105</v>
      </c>
      <c r="E6" s="44" t="s">
        <v>106</v>
      </c>
      <c r="F6" s="44" t="s">
        <v>107</v>
      </c>
      <c r="G6" s="44"/>
      <c r="H6" s="44" t="s">
        <v>24</v>
      </c>
      <c r="I6" s="44"/>
      <c r="J6" s="44">
        <v>1</v>
      </c>
      <c r="K6" s="44">
        <v>0</v>
      </c>
      <c r="L6" s="44">
        <v>0</v>
      </c>
      <c r="M6" s="44">
        <v>0</v>
      </c>
      <c r="N6" s="44">
        <v>0</v>
      </c>
      <c r="O6" s="44">
        <v>0</v>
      </c>
      <c r="P6" s="44">
        <v>0</v>
      </c>
      <c r="Q6" s="48" t="str">
        <f t="shared" si="0"/>
        <v>2024-11</v>
      </c>
      <c r="U6" s="48" t="s">
        <v>95</v>
      </c>
    </row>
    <row r="7" spans="2:21" ht="18">
      <c r="B7" s="44" t="s">
        <v>15</v>
      </c>
      <c r="C7" s="46">
        <v>45603.525694444441</v>
      </c>
      <c r="D7" s="44" t="s">
        <v>61</v>
      </c>
      <c r="E7" s="44" t="s">
        <v>62</v>
      </c>
      <c r="F7" s="44" t="s">
        <v>63</v>
      </c>
      <c r="G7" s="44"/>
      <c r="H7" s="44" t="s">
        <v>27</v>
      </c>
      <c r="I7" s="44"/>
      <c r="J7" s="44">
        <v>0</v>
      </c>
      <c r="K7" s="44">
        <v>0</v>
      </c>
      <c r="L7" s="44">
        <v>0</v>
      </c>
      <c r="M7" s="44">
        <v>1</v>
      </c>
      <c r="N7" s="44">
        <v>0</v>
      </c>
      <c r="O7" s="44">
        <v>0</v>
      </c>
      <c r="P7" s="44">
        <v>0</v>
      </c>
      <c r="Q7" s="48" t="str">
        <f t="shared" si="0"/>
        <v>2024-11</v>
      </c>
      <c r="U7" s="48" t="s">
        <v>60</v>
      </c>
    </row>
    <row r="8" spans="2:21" ht="18">
      <c r="B8" s="44" t="s">
        <v>17</v>
      </c>
      <c r="C8" s="46">
        <v>45603.634027777778</v>
      </c>
      <c r="D8" s="44" t="s">
        <v>125</v>
      </c>
      <c r="E8" s="44" t="s">
        <v>126</v>
      </c>
      <c r="F8" s="44" t="s">
        <v>127</v>
      </c>
      <c r="G8" s="44"/>
      <c r="H8" s="44" t="s">
        <v>25</v>
      </c>
      <c r="I8" s="44"/>
      <c r="J8" s="44">
        <v>0</v>
      </c>
      <c r="K8" s="44">
        <v>1</v>
      </c>
      <c r="L8" s="44">
        <v>0</v>
      </c>
      <c r="M8" s="44">
        <v>0</v>
      </c>
      <c r="N8" s="44">
        <v>0</v>
      </c>
      <c r="O8" s="44">
        <v>0</v>
      </c>
      <c r="P8" s="44">
        <v>0</v>
      </c>
      <c r="Q8" s="48" t="str">
        <f t="shared" si="0"/>
        <v>2024-11</v>
      </c>
      <c r="R8" s="51">
        <v>45717</v>
      </c>
      <c r="S8" s="51">
        <v>45717</v>
      </c>
      <c r="U8" s="52"/>
    </row>
    <row r="9" spans="2:21" ht="18">
      <c r="B9" s="44" t="s">
        <v>15</v>
      </c>
      <c r="C9" s="46">
        <v>45606.545138888891</v>
      </c>
      <c r="D9" s="44" t="s">
        <v>64</v>
      </c>
      <c r="E9" s="44" t="s">
        <v>65</v>
      </c>
      <c r="F9" s="44" t="s">
        <v>66</v>
      </c>
      <c r="G9" s="44"/>
      <c r="H9" s="44" t="s">
        <v>24</v>
      </c>
      <c r="I9" s="44"/>
      <c r="J9" s="44">
        <v>1</v>
      </c>
      <c r="K9" s="44">
        <v>0</v>
      </c>
      <c r="L9" s="44">
        <v>0</v>
      </c>
      <c r="M9" s="44">
        <v>0</v>
      </c>
      <c r="N9" s="44">
        <v>0</v>
      </c>
      <c r="O9" s="44">
        <v>0</v>
      </c>
      <c r="P9" s="44">
        <v>0</v>
      </c>
      <c r="Q9" s="48" t="str">
        <f t="shared" si="0"/>
        <v>2024-11</v>
      </c>
    </row>
    <row r="10" spans="2:21" ht="18">
      <c r="B10" s="44" t="s">
        <v>15</v>
      </c>
      <c r="C10" s="46">
        <v>45611.609027777777</v>
      </c>
      <c r="D10" s="44" t="s">
        <v>67</v>
      </c>
      <c r="E10" s="44" t="s">
        <v>68</v>
      </c>
      <c r="F10" s="44" t="s">
        <v>69</v>
      </c>
      <c r="G10" s="44" t="s">
        <v>59</v>
      </c>
      <c r="H10" s="44" t="s">
        <v>27</v>
      </c>
      <c r="I10" s="44"/>
      <c r="J10" s="44">
        <v>0</v>
      </c>
      <c r="K10" s="44">
        <v>0</v>
      </c>
      <c r="L10" s="44">
        <v>0</v>
      </c>
      <c r="M10" s="44">
        <v>1</v>
      </c>
      <c r="N10" s="44">
        <v>0</v>
      </c>
      <c r="O10" s="44">
        <v>0</v>
      </c>
      <c r="P10" s="44">
        <v>0</v>
      </c>
      <c r="Q10" s="48" t="str">
        <f t="shared" si="0"/>
        <v>2024-11</v>
      </c>
    </row>
    <row r="11" spans="2:21" ht="18">
      <c r="B11" s="44" t="s">
        <v>15</v>
      </c>
      <c r="C11" s="46">
        <v>45635.343055555553</v>
      </c>
      <c r="D11" s="44" t="s">
        <v>70</v>
      </c>
      <c r="E11" s="44" t="s">
        <v>71</v>
      </c>
      <c r="F11" s="44" t="s">
        <v>72</v>
      </c>
      <c r="G11" s="44" t="s">
        <v>73</v>
      </c>
      <c r="H11" s="44" t="s">
        <v>26</v>
      </c>
      <c r="I11" s="44"/>
      <c r="J11" s="44">
        <v>0</v>
      </c>
      <c r="K11" s="44">
        <v>0</v>
      </c>
      <c r="L11" s="44">
        <v>1</v>
      </c>
      <c r="M11" s="44">
        <v>0</v>
      </c>
      <c r="N11" s="44">
        <v>0</v>
      </c>
      <c r="O11" s="44">
        <v>0</v>
      </c>
      <c r="P11" s="44">
        <v>0</v>
      </c>
      <c r="Q11" s="48" t="str">
        <f t="shared" si="0"/>
        <v>2024-12</v>
      </c>
    </row>
    <row r="12" spans="2:21" ht="18">
      <c r="B12" s="44" t="s">
        <v>17</v>
      </c>
      <c r="C12" s="46">
        <v>45642.8125</v>
      </c>
      <c r="D12" s="44" t="s">
        <v>128</v>
      </c>
      <c r="E12" s="44" t="s">
        <v>129</v>
      </c>
      <c r="F12" s="44" t="s">
        <v>130</v>
      </c>
      <c r="G12" s="44"/>
      <c r="H12" s="44" t="s">
        <v>26</v>
      </c>
      <c r="I12" s="44"/>
      <c r="J12" s="44">
        <v>0</v>
      </c>
      <c r="K12" s="44">
        <v>0</v>
      </c>
      <c r="L12" s="44">
        <v>1</v>
      </c>
      <c r="M12" s="44">
        <v>0</v>
      </c>
      <c r="N12" s="44">
        <v>0</v>
      </c>
      <c r="O12" s="44">
        <v>0</v>
      </c>
      <c r="P12" s="44">
        <v>0</v>
      </c>
      <c r="Q12" s="48" t="str">
        <f t="shared" si="0"/>
        <v>2024-12</v>
      </c>
      <c r="U12" s="52"/>
    </row>
    <row r="13" spans="2:21" ht="18">
      <c r="B13" s="44" t="s">
        <v>16</v>
      </c>
      <c r="C13" s="46">
        <v>45643.64166666667</v>
      </c>
      <c r="D13" s="44" t="s">
        <v>108</v>
      </c>
      <c r="E13" s="44" t="s">
        <v>109</v>
      </c>
      <c r="F13" s="44" t="s">
        <v>110</v>
      </c>
      <c r="G13" s="44"/>
      <c r="H13" s="44" t="s">
        <v>24</v>
      </c>
      <c r="I13" s="44"/>
      <c r="J13" s="44">
        <v>1</v>
      </c>
      <c r="K13" s="44">
        <v>0</v>
      </c>
      <c r="L13" s="44">
        <v>0</v>
      </c>
      <c r="M13" s="44">
        <v>0</v>
      </c>
      <c r="N13" s="44">
        <v>0</v>
      </c>
      <c r="O13" s="44">
        <v>0</v>
      </c>
      <c r="P13" s="44">
        <v>0</v>
      </c>
      <c r="Q13" s="48" t="str">
        <f t="shared" si="0"/>
        <v>2024-12</v>
      </c>
    </row>
    <row r="14" spans="2:21" ht="18">
      <c r="B14" s="44" t="s">
        <v>15</v>
      </c>
      <c r="C14" s="46">
        <v>45652.716666666667</v>
      </c>
      <c r="D14" s="44" t="s">
        <v>75</v>
      </c>
      <c r="E14" s="44" t="s">
        <v>76</v>
      </c>
      <c r="F14" s="44" t="s">
        <v>77</v>
      </c>
      <c r="G14" s="44"/>
      <c r="H14" s="44" t="s">
        <v>29</v>
      </c>
      <c r="I14" s="44"/>
      <c r="J14" s="44">
        <v>0</v>
      </c>
      <c r="K14" s="44">
        <v>0</v>
      </c>
      <c r="L14" s="44">
        <v>0</v>
      </c>
      <c r="M14" s="44">
        <v>0</v>
      </c>
      <c r="N14" s="44">
        <v>0</v>
      </c>
      <c r="O14" s="44">
        <v>1</v>
      </c>
      <c r="P14" s="44">
        <v>0</v>
      </c>
      <c r="Q14" s="48" t="str">
        <f t="shared" si="0"/>
        <v>2024-12</v>
      </c>
    </row>
    <row r="15" spans="2:21" ht="18">
      <c r="B15" s="44" t="s">
        <v>16</v>
      </c>
      <c r="C15" s="46">
        <v>45666.79583333333</v>
      </c>
      <c r="D15" s="44" t="s">
        <v>111</v>
      </c>
      <c r="E15" s="44" t="s">
        <v>112</v>
      </c>
      <c r="F15" s="44" t="s">
        <v>113</v>
      </c>
      <c r="G15" s="44"/>
      <c r="H15" s="44" t="s">
        <v>24</v>
      </c>
      <c r="I15" s="44"/>
      <c r="J15" s="44">
        <v>1</v>
      </c>
      <c r="K15" s="44">
        <v>0</v>
      </c>
      <c r="L15" s="44">
        <v>0</v>
      </c>
      <c r="M15" s="44">
        <v>0</v>
      </c>
      <c r="N15" s="44">
        <v>0</v>
      </c>
      <c r="O15" s="44">
        <v>0</v>
      </c>
      <c r="P15" s="44">
        <v>0</v>
      </c>
      <c r="Q15" s="48" t="str">
        <f t="shared" si="0"/>
        <v>2025-01</v>
      </c>
    </row>
    <row r="16" spans="2:21" ht="18">
      <c r="B16" s="44" t="s">
        <v>16</v>
      </c>
      <c r="C16" s="46">
        <v>45679.395833333336</v>
      </c>
      <c r="D16" s="44" t="s">
        <v>114</v>
      </c>
      <c r="E16" s="44" t="s">
        <v>115</v>
      </c>
      <c r="F16" s="44" t="s">
        <v>116</v>
      </c>
      <c r="G16" s="44"/>
      <c r="H16" s="44" t="s">
        <v>28</v>
      </c>
      <c r="I16" s="44"/>
      <c r="J16" s="44">
        <v>0</v>
      </c>
      <c r="K16" s="44">
        <v>0</v>
      </c>
      <c r="L16" s="44">
        <v>0</v>
      </c>
      <c r="M16" s="44">
        <v>0</v>
      </c>
      <c r="N16" s="44">
        <v>1</v>
      </c>
      <c r="O16" s="44">
        <v>0</v>
      </c>
      <c r="P16" s="44">
        <v>0</v>
      </c>
      <c r="Q16" s="48" t="str">
        <f t="shared" si="0"/>
        <v>2025-01</v>
      </c>
      <c r="R16" s="51">
        <v>45658</v>
      </c>
      <c r="S16" s="51">
        <v>45689</v>
      </c>
    </row>
    <row r="17" spans="2:21" ht="18">
      <c r="B17" s="44" t="s">
        <v>15</v>
      </c>
      <c r="C17" s="46">
        <v>45679.701388888891</v>
      </c>
      <c r="D17" s="44" t="s">
        <v>78</v>
      </c>
      <c r="E17" s="44" t="s">
        <v>79</v>
      </c>
      <c r="F17" s="44" t="s">
        <v>80</v>
      </c>
      <c r="G17" s="44" t="s">
        <v>59</v>
      </c>
      <c r="H17" s="44" t="s">
        <v>29</v>
      </c>
      <c r="I17" s="44"/>
      <c r="J17" s="44">
        <v>0</v>
      </c>
      <c r="K17" s="44">
        <v>0</v>
      </c>
      <c r="L17" s="44">
        <v>0</v>
      </c>
      <c r="M17" s="44">
        <v>0</v>
      </c>
      <c r="N17" s="44">
        <v>0</v>
      </c>
      <c r="O17" s="44">
        <v>1</v>
      </c>
      <c r="P17" s="44">
        <v>0</v>
      </c>
      <c r="Q17" s="48" t="str">
        <f t="shared" si="0"/>
        <v>2025-01</v>
      </c>
      <c r="R17" s="51">
        <v>45658</v>
      </c>
      <c r="S17" s="51">
        <v>45689</v>
      </c>
      <c r="T17" s="51">
        <v>45717</v>
      </c>
      <c r="U17" s="48" t="s">
        <v>74</v>
      </c>
    </row>
    <row r="18" spans="2:21" ht="18">
      <c r="B18" s="44" t="s">
        <v>15</v>
      </c>
      <c r="C18" s="46">
        <v>45696.813888888886</v>
      </c>
      <c r="D18" s="44" t="s">
        <v>81</v>
      </c>
      <c r="E18" s="44" t="s">
        <v>82</v>
      </c>
      <c r="F18" s="44" t="s">
        <v>83</v>
      </c>
      <c r="G18" s="44"/>
      <c r="H18" s="44" t="s">
        <v>26</v>
      </c>
      <c r="I18" s="44"/>
      <c r="J18" s="44">
        <v>0</v>
      </c>
      <c r="K18" s="44">
        <v>0</v>
      </c>
      <c r="L18" s="44">
        <v>1</v>
      </c>
      <c r="M18" s="44">
        <v>0</v>
      </c>
      <c r="N18" s="44">
        <v>0</v>
      </c>
      <c r="O18" s="44">
        <v>0</v>
      </c>
      <c r="P18" s="44">
        <v>0</v>
      </c>
      <c r="Q18" s="48" t="str">
        <f t="shared" si="0"/>
        <v>2025-02</v>
      </c>
    </row>
    <row r="19" spans="2:21" ht="18">
      <c r="B19" s="44" t="s">
        <v>17</v>
      </c>
      <c r="C19" s="46">
        <v>45699.761805555558</v>
      </c>
      <c r="D19" s="44" t="s">
        <v>131</v>
      </c>
      <c r="E19" s="44" t="s">
        <v>132</v>
      </c>
      <c r="F19" s="44" t="s">
        <v>133</v>
      </c>
      <c r="G19" s="44"/>
      <c r="H19" s="44" t="s">
        <v>27</v>
      </c>
      <c r="I19" s="44"/>
      <c r="J19" s="44">
        <v>0</v>
      </c>
      <c r="K19" s="44">
        <v>0</v>
      </c>
      <c r="L19" s="44">
        <v>0</v>
      </c>
      <c r="M19" s="44">
        <v>1</v>
      </c>
      <c r="N19" s="44">
        <v>0</v>
      </c>
      <c r="O19" s="44">
        <v>0</v>
      </c>
      <c r="P19" s="44">
        <v>0</v>
      </c>
      <c r="Q19" s="48" t="str">
        <f t="shared" si="0"/>
        <v>2025-02</v>
      </c>
      <c r="U19" s="52"/>
    </row>
    <row r="20" spans="2:21" ht="18">
      <c r="B20" s="44" t="s">
        <v>16</v>
      </c>
      <c r="C20" s="46">
        <v>45713.513888888891</v>
      </c>
      <c r="D20" s="44" t="s">
        <v>119</v>
      </c>
      <c r="E20" s="44" t="s">
        <v>120</v>
      </c>
      <c r="F20" s="44" t="s">
        <v>121</v>
      </c>
      <c r="G20" s="44"/>
      <c r="H20" s="44" t="s">
        <v>24</v>
      </c>
      <c r="I20" s="44"/>
      <c r="J20" s="44">
        <v>1</v>
      </c>
      <c r="K20" s="44">
        <v>0</v>
      </c>
      <c r="L20" s="44">
        <v>0</v>
      </c>
      <c r="M20" s="44">
        <v>0</v>
      </c>
      <c r="N20" s="44">
        <v>0</v>
      </c>
      <c r="O20" s="44">
        <v>0</v>
      </c>
      <c r="P20" s="44">
        <v>0</v>
      </c>
      <c r="Q20" s="48" t="str">
        <f t="shared" si="0"/>
        <v>2025-02</v>
      </c>
    </row>
    <row r="21" spans="2:21" ht="18">
      <c r="B21" s="44" t="s">
        <v>16</v>
      </c>
      <c r="C21" s="46">
        <v>45721.530555555553</v>
      </c>
      <c r="D21" s="44" t="s">
        <v>122</v>
      </c>
      <c r="E21" s="44" t="s">
        <v>123</v>
      </c>
      <c r="F21" s="44" t="s">
        <v>124</v>
      </c>
      <c r="G21" s="44"/>
      <c r="H21" s="44" t="s">
        <v>24</v>
      </c>
      <c r="I21" s="44"/>
      <c r="J21" s="44">
        <v>1</v>
      </c>
      <c r="K21" s="44">
        <v>0</v>
      </c>
      <c r="L21" s="44">
        <v>0</v>
      </c>
      <c r="M21" s="44">
        <v>0</v>
      </c>
      <c r="N21" s="44">
        <v>0</v>
      </c>
      <c r="O21" s="44">
        <v>0</v>
      </c>
      <c r="P21" s="44">
        <v>0</v>
      </c>
      <c r="Q21" s="48" t="str">
        <f t="shared" si="0"/>
        <v>2025-03</v>
      </c>
    </row>
    <row r="22" spans="2:21" ht="18">
      <c r="B22" s="44" t="s">
        <v>15</v>
      </c>
      <c r="C22" s="46">
        <v>45723.763888888891</v>
      </c>
      <c r="D22" s="44" t="s">
        <v>86</v>
      </c>
      <c r="E22" s="44" t="s">
        <v>87</v>
      </c>
      <c r="F22" s="44" t="s">
        <v>87</v>
      </c>
      <c r="G22" s="44"/>
      <c r="H22" s="44" t="s">
        <v>26</v>
      </c>
      <c r="I22" s="44"/>
      <c r="J22" s="44">
        <v>0</v>
      </c>
      <c r="K22" s="44">
        <v>0</v>
      </c>
      <c r="L22" s="44">
        <v>1</v>
      </c>
      <c r="M22" s="44">
        <v>0</v>
      </c>
      <c r="N22" s="44">
        <v>0</v>
      </c>
      <c r="O22" s="44">
        <v>0</v>
      </c>
      <c r="P22" s="44">
        <v>0</v>
      </c>
      <c r="Q22" s="48" t="str">
        <f t="shared" si="0"/>
        <v>2025-03</v>
      </c>
    </row>
    <row r="23" spans="2:21" ht="18">
      <c r="B23" s="44" t="s">
        <v>17</v>
      </c>
      <c r="C23" s="46">
        <v>45726.550694444442</v>
      </c>
      <c r="D23" s="44" t="s">
        <v>134</v>
      </c>
      <c r="E23" s="44" t="s">
        <v>135</v>
      </c>
      <c r="F23" s="44" t="s">
        <v>136</v>
      </c>
      <c r="G23" s="44"/>
      <c r="H23" s="44" t="s">
        <v>27</v>
      </c>
      <c r="I23" s="44"/>
      <c r="J23" s="44">
        <v>0</v>
      </c>
      <c r="K23" s="44">
        <v>0</v>
      </c>
      <c r="L23" s="44">
        <v>0</v>
      </c>
      <c r="M23" s="44">
        <v>1</v>
      </c>
      <c r="N23" s="44">
        <v>0</v>
      </c>
      <c r="O23" s="44">
        <v>0</v>
      </c>
      <c r="P23" s="44">
        <v>0</v>
      </c>
      <c r="Q23" s="48" t="str">
        <f t="shared" si="0"/>
        <v>2025-03</v>
      </c>
      <c r="U23" s="52"/>
    </row>
    <row r="24" spans="2:21" ht="18">
      <c r="B24" s="44" t="s">
        <v>15</v>
      </c>
      <c r="C24" s="46">
        <v>45727.257638888892</v>
      </c>
      <c r="D24" s="44" t="s">
        <v>89</v>
      </c>
      <c r="E24" s="44" t="s">
        <v>90</v>
      </c>
      <c r="F24" s="44" t="s">
        <v>91</v>
      </c>
      <c r="G24" s="44"/>
      <c r="H24" s="44" t="s">
        <v>30</v>
      </c>
      <c r="I24" s="44"/>
      <c r="J24" s="44">
        <v>0</v>
      </c>
      <c r="K24" s="44">
        <v>0</v>
      </c>
      <c r="L24" s="44">
        <v>0</v>
      </c>
      <c r="M24" s="44">
        <v>0</v>
      </c>
      <c r="N24" s="44">
        <v>0</v>
      </c>
      <c r="O24" s="44">
        <v>0</v>
      </c>
      <c r="P24" s="44">
        <v>1</v>
      </c>
      <c r="Q24" s="48" t="str">
        <f t="shared" si="0"/>
        <v>2025-03</v>
      </c>
    </row>
    <row r="25" spans="2:21" ht="15.75" customHeight="1">
      <c r="B25" s="44" t="s">
        <v>15</v>
      </c>
      <c r="C25" s="46">
        <v>45730.681250000001</v>
      </c>
      <c r="D25" s="44" t="s">
        <v>92</v>
      </c>
      <c r="E25" s="44" t="s">
        <v>93</v>
      </c>
      <c r="F25" s="44" t="s">
        <v>94</v>
      </c>
      <c r="G25" s="44" t="s">
        <v>59</v>
      </c>
      <c r="H25" s="44" t="s">
        <v>30</v>
      </c>
      <c r="I25" s="44"/>
      <c r="J25" s="44">
        <v>0</v>
      </c>
      <c r="K25" s="44">
        <v>0</v>
      </c>
      <c r="L25" s="44">
        <v>0</v>
      </c>
      <c r="M25" s="44">
        <v>0</v>
      </c>
      <c r="N25" s="44">
        <v>0</v>
      </c>
      <c r="O25" s="44">
        <v>0</v>
      </c>
      <c r="P25" s="44">
        <v>1</v>
      </c>
      <c r="Q25" s="48" t="str">
        <f t="shared" si="0"/>
        <v>2025-03</v>
      </c>
    </row>
    <row r="26" spans="2:21" ht="18">
      <c r="B26" s="44" t="s">
        <v>15</v>
      </c>
      <c r="C26" s="46">
        <v>45731.999305555553</v>
      </c>
      <c r="D26" s="44" t="s">
        <v>96</v>
      </c>
      <c r="E26" s="44" t="s">
        <v>97</v>
      </c>
      <c r="F26" s="44" t="s">
        <v>98</v>
      </c>
      <c r="G26" s="44"/>
      <c r="H26" s="44" t="s">
        <v>29</v>
      </c>
      <c r="I26" s="44"/>
      <c r="J26" s="44">
        <v>0</v>
      </c>
      <c r="K26" s="44">
        <v>0</v>
      </c>
      <c r="L26" s="44">
        <v>0</v>
      </c>
      <c r="M26" s="44">
        <v>0</v>
      </c>
      <c r="N26" s="44">
        <v>0</v>
      </c>
      <c r="O26" s="44">
        <v>1</v>
      </c>
      <c r="P26" s="44">
        <v>0</v>
      </c>
      <c r="Q26" s="48" t="str">
        <f t="shared" si="0"/>
        <v>2025-03</v>
      </c>
    </row>
    <row r="27" spans="2:21" ht="18">
      <c r="B27" s="44" t="s">
        <v>17</v>
      </c>
      <c r="C27" s="46">
        <v>45733.81527777778</v>
      </c>
      <c r="D27" s="44" t="s">
        <v>137</v>
      </c>
      <c r="E27" s="44" t="s">
        <v>138</v>
      </c>
      <c r="F27" s="44" t="s">
        <v>139</v>
      </c>
      <c r="G27" s="44"/>
      <c r="H27" s="44" t="s">
        <v>29</v>
      </c>
      <c r="I27" s="44"/>
      <c r="J27" s="44">
        <v>0</v>
      </c>
      <c r="K27" s="44">
        <v>0</v>
      </c>
      <c r="L27" s="44">
        <v>0</v>
      </c>
      <c r="M27" s="44">
        <v>0</v>
      </c>
      <c r="N27" s="44">
        <v>0</v>
      </c>
      <c r="O27" s="44">
        <v>1</v>
      </c>
      <c r="P27" s="44">
        <v>0</v>
      </c>
      <c r="Q27" s="48" t="str">
        <f t="shared" si="0"/>
        <v>2025-03</v>
      </c>
      <c r="U27" s="52"/>
    </row>
    <row r="28" spans="2:21" ht="18">
      <c r="B28" s="44" t="s">
        <v>15</v>
      </c>
      <c r="C28" s="46">
        <v>45747.822916666664</v>
      </c>
      <c r="D28" s="44" t="s">
        <v>99</v>
      </c>
      <c r="E28" s="44" t="s">
        <v>100</v>
      </c>
      <c r="F28" s="44" t="s">
        <v>101</v>
      </c>
      <c r="G28" s="44"/>
      <c r="H28" s="44" t="s">
        <v>30</v>
      </c>
      <c r="I28" s="44"/>
      <c r="J28" s="44">
        <v>0</v>
      </c>
      <c r="K28" s="44">
        <v>0</v>
      </c>
      <c r="L28" s="44">
        <v>0</v>
      </c>
      <c r="M28" s="44">
        <v>0</v>
      </c>
      <c r="N28" s="44">
        <v>0</v>
      </c>
      <c r="O28" s="44">
        <v>0</v>
      </c>
      <c r="P28" s="44">
        <v>1</v>
      </c>
      <c r="Q28" s="48" t="str">
        <f t="shared" si="0"/>
        <v>2025-03</v>
      </c>
    </row>
    <row r="29" spans="2:21" ht="15.75" customHeight="1">
      <c r="B29" s="44" t="s">
        <v>15</v>
      </c>
      <c r="C29" s="46">
        <v>45755.419444444444</v>
      </c>
      <c r="D29" s="44" t="s">
        <v>140</v>
      </c>
      <c r="E29" s="44" t="s">
        <v>141</v>
      </c>
      <c r="F29" s="44" t="s">
        <v>142</v>
      </c>
      <c r="G29" s="44" t="s">
        <v>143</v>
      </c>
      <c r="H29" s="44" t="s">
        <v>30</v>
      </c>
      <c r="I29" s="44"/>
      <c r="J29" s="44">
        <v>0</v>
      </c>
      <c r="K29" s="44">
        <v>0</v>
      </c>
      <c r="L29" s="44">
        <v>0</v>
      </c>
      <c r="M29" s="44">
        <v>0</v>
      </c>
      <c r="N29" s="44">
        <v>0</v>
      </c>
      <c r="O29" s="44">
        <v>0</v>
      </c>
      <c r="P29" s="44">
        <v>1</v>
      </c>
      <c r="Q29" s="48" t="str">
        <f t="shared" si="0"/>
        <v>2025-04</v>
      </c>
    </row>
    <row r="30" spans="2:21" ht="18">
      <c r="B30" s="44" t="s">
        <v>16</v>
      </c>
      <c r="C30" s="46">
        <v>45758.305555555555</v>
      </c>
      <c r="D30" s="44" t="s">
        <v>150</v>
      </c>
      <c r="E30" s="44" t="s">
        <v>151</v>
      </c>
      <c r="F30" s="44" t="s">
        <v>152</v>
      </c>
      <c r="G30" s="44"/>
      <c r="H30" s="44" t="s">
        <v>24</v>
      </c>
      <c r="I30" s="44"/>
      <c r="J30" s="44">
        <v>1</v>
      </c>
      <c r="K30" s="44">
        <v>0</v>
      </c>
      <c r="L30" s="44">
        <v>0</v>
      </c>
      <c r="M30" s="44">
        <v>0</v>
      </c>
      <c r="N30" s="44">
        <v>0</v>
      </c>
      <c r="O30" s="44">
        <v>0</v>
      </c>
      <c r="P30" s="44">
        <v>0</v>
      </c>
      <c r="Q30" s="48" t="str">
        <f t="shared" si="0"/>
        <v>2025-04</v>
      </c>
    </row>
    <row r="31" spans="2:21" ht="18">
      <c r="B31" s="44" t="s">
        <v>15</v>
      </c>
      <c r="C31" s="46">
        <v>45758.759722222225</v>
      </c>
      <c r="D31" s="44" t="s">
        <v>144</v>
      </c>
      <c r="E31" s="44" t="s">
        <v>145</v>
      </c>
      <c r="F31" s="44" t="s">
        <v>146</v>
      </c>
      <c r="G31" s="44"/>
      <c r="H31" s="44" t="s">
        <v>25</v>
      </c>
      <c r="I31" s="44"/>
      <c r="J31" s="44">
        <v>0</v>
      </c>
      <c r="K31" s="44">
        <v>1</v>
      </c>
      <c r="L31" s="44">
        <v>0</v>
      </c>
      <c r="M31" s="44">
        <v>0</v>
      </c>
      <c r="N31" s="44">
        <v>0</v>
      </c>
      <c r="O31" s="44">
        <v>0</v>
      </c>
      <c r="P31" s="44">
        <v>0</v>
      </c>
      <c r="Q31" s="48" t="str">
        <f t="shared" si="0"/>
        <v>2025-04</v>
      </c>
    </row>
    <row r="32" spans="2:21" ht="18">
      <c r="B32" s="44" t="s">
        <v>15</v>
      </c>
      <c r="C32" s="46">
        <v>45767.011805555558</v>
      </c>
      <c r="D32" s="44" t="s">
        <v>147</v>
      </c>
      <c r="E32" s="44" t="s">
        <v>148</v>
      </c>
      <c r="F32" s="44" t="s">
        <v>149</v>
      </c>
      <c r="G32" s="44" t="s">
        <v>59</v>
      </c>
      <c r="H32" s="44" t="s">
        <v>29</v>
      </c>
      <c r="I32" s="44"/>
      <c r="J32" s="44">
        <v>0</v>
      </c>
      <c r="K32" s="44">
        <v>0</v>
      </c>
      <c r="L32" s="44">
        <v>0</v>
      </c>
      <c r="M32" s="44">
        <v>0</v>
      </c>
      <c r="N32" s="44">
        <v>0</v>
      </c>
      <c r="O32" s="44">
        <v>1</v>
      </c>
      <c r="P32" s="44">
        <v>0</v>
      </c>
      <c r="Q32" s="48" t="str">
        <f t="shared" si="0"/>
        <v>2025-04</v>
      </c>
    </row>
    <row r="33" spans="2:21" ht="18">
      <c r="B33" s="44" t="s">
        <v>15</v>
      </c>
      <c r="C33" s="46">
        <v>45786.386805555558</v>
      </c>
      <c r="D33" s="44" t="s">
        <v>153</v>
      </c>
      <c r="E33" s="44" t="s">
        <v>154</v>
      </c>
      <c r="F33" s="44" t="s">
        <v>155</v>
      </c>
      <c r="G33" s="44" t="s">
        <v>156</v>
      </c>
      <c r="H33" s="44" t="s">
        <v>29</v>
      </c>
      <c r="I33" s="44">
        <v>0</v>
      </c>
      <c r="J33" s="44">
        <v>0</v>
      </c>
      <c r="K33" s="44">
        <v>0</v>
      </c>
      <c r="L33" s="44">
        <v>0</v>
      </c>
      <c r="M33" s="44">
        <v>0</v>
      </c>
      <c r="N33" s="44">
        <v>0</v>
      </c>
      <c r="O33" s="44">
        <v>1</v>
      </c>
      <c r="P33" s="44">
        <v>0</v>
      </c>
      <c r="Q33" s="48" t="str">
        <f t="shared" si="0"/>
        <v>2025-05</v>
      </c>
      <c r="R33" s="51">
        <v>45778</v>
      </c>
      <c r="S33" s="51">
        <v>45778</v>
      </c>
      <c r="T33" s="52">
        <v>45901</v>
      </c>
      <c r="U33" s="52"/>
    </row>
    <row r="34" spans="2:21" ht="18">
      <c r="B34" s="44" t="s">
        <v>15</v>
      </c>
      <c r="C34" s="46">
        <v>45797.974999999999</v>
      </c>
      <c r="D34" s="44" t="s">
        <v>64</v>
      </c>
      <c r="E34" s="44" t="s">
        <v>65</v>
      </c>
      <c r="F34" s="44" t="s">
        <v>157</v>
      </c>
      <c r="G34" s="44"/>
      <c r="H34" s="44" t="s">
        <v>24</v>
      </c>
      <c r="I34" s="44">
        <v>0</v>
      </c>
      <c r="J34" s="44">
        <v>1</v>
      </c>
      <c r="K34" s="44">
        <v>0</v>
      </c>
      <c r="L34" s="44">
        <v>0</v>
      </c>
      <c r="M34" s="44">
        <v>0</v>
      </c>
      <c r="N34" s="44">
        <v>0</v>
      </c>
      <c r="O34" s="44">
        <v>0</v>
      </c>
      <c r="P34" s="44">
        <v>0</v>
      </c>
      <c r="Q34" s="48" t="str">
        <f t="shared" si="0"/>
        <v>2025-05</v>
      </c>
      <c r="U34" s="52"/>
    </row>
    <row r="35" spans="2:21" ht="18">
      <c r="B35" s="44" t="s">
        <v>21</v>
      </c>
      <c r="C35" s="46">
        <v>45799.772222222222</v>
      </c>
      <c r="D35" s="44" t="s">
        <v>187</v>
      </c>
      <c r="E35" s="44" t="s">
        <v>188</v>
      </c>
      <c r="F35" s="44" t="s">
        <v>189</v>
      </c>
      <c r="G35" s="44"/>
      <c r="H35" s="44" t="s">
        <v>28</v>
      </c>
      <c r="I35" s="44"/>
      <c r="J35" s="44"/>
      <c r="K35" s="44"/>
      <c r="L35" s="44"/>
      <c r="M35" s="44"/>
      <c r="N35" s="44"/>
      <c r="O35" s="44"/>
      <c r="P35" s="44"/>
      <c r="Q35" s="48" t="str">
        <f t="shared" si="0"/>
        <v>2025-05</v>
      </c>
      <c r="R35" s="53">
        <v>45799.772222222222</v>
      </c>
      <c r="S35" s="53">
        <v>45799.772222222222</v>
      </c>
      <c r="U35" s="52"/>
    </row>
    <row r="36" spans="2:21" ht="18">
      <c r="B36" s="44" t="s">
        <v>15</v>
      </c>
      <c r="C36" s="46">
        <v>45800.476388888892</v>
      </c>
      <c r="D36" s="44" t="s">
        <v>158</v>
      </c>
      <c r="E36" s="44" t="s">
        <v>159</v>
      </c>
      <c r="F36" s="44" t="s">
        <v>160</v>
      </c>
      <c r="G36" s="44" t="s">
        <v>156</v>
      </c>
      <c r="H36" s="44" t="s">
        <v>23</v>
      </c>
      <c r="I36" s="44">
        <v>1</v>
      </c>
      <c r="J36" s="44">
        <v>0</v>
      </c>
      <c r="K36" s="48">
        <v>0</v>
      </c>
      <c r="L36" s="44">
        <v>0</v>
      </c>
      <c r="M36" s="48">
        <v>0</v>
      </c>
      <c r="N36" s="48">
        <v>0</v>
      </c>
      <c r="O36" s="44">
        <v>0</v>
      </c>
      <c r="P36" s="48">
        <v>0</v>
      </c>
      <c r="Q36" s="48" t="str">
        <f t="shared" si="0"/>
        <v>2025-05</v>
      </c>
      <c r="R36" s="51">
        <v>45778</v>
      </c>
      <c r="S36" s="51">
        <v>45778</v>
      </c>
    </row>
    <row r="37" spans="2:21" ht="15.75" customHeight="1">
      <c r="B37" s="44" t="s">
        <v>15</v>
      </c>
      <c r="C37" s="46">
        <v>45800.537499999999</v>
      </c>
      <c r="D37" s="44" t="s">
        <v>161</v>
      </c>
      <c r="E37" s="44" t="s">
        <v>162</v>
      </c>
      <c r="F37" s="44" t="s">
        <v>163</v>
      </c>
      <c r="G37" s="44"/>
      <c r="H37" s="44" t="s">
        <v>26</v>
      </c>
      <c r="I37" s="44">
        <v>0</v>
      </c>
      <c r="J37" s="44">
        <v>0</v>
      </c>
      <c r="K37" s="48">
        <v>0</v>
      </c>
      <c r="L37" s="44">
        <v>1</v>
      </c>
      <c r="M37" s="48">
        <v>0</v>
      </c>
      <c r="N37" s="48">
        <v>0</v>
      </c>
      <c r="O37" s="44">
        <v>0</v>
      </c>
      <c r="P37" s="48">
        <v>0</v>
      </c>
      <c r="Q37" s="48" t="str">
        <f t="shared" si="0"/>
        <v>2025-05</v>
      </c>
      <c r="U37" s="52"/>
    </row>
    <row r="38" spans="2:21" ht="18">
      <c r="B38" s="44" t="s">
        <v>15</v>
      </c>
      <c r="C38" s="46">
        <v>45812.479861111111</v>
      </c>
      <c r="D38" s="44" t="s">
        <v>164</v>
      </c>
      <c r="E38" s="44" t="s">
        <v>165</v>
      </c>
      <c r="F38" s="44" t="s">
        <v>166</v>
      </c>
      <c r="G38" s="44" t="s">
        <v>156</v>
      </c>
      <c r="H38" s="44" t="s">
        <v>30</v>
      </c>
      <c r="I38" s="48">
        <v>0</v>
      </c>
      <c r="J38" s="48">
        <v>0</v>
      </c>
      <c r="K38" s="48">
        <v>0</v>
      </c>
      <c r="L38" s="48">
        <v>0</v>
      </c>
      <c r="M38" s="48">
        <v>0</v>
      </c>
      <c r="N38" s="44">
        <v>0</v>
      </c>
      <c r="O38" s="48">
        <v>0</v>
      </c>
      <c r="P38" s="44">
        <v>1</v>
      </c>
      <c r="Q38" s="48" t="str">
        <f t="shared" si="0"/>
        <v>2025-06</v>
      </c>
    </row>
    <row r="39" spans="2:21" ht="18">
      <c r="B39" s="44" t="s">
        <v>16</v>
      </c>
      <c r="C39" s="46">
        <v>45818.506944444445</v>
      </c>
      <c r="D39" s="44" t="s">
        <v>167</v>
      </c>
      <c r="E39" s="44" t="s">
        <v>168</v>
      </c>
      <c r="F39" s="44" t="s">
        <v>169</v>
      </c>
      <c r="G39" s="44"/>
      <c r="H39" s="44" t="s">
        <v>28</v>
      </c>
      <c r="I39" s="48">
        <v>0</v>
      </c>
      <c r="J39" s="48">
        <v>0</v>
      </c>
      <c r="K39" s="48">
        <v>0</v>
      </c>
      <c r="L39" s="48">
        <v>0</v>
      </c>
      <c r="M39" s="48">
        <v>0</v>
      </c>
      <c r="N39" s="44">
        <v>1</v>
      </c>
      <c r="O39" s="48">
        <v>0</v>
      </c>
      <c r="P39" s="44">
        <v>0</v>
      </c>
      <c r="Q39" s="48" t="str">
        <f t="shared" si="0"/>
        <v>2025-06</v>
      </c>
      <c r="R39" s="51">
        <v>45809</v>
      </c>
      <c r="S39" s="51">
        <v>45839</v>
      </c>
    </row>
    <row r="40" spans="2:21" ht="18">
      <c r="B40" s="44" t="s">
        <v>15</v>
      </c>
      <c r="C40" s="46">
        <v>45826.557638888888</v>
      </c>
      <c r="D40" s="44" t="s">
        <v>170</v>
      </c>
      <c r="E40" s="44" t="s">
        <v>171</v>
      </c>
      <c r="F40" s="44" t="s">
        <v>172</v>
      </c>
      <c r="G40" s="44" t="s">
        <v>59</v>
      </c>
      <c r="H40" s="44" t="s">
        <v>30</v>
      </c>
      <c r="I40" s="48">
        <v>0</v>
      </c>
      <c r="J40" s="44">
        <v>0</v>
      </c>
      <c r="K40" s="44">
        <v>0</v>
      </c>
      <c r="L40" s="44">
        <v>0</v>
      </c>
      <c r="M40" s="44">
        <v>0</v>
      </c>
      <c r="N40" s="48">
        <v>0</v>
      </c>
      <c r="O40" s="44">
        <v>0</v>
      </c>
      <c r="P40" s="44">
        <v>1</v>
      </c>
      <c r="Q40" s="48" t="str">
        <f t="shared" si="0"/>
        <v>2025-06</v>
      </c>
    </row>
    <row r="41" spans="2:21" ht="18">
      <c r="B41" s="44" t="s">
        <v>17</v>
      </c>
      <c r="C41" s="46">
        <v>45827.553472222222</v>
      </c>
      <c r="D41" s="44" t="s">
        <v>174</v>
      </c>
      <c r="E41" s="44" t="s">
        <v>175</v>
      </c>
      <c r="F41" s="44" t="s">
        <v>176</v>
      </c>
      <c r="G41" s="44"/>
      <c r="H41" s="44" t="s">
        <v>24</v>
      </c>
      <c r="I41" s="48">
        <v>0</v>
      </c>
      <c r="J41" s="44">
        <v>1</v>
      </c>
      <c r="K41" s="44">
        <v>0</v>
      </c>
      <c r="L41" s="44">
        <v>0</v>
      </c>
      <c r="M41" s="44">
        <v>0</v>
      </c>
      <c r="N41" s="48">
        <v>0</v>
      </c>
      <c r="O41" s="44">
        <v>0</v>
      </c>
      <c r="P41" s="44">
        <v>0</v>
      </c>
      <c r="Q41" s="48" t="str">
        <f t="shared" si="0"/>
        <v>2025-06</v>
      </c>
    </row>
    <row r="42" spans="2:21" ht="18">
      <c r="B42" s="44" t="s">
        <v>15</v>
      </c>
      <c r="C42" s="46">
        <v>45828.620833333334</v>
      </c>
      <c r="D42" s="44" t="s">
        <v>64</v>
      </c>
      <c r="E42" s="44" t="s">
        <v>65</v>
      </c>
      <c r="F42" s="44" t="s">
        <v>173</v>
      </c>
      <c r="G42" s="44"/>
      <c r="H42" s="44" t="s">
        <v>29</v>
      </c>
      <c r="I42" s="48">
        <v>0</v>
      </c>
      <c r="J42" s="44">
        <v>0</v>
      </c>
      <c r="K42" s="44">
        <v>0</v>
      </c>
      <c r="L42" s="44">
        <v>0</v>
      </c>
      <c r="M42" s="44">
        <v>0</v>
      </c>
      <c r="N42" s="48">
        <v>0</v>
      </c>
      <c r="O42" s="44">
        <v>1</v>
      </c>
      <c r="P42" s="44">
        <v>0</v>
      </c>
      <c r="Q42" s="48" t="str">
        <f t="shared" si="0"/>
        <v>2025-06</v>
      </c>
    </row>
    <row r="43" spans="2:21" ht="18">
      <c r="B43" s="44" t="s">
        <v>17</v>
      </c>
      <c r="C43" s="46">
        <v>45831.509722222225</v>
      </c>
      <c r="D43" s="44" t="s">
        <v>177</v>
      </c>
      <c r="E43" s="44" t="s">
        <v>178</v>
      </c>
      <c r="F43" s="44" t="s">
        <v>179</v>
      </c>
      <c r="G43" s="44"/>
      <c r="H43" s="44" t="s">
        <v>27</v>
      </c>
      <c r="I43" s="48">
        <v>0</v>
      </c>
      <c r="J43" s="44">
        <v>0</v>
      </c>
      <c r="K43" s="44">
        <v>0</v>
      </c>
      <c r="L43" s="44">
        <v>0</v>
      </c>
      <c r="M43" s="44">
        <v>1</v>
      </c>
      <c r="N43" s="48">
        <v>0</v>
      </c>
      <c r="O43" s="44">
        <v>0</v>
      </c>
      <c r="P43" s="44">
        <v>0</v>
      </c>
      <c r="Q43" s="48" t="str">
        <f t="shared" si="0"/>
        <v>2025-06</v>
      </c>
    </row>
    <row r="44" spans="2:21" ht="18">
      <c r="B44" s="44" t="s">
        <v>190</v>
      </c>
      <c r="C44" s="46">
        <v>45838.458333333336</v>
      </c>
      <c r="D44" s="48" t="s">
        <v>134</v>
      </c>
      <c r="E44" s="44" t="s">
        <v>135</v>
      </c>
      <c r="F44" s="44" t="s">
        <v>136</v>
      </c>
      <c r="G44" s="44" t="s">
        <v>59</v>
      </c>
      <c r="H44" s="44" t="s">
        <v>29</v>
      </c>
      <c r="I44" s="44"/>
      <c r="J44" s="44"/>
      <c r="K44" s="44"/>
      <c r="L44" s="44"/>
      <c r="M44" s="44"/>
      <c r="N44" s="44"/>
      <c r="O44" s="44"/>
      <c r="P44" s="44"/>
      <c r="Q44" s="48" t="str">
        <f t="shared" si="0"/>
        <v>2025-06</v>
      </c>
      <c r="U44" s="52"/>
    </row>
    <row r="45" spans="2:21" ht="18">
      <c r="B45" s="44" t="s">
        <v>191</v>
      </c>
      <c r="C45" s="46">
        <v>45891.634027777778</v>
      </c>
      <c r="D45" s="44" t="s">
        <v>192</v>
      </c>
      <c r="E45" s="44" t="s">
        <v>193</v>
      </c>
      <c r="F45" s="44" t="s">
        <v>194</v>
      </c>
      <c r="H45" s="44" t="s">
        <v>29</v>
      </c>
      <c r="Q45" s="48" t="str">
        <f t="shared" si="0"/>
        <v>2025-08</v>
      </c>
      <c r="U45" s="52"/>
    </row>
    <row r="46" spans="2:21" ht="15.75" customHeight="1">
      <c r="B46" s="44" t="s">
        <v>190</v>
      </c>
      <c r="C46" s="46">
        <v>45896.54583333333</v>
      </c>
      <c r="D46" s="44" t="s">
        <v>195</v>
      </c>
      <c r="E46" s="44" t="s">
        <v>196</v>
      </c>
      <c r="F46" s="44" t="s">
        <v>197</v>
      </c>
      <c r="H46" s="48" t="s">
        <v>25</v>
      </c>
      <c r="Q46" s="48" t="str">
        <f t="shared" si="0"/>
        <v>2025-08</v>
      </c>
      <c r="U46" s="52"/>
    </row>
    <row r="47" spans="2:21" ht="18">
      <c r="B47" s="44" t="s">
        <v>190</v>
      </c>
      <c r="C47" s="46">
        <v>45905.729166666664</v>
      </c>
      <c r="D47" s="44" t="s">
        <v>198</v>
      </c>
      <c r="E47" s="44" t="s">
        <v>199</v>
      </c>
      <c r="F47" s="44" t="s">
        <v>200</v>
      </c>
      <c r="H47" s="48" t="s">
        <v>201</v>
      </c>
      <c r="I47" s="54"/>
      <c r="J47" s="54"/>
      <c r="K47" s="54"/>
      <c r="L47" s="54"/>
      <c r="M47" s="54"/>
      <c r="N47" s="54"/>
      <c r="O47" s="54"/>
      <c r="P47" s="54"/>
      <c r="Q47" s="48" t="str">
        <f t="shared" si="0"/>
        <v>2025-09</v>
      </c>
    </row>
    <row r="48" spans="2:21" ht="15.75" customHeight="1">
      <c r="B48" s="44" t="s">
        <v>202</v>
      </c>
      <c r="C48" s="46">
        <v>45929.520138888889</v>
      </c>
      <c r="D48" s="44" t="s">
        <v>203</v>
      </c>
      <c r="E48" s="44" t="s">
        <v>204</v>
      </c>
      <c r="F48" s="44" t="s">
        <v>205</v>
      </c>
      <c r="H48" s="44" t="s">
        <v>206</v>
      </c>
      <c r="Q48" s="48" t="str">
        <f>TEXT(C48,"yyyy-mm")</f>
        <v>2025-09</v>
      </c>
      <c r="R48" s="53">
        <v>45954</v>
      </c>
      <c r="S48" s="52">
        <v>46023</v>
      </c>
    </row>
    <row r="49" spans="1:21" ht="15.75" customHeight="1">
      <c r="B49" s="44" t="s">
        <v>202</v>
      </c>
      <c r="C49" s="46">
        <v>45929.675694444442</v>
      </c>
      <c r="D49" s="44" t="s">
        <v>207</v>
      </c>
      <c r="E49" s="44" t="s">
        <v>208</v>
      </c>
      <c r="F49" s="44" t="s">
        <v>209</v>
      </c>
      <c r="H49" s="44" t="s">
        <v>210</v>
      </c>
      <c r="Q49" s="48" t="str">
        <f t="shared" ref="Q49:Q56" si="1">TEXT(C49, "yyyy-mm")</f>
        <v>2025-09</v>
      </c>
      <c r="R49" s="53">
        <v>45954</v>
      </c>
      <c r="S49" s="52">
        <v>46023</v>
      </c>
      <c r="U49" s="48" t="s">
        <v>211</v>
      </c>
    </row>
    <row r="50" spans="1:21" ht="15.75" customHeight="1">
      <c r="B50" s="48" t="s">
        <v>191</v>
      </c>
      <c r="C50" s="46">
        <v>45952.443055555559</v>
      </c>
      <c r="D50" s="48" t="s">
        <v>212</v>
      </c>
      <c r="E50" s="48" t="s">
        <v>213</v>
      </c>
      <c r="F50" s="48" t="s">
        <v>214</v>
      </c>
      <c r="H50" s="48" t="s">
        <v>201</v>
      </c>
      <c r="Q50" s="48" t="str">
        <f t="shared" si="1"/>
        <v>2025-10</v>
      </c>
    </row>
    <row r="51" spans="1:21" ht="15.75" customHeight="1">
      <c r="B51" s="44" t="s">
        <v>190</v>
      </c>
      <c r="C51" s="46">
        <v>45987.679166666669</v>
      </c>
      <c r="D51" s="44" t="s">
        <v>215</v>
      </c>
      <c r="E51" s="44" t="s">
        <v>216</v>
      </c>
      <c r="F51" s="44" t="s">
        <v>217</v>
      </c>
      <c r="G51" s="44" t="s">
        <v>156</v>
      </c>
      <c r="H51" s="44" t="s">
        <v>218</v>
      </c>
      <c r="I51" s="44" t="s">
        <v>218</v>
      </c>
      <c r="Q51" s="48" t="str">
        <f t="shared" si="1"/>
        <v>2025-11</v>
      </c>
    </row>
    <row r="52" spans="1:21" ht="15.75" customHeight="1">
      <c r="B52" s="44" t="s">
        <v>190</v>
      </c>
      <c r="C52" s="46">
        <v>45988.43472222222</v>
      </c>
      <c r="D52" s="44" t="s">
        <v>219</v>
      </c>
      <c r="E52" s="44" t="s">
        <v>196</v>
      </c>
      <c r="F52" s="44" t="s">
        <v>220</v>
      </c>
      <c r="G52" s="44"/>
      <c r="H52" s="44" t="s">
        <v>221</v>
      </c>
      <c r="I52" s="44" t="s">
        <v>221</v>
      </c>
      <c r="Q52" s="48" t="str">
        <f t="shared" si="1"/>
        <v>2025-11</v>
      </c>
    </row>
    <row r="53" spans="1:21" s="43" customFormat="1" ht="15.75" customHeight="1">
      <c r="A53" s="48"/>
      <c r="B53" s="44" t="s">
        <v>190</v>
      </c>
      <c r="C53" s="45">
        <v>46010.533356481479</v>
      </c>
      <c r="D53" s="44" t="s">
        <v>222</v>
      </c>
      <c r="E53" s="44" t="s">
        <v>223</v>
      </c>
      <c r="F53" s="44" t="s">
        <v>224</v>
      </c>
      <c r="G53" s="44" t="s">
        <v>156</v>
      </c>
      <c r="H53" s="44" t="s">
        <v>221</v>
      </c>
      <c r="I53" s="48"/>
      <c r="J53" s="48"/>
      <c r="K53" s="48"/>
      <c r="L53" s="48"/>
      <c r="M53" s="48"/>
      <c r="N53" s="48"/>
      <c r="O53" s="48"/>
      <c r="P53" s="48"/>
      <c r="Q53" s="48" t="str">
        <f t="shared" si="1"/>
        <v>2025-12</v>
      </c>
      <c r="R53" s="53">
        <v>46015</v>
      </c>
      <c r="S53" s="53">
        <v>46057</v>
      </c>
      <c r="T53" s="48"/>
      <c r="U53" s="48" t="s">
        <v>211</v>
      </c>
    </row>
    <row r="54" spans="1:21" s="43" customFormat="1" ht="15.75" customHeight="1">
      <c r="A54" s="48"/>
      <c r="B54" s="44" t="s">
        <v>190</v>
      </c>
      <c r="C54" s="45">
        <v>46013.543703703705</v>
      </c>
      <c r="D54" s="44" t="s">
        <v>225</v>
      </c>
      <c r="E54" s="44" t="s">
        <v>226</v>
      </c>
      <c r="F54" s="44" t="s">
        <v>227</v>
      </c>
      <c r="G54" s="44" t="s">
        <v>228</v>
      </c>
      <c r="H54" s="44" t="s">
        <v>229</v>
      </c>
      <c r="I54" s="48"/>
      <c r="J54" s="48"/>
      <c r="K54" s="48"/>
      <c r="L54" s="48"/>
      <c r="M54" s="48"/>
      <c r="N54" s="48"/>
      <c r="O54" s="48"/>
      <c r="P54" s="48"/>
      <c r="Q54" s="48" t="str">
        <f t="shared" si="1"/>
        <v>2025-12</v>
      </c>
      <c r="R54" s="48"/>
      <c r="S54" s="48"/>
      <c r="T54" s="48"/>
      <c r="U54" s="48"/>
    </row>
    <row r="55" spans="1:21" s="43" customFormat="1" ht="15.75" customHeight="1">
      <c r="B55" s="44" t="s">
        <v>191</v>
      </c>
      <c r="C55" s="45">
        <v>46037.854004629633</v>
      </c>
      <c r="D55" s="44" t="s">
        <v>230</v>
      </c>
      <c r="E55" s="44" t="s">
        <v>231</v>
      </c>
      <c r="F55" s="44" t="s">
        <v>232</v>
      </c>
      <c r="G55" s="44" t="s">
        <v>228</v>
      </c>
      <c r="H55" s="44" t="s">
        <v>218</v>
      </c>
      <c r="I55" s="48"/>
      <c r="J55" s="48"/>
      <c r="K55" s="48"/>
      <c r="L55" s="48"/>
      <c r="M55" s="48"/>
      <c r="N55" s="48"/>
      <c r="O55" s="48"/>
      <c r="P55" s="48"/>
      <c r="Q55" s="48" t="str">
        <f t="shared" si="1"/>
        <v>2026-01</v>
      </c>
      <c r="R55" s="48"/>
      <c r="S55" s="48"/>
      <c r="T55" s="48"/>
      <c r="U55" s="48"/>
    </row>
    <row r="56" spans="1:21" ht="15.75" customHeight="1">
      <c r="B56" s="44" t="s">
        <v>191</v>
      </c>
      <c r="C56" s="45">
        <v>46041.96875</v>
      </c>
      <c r="D56" s="44" t="s">
        <v>233</v>
      </c>
      <c r="E56" s="44" t="s">
        <v>234</v>
      </c>
      <c r="F56" s="44" t="s">
        <v>235</v>
      </c>
      <c r="G56" s="44" t="s">
        <v>228</v>
      </c>
      <c r="H56" s="44" t="s">
        <v>221</v>
      </c>
      <c r="Q56" s="48" t="str">
        <f t="shared" si="1"/>
        <v>2026-01</v>
      </c>
    </row>
    <row r="57" spans="1:21" ht="15.75" customHeight="1">
      <c r="B57" s="44" t="s">
        <v>190</v>
      </c>
      <c r="C57" s="45">
        <v>46059.38795138889</v>
      </c>
      <c r="D57" s="44" t="s">
        <v>236</v>
      </c>
      <c r="E57" s="44" t="s">
        <v>237</v>
      </c>
      <c r="F57" s="44" t="s">
        <v>238</v>
      </c>
      <c r="G57" s="44" t="s">
        <v>239</v>
      </c>
      <c r="H57" s="44" t="s">
        <v>218</v>
      </c>
      <c r="Q57" s="48" t="str">
        <f t="shared" ref="Q57:Q58" si="2">TEXT(C57, "yyyy-mm")</f>
        <v>2026-02</v>
      </c>
    </row>
    <row r="58" spans="1:21" ht="15.75" customHeight="1">
      <c r="B58" s="44" t="s">
        <v>190</v>
      </c>
      <c r="C58" s="45">
        <v>46069.722592592596</v>
      </c>
      <c r="D58" s="44" t="s">
        <v>240</v>
      </c>
      <c r="E58" s="44" t="s">
        <v>241</v>
      </c>
      <c r="F58" s="44" t="s">
        <v>242</v>
      </c>
      <c r="G58" s="44" t="s">
        <v>228</v>
      </c>
      <c r="H58" s="44" t="s">
        <v>218</v>
      </c>
      <c r="Q58" s="48" t="str">
        <f t="shared" si="2"/>
        <v>2026-02</v>
      </c>
    </row>
    <row r="59" spans="1:21" ht="15.75" customHeight="1">
      <c r="B59" s="56" t="s">
        <v>190</v>
      </c>
      <c r="C59" s="57">
        <v>46070.773287037038</v>
      </c>
      <c r="D59" s="56" t="s">
        <v>243</v>
      </c>
      <c r="E59" s="56" t="s">
        <v>244</v>
      </c>
      <c r="F59" s="56" t="s">
        <v>245</v>
      </c>
      <c r="G59" s="56" t="s">
        <v>228</v>
      </c>
      <c r="H59" s="56" t="s">
        <v>221</v>
      </c>
      <c r="Q59" s="48" t="str">
        <f t="shared" ref="Q59:Q73" si="3">TEXT(C59, "yyyy-mm")</f>
        <v>2026-02</v>
      </c>
    </row>
    <row r="60" spans="1:21" ht="15.75" customHeight="1">
      <c r="B60" s="56" t="s">
        <v>190</v>
      </c>
      <c r="C60" s="57">
        <v>46083.530659722222</v>
      </c>
      <c r="D60" s="56" t="s">
        <v>246</v>
      </c>
      <c r="E60" s="56" t="s">
        <v>247</v>
      </c>
      <c r="F60" s="56" t="s">
        <v>248</v>
      </c>
      <c r="G60" s="56" t="s">
        <v>73</v>
      </c>
      <c r="H60" s="56" t="s">
        <v>221</v>
      </c>
      <c r="Q60" s="48" t="str">
        <f t="shared" si="3"/>
        <v>2026-03</v>
      </c>
    </row>
    <row r="61" spans="1:21" ht="15.75" customHeight="1">
      <c r="B61" s="56" t="s">
        <v>190</v>
      </c>
      <c r="C61" s="57">
        <v>46085.424108796295</v>
      </c>
      <c r="D61" s="56" t="s">
        <v>249</v>
      </c>
      <c r="E61" s="56" t="s">
        <v>196</v>
      </c>
      <c r="F61" s="56" t="s">
        <v>250</v>
      </c>
      <c r="G61" s="56" t="s">
        <v>228</v>
      </c>
      <c r="H61" s="56" t="s">
        <v>251</v>
      </c>
      <c r="Q61" s="48" t="str">
        <f t="shared" si="3"/>
        <v>2026-03</v>
      </c>
    </row>
    <row r="62" spans="1:21" ht="15.75" customHeight="1">
      <c r="B62" s="56" t="s">
        <v>190</v>
      </c>
      <c r="C62" s="57">
        <v>46088.552673611113</v>
      </c>
      <c r="D62" s="56" t="s">
        <v>252</v>
      </c>
      <c r="E62" s="56" t="s">
        <v>253</v>
      </c>
      <c r="F62" s="56" t="s">
        <v>254</v>
      </c>
      <c r="G62" s="56" t="s">
        <v>228</v>
      </c>
      <c r="H62" s="56" t="s">
        <v>229</v>
      </c>
      <c r="Q62" s="48" t="str">
        <f t="shared" si="3"/>
        <v>2026-03</v>
      </c>
    </row>
    <row r="63" spans="1:21" ht="15.75" customHeight="1">
      <c r="B63" s="56" t="s">
        <v>190</v>
      </c>
      <c r="C63" s="57">
        <v>46089.570324074077</v>
      </c>
      <c r="D63" s="56" t="s">
        <v>255</v>
      </c>
      <c r="E63" s="56" t="s">
        <v>256</v>
      </c>
      <c r="F63" s="56" t="s">
        <v>257</v>
      </c>
      <c r="G63" s="56" t="s">
        <v>239</v>
      </c>
      <c r="H63" s="56" t="s">
        <v>229</v>
      </c>
      <c r="Q63" s="48" t="str">
        <f t="shared" si="3"/>
        <v>2026-03</v>
      </c>
    </row>
    <row r="64" spans="1:21" ht="15.75" customHeight="1">
      <c r="B64" s="56" t="s">
        <v>190</v>
      </c>
      <c r="C64" s="57">
        <v>46095.351423611108</v>
      </c>
      <c r="D64" s="56" t="s">
        <v>258</v>
      </c>
      <c r="E64" s="56" t="s">
        <v>138</v>
      </c>
      <c r="F64" s="56" t="s">
        <v>259</v>
      </c>
      <c r="G64" s="56" t="s">
        <v>228</v>
      </c>
      <c r="H64" s="56" t="s">
        <v>218</v>
      </c>
      <c r="Q64" s="48" t="str">
        <f t="shared" si="3"/>
        <v>2026-03</v>
      </c>
    </row>
    <row r="65" spans="1:18" ht="15.75" customHeight="1">
      <c r="B65" s="56" t="s">
        <v>260</v>
      </c>
      <c r="C65" s="57">
        <v>46102.652916666666</v>
      </c>
      <c r="D65" s="56" t="s">
        <v>261</v>
      </c>
      <c r="E65" s="56" t="s">
        <v>262</v>
      </c>
      <c r="F65" s="56" t="s">
        <v>262</v>
      </c>
      <c r="G65" s="56" t="s">
        <v>228</v>
      </c>
      <c r="H65" s="56" t="s">
        <v>251</v>
      </c>
      <c r="Q65" s="48" t="str">
        <f t="shared" si="3"/>
        <v>2026-03</v>
      </c>
    </row>
    <row r="66" spans="1:18" ht="15.75" customHeight="1">
      <c r="B66" s="56" t="s">
        <v>263</v>
      </c>
      <c r="C66" s="57">
        <v>46104.517118055555</v>
      </c>
      <c r="D66" s="56" t="s">
        <v>264</v>
      </c>
      <c r="E66" s="56" t="s">
        <v>265</v>
      </c>
      <c r="F66" s="56" t="s">
        <v>266</v>
      </c>
      <c r="G66" s="56" t="s">
        <v>228</v>
      </c>
      <c r="H66" s="56" t="s">
        <v>218</v>
      </c>
      <c r="Q66" s="48" t="str">
        <f t="shared" si="3"/>
        <v>2026-03</v>
      </c>
    </row>
    <row r="67" spans="1:18" ht="15.75" customHeight="1">
      <c r="B67" s="56" t="s">
        <v>263</v>
      </c>
      <c r="C67" s="57">
        <v>46118.592407407406</v>
      </c>
      <c r="D67" s="56" t="s">
        <v>267</v>
      </c>
      <c r="E67" s="56" t="s">
        <v>268</v>
      </c>
      <c r="F67" s="56" t="s">
        <v>269</v>
      </c>
      <c r="G67" s="56" t="s">
        <v>228</v>
      </c>
      <c r="H67" s="56" t="s">
        <v>218</v>
      </c>
      <c r="Q67" s="48" t="str">
        <f t="shared" si="3"/>
        <v>2026-04</v>
      </c>
    </row>
    <row r="68" spans="1:18" ht="15.75" customHeight="1">
      <c r="B68" s="56" t="s">
        <v>190</v>
      </c>
      <c r="C68" s="57">
        <v>46120.396296296298</v>
      </c>
      <c r="D68" s="56" t="s">
        <v>270</v>
      </c>
      <c r="E68" s="56" t="s">
        <v>271</v>
      </c>
      <c r="F68" s="56" t="s">
        <v>272</v>
      </c>
      <c r="G68" s="56" t="s">
        <v>228</v>
      </c>
      <c r="H68" s="56" t="s">
        <v>229</v>
      </c>
      <c r="Q68" s="48" t="str">
        <f t="shared" si="3"/>
        <v>2026-04</v>
      </c>
    </row>
    <row r="69" spans="1:18" ht="15.75" customHeight="1">
      <c r="B69" s="56" t="s">
        <v>190</v>
      </c>
      <c r="C69" s="57">
        <v>46129.534305555557</v>
      </c>
      <c r="D69" s="56" t="s">
        <v>273</v>
      </c>
      <c r="E69" s="56" t="s">
        <v>100</v>
      </c>
      <c r="F69" s="56" t="s">
        <v>274</v>
      </c>
      <c r="G69" s="56" t="s">
        <v>239</v>
      </c>
      <c r="H69" s="56" t="s">
        <v>218</v>
      </c>
      <c r="Q69" s="48" t="str">
        <f t="shared" si="3"/>
        <v>2026-04</v>
      </c>
    </row>
    <row r="70" spans="1:18" ht="15.75" customHeight="1">
      <c r="B70" s="56" t="s">
        <v>191</v>
      </c>
      <c r="C70" s="57">
        <v>46151.916562500002</v>
      </c>
      <c r="D70" s="56" t="s">
        <v>275</v>
      </c>
      <c r="E70" s="56" t="s">
        <v>276</v>
      </c>
      <c r="F70" s="56" t="s">
        <v>277</v>
      </c>
      <c r="G70" s="56" t="s">
        <v>228</v>
      </c>
      <c r="H70" s="56" t="s">
        <v>251</v>
      </c>
      <c r="Q70" s="48" t="str">
        <f t="shared" si="3"/>
        <v>2026-05</v>
      </c>
    </row>
    <row r="71" spans="1:18" ht="15.75" customHeight="1">
      <c r="B71" s="56" t="s">
        <v>263</v>
      </c>
      <c r="C71" s="57">
        <v>46155.467349537037</v>
      </c>
      <c r="D71" s="58" t="s">
        <v>278</v>
      </c>
      <c r="E71" s="56" t="s">
        <v>279</v>
      </c>
      <c r="F71" s="56" t="s">
        <v>280</v>
      </c>
      <c r="G71" s="56" t="s">
        <v>228</v>
      </c>
      <c r="H71" s="56" t="s">
        <v>206</v>
      </c>
      <c r="Q71" s="48" t="str">
        <f t="shared" si="3"/>
        <v>2026-05</v>
      </c>
      <c r="R71" s="53">
        <v>46143</v>
      </c>
    </row>
    <row r="72" spans="1:18" ht="15.75" customHeight="1">
      <c r="B72" s="56" t="s">
        <v>190</v>
      </c>
      <c r="C72" s="57">
        <v>46155.629791666666</v>
      </c>
      <c r="D72" s="56" t="s">
        <v>281</v>
      </c>
      <c r="E72" s="56" t="s">
        <v>282</v>
      </c>
      <c r="F72" s="56" t="s">
        <v>283</v>
      </c>
      <c r="G72" s="56" t="s">
        <v>228</v>
      </c>
      <c r="H72" s="56" t="s">
        <v>229</v>
      </c>
      <c r="Q72" s="48" t="str">
        <f t="shared" si="3"/>
        <v>2026-05</v>
      </c>
    </row>
    <row r="73" spans="1:18" ht="15.75" customHeight="1">
      <c r="B73" s="56" t="s">
        <v>190</v>
      </c>
      <c r="C73" s="57">
        <v>46170.988020833334</v>
      </c>
      <c r="D73" s="56" t="s">
        <v>284</v>
      </c>
      <c r="E73" s="56" t="s">
        <v>285</v>
      </c>
      <c r="F73" s="56" t="s">
        <v>286</v>
      </c>
      <c r="G73" s="56" t="s">
        <v>228</v>
      </c>
      <c r="H73" s="56" t="s">
        <v>221</v>
      </c>
      <c r="Q73" s="48" t="str">
        <f t="shared" si="3"/>
        <v>2026-05</v>
      </c>
    </row>
    <row r="74" spans="1:18" ht="15.75" customHeight="1">
      <c r="B74" s="56" t="s">
        <v>191</v>
      </c>
      <c r="C74" s="57">
        <v>46186.89398148148</v>
      </c>
      <c r="D74" s="56" t="s">
        <v>287</v>
      </c>
      <c r="E74" s="56" t="s">
        <v>288</v>
      </c>
      <c r="F74" s="56" t="s">
        <v>289</v>
      </c>
      <c r="G74" s="56" t="s">
        <v>228</v>
      </c>
      <c r="H74" s="56" t="s">
        <v>221</v>
      </c>
      <c r="Q74" s="48" t="str">
        <f>TEXT(C74, "yyyy-mm")</f>
        <v>2026-06</v>
      </c>
    </row>
    <row r="75" spans="1:18" ht="15.75" customHeight="1">
      <c r="A75" s="54" t="s">
        <v>290</v>
      </c>
      <c r="B75" s="56" t="s">
        <v>190</v>
      </c>
      <c r="C75" s="57">
        <v>46201.595509259256</v>
      </c>
      <c r="D75" s="56" t="s">
        <v>291</v>
      </c>
      <c r="E75" s="56" t="s">
        <v>292</v>
      </c>
      <c r="F75" s="56" t="s">
        <v>293</v>
      </c>
      <c r="G75" s="56" t="s">
        <v>228</v>
      </c>
      <c r="H75" s="56" t="s">
        <v>229</v>
      </c>
      <c r="Q75" s="48" t="str">
        <f t="shared" ref="Q75:Q76" si="4">TEXT(C75, "yyyy-mm")</f>
        <v>2026-06</v>
      </c>
    </row>
    <row r="76" spans="1:18" ht="15.75" customHeight="1">
      <c r="B76" s="56" t="s">
        <v>190</v>
      </c>
      <c r="C76" s="57">
        <v>46203.719872685186</v>
      </c>
      <c r="D76" s="56" t="s">
        <v>294</v>
      </c>
      <c r="E76" s="56" t="s">
        <v>295</v>
      </c>
      <c r="F76" s="56" t="s">
        <v>296</v>
      </c>
      <c r="G76" s="56" t="s">
        <v>239</v>
      </c>
      <c r="H76" s="56" t="s">
        <v>221</v>
      </c>
      <c r="Q76" s="48" t="str">
        <f t="shared" si="4"/>
        <v>2026-06</v>
      </c>
    </row>
  </sheetData>
  <autoFilter ref="A1:U73" xr:uid="{73D9C3D1-979A-43C1-A5B1-10B0F43A17DD}"/>
  <sortState xmlns:xlrd2="http://schemas.microsoft.com/office/spreadsheetml/2017/richdata2" ref="B2:Q37">
    <sortCondition ref="C2:C37"/>
  </sortState>
  <phoneticPr fontId="18"/>
  <conditionalFormatting sqref="E77:E1048576 E1:E52">
    <cfRule type="duplicateValues" dxfId="1" priority="2"/>
  </conditionalFormatting>
  <conditionalFormatting sqref="E77:E1048576 E1:E54">
    <cfRule type="duplicateValues" dxfId="0" priority="1"/>
  </conditionalFormatting>
  <hyperlinks>
    <hyperlink ref="D71" r:id="rId1" xr:uid="{2C07EF0D-E274-4277-A5C7-492FB563D6DC}"/>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6372C-ED62-436C-8F81-8D11B93265BF}">
  <dimension ref="A1:E867"/>
  <sheetViews>
    <sheetView workbookViewId="0">
      <selection activeCell="A2" sqref="A2:E867"/>
    </sheetView>
  </sheetViews>
  <sheetFormatPr defaultRowHeight="18"/>
  <cols>
    <col min="1" max="1" width="29.58203125" customWidth="1"/>
    <col min="2" max="2" width="25.75" customWidth="1"/>
    <col min="3" max="3" width="22.33203125" customWidth="1"/>
    <col min="4" max="4" width="38" customWidth="1"/>
    <col min="5" max="5" width="18.08203125" style="16" customWidth="1"/>
  </cols>
  <sheetData>
    <row r="1" spans="1:5">
      <c r="A1" s="63" t="s">
        <v>297</v>
      </c>
      <c r="B1" s="64"/>
      <c r="C1" s="60" t="s">
        <v>298</v>
      </c>
      <c r="D1" s="60" t="s">
        <v>299</v>
      </c>
      <c r="E1" s="15" t="s">
        <v>300</v>
      </c>
    </row>
    <row r="2" spans="1:5">
      <c r="A2" s="61" t="s">
        <v>301</v>
      </c>
      <c r="B2" s="62"/>
      <c r="C2" s="59" t="s">
        <v>302</v>
      </c>
      <c r="D2" s="59" t="s">
        <v>303</v>
      </c>
      <c r="E2" s="17">
        <v>45446</v>
      </c>
    </row>
    <row r="3" spans="1:5">
      <c r="A3" s="61" t="s">
        <v>304</v>
      </c>
      <c r="B3" s="62"/>
      <c r="C3" s="18" t="s">
        <v>302</v>
      </c>
      <c r="D3" s="18" t="s">
        <v>305</v>
      </c>
      <c r="E3" s="19">
        <v>45446</v>
      </c>
    </row>
    <row r="4" spans="1:5">
      <c r="A4" s="61" t="s">
        <v>306</v>
      </c>
      <c r="B4" s="62"/>
      <c r="C4" s="18" t="s">
        <v>302</v>
      </c>
      <c r="D4" s="18" t="s">
        <v>307</v>
      </c>
      <c r="E4" s="19">
        <v>45446</v>
      </c>
    </row>
    <row r="5" spans="1:5">
      <c r="A5" s="61" t="s">
        <v>308</v>
      </c>
      <c r="B5" s="62"/>
      <c r="C5" s="18" t="s">
        <v>302</v>
      </c>
      <c r="D5" s="18" t="s">
        <v>309</v>
      </c>
      <c r="E5" s="19">
        <v>45448</v>
      </c>
    </row>
    <row r="6" spans="1:5">
      <c r="A6" s="61" t="s">
        <v>310</v>
      </c>
      <c r="B6" s="62"/>
      <c r="C6" s="18" t="s">
        <v>302</v>
      </c>
      <c r="D6" s="18" t="s">
        <v>311</v>
      </c>
      <c r="E6" s="19">
        <v>45448</v>
      </c>
    </row>
    <row r="7" spans="1:5">
      <c r="A7" s="61" t="s">
        <v>312</v>
      </c>
      <c r="B7" s="62"/>
      <c r="C7" s="18" t="s">
        <v>313</v>
      </c>
      <c r="D7" s="18" t="s">
        <v>314</v>
      </c>
      <c r="E7" s="19">
        <v>45450</v>
      </c>
    </row>
    <row r="8" spans="1:5">
      <c r="A8" s="61" t="s">
        <v>315</v>
      </c>
      <c r="B8" s="62"/>
      <c r="C8" s="18" t="s">
        <v>302</v>
      </c>
      <c r="D8" s="18" t="s">
        <v>316</v>
      </c>
      <c r="E8" s="19">
        <v>45450</v>
      </c>
    </row>
    <row r="9" spans="1:5">
      <c r="A9" s="61" t="s">
        <v>317</v>
      </c>
      <c r="B9" s="62"/>
      <c r="C9" s="18" t="s">
        <v>313</v>
      </c>
      <c r="D9" s="18" t="s">
        <v>318</v>
      </c>
      <c r="E9" s="19">
        <v>45453</v>
      </c>
    </row>
    <row r="10" spans="1:5">
      <c r="A10" s="61" t="s">
        <v>319</v>
      </c>
      <c r="B10" s="62"/>
      <c r="C10" s="18" t="s">
        <v>320</v>
      </c>
      <c r="D10" s="18" t="s">
        <v>321</v>
      </c>
      <c r="E10" s="19">
        <v>45457</v>
      </c>
    </row>
    <row r="11" spans="1:5">
      <c r="A11" s="61" t="s">
        <v>322</v>
      </c>
      <c r="B11" s="62"/>
      <c r="C11" s="18" t="s">
        <v>302</v>
      </c>
      <c r="D11" s="18" t="s">
        <v>323</v>
      </c>
      <c r="E11" s="19">
        <v>45457</v>
      </c>
    </row>
    <row r="12" spans="1:5">
      <c r="A12" s="61" t="s">
        <v>324</v>
      </c>
      <c r="B12" s="62"/>
      <c r="C12" s="18" t="s">
        <v>302</v>
      </c>
      <c r="D12" s="18" t="s">
        <v>325</v>
      </c>
      <c r="E12" s="19">
        <v>45457</v>
      </c>
    </row>
    <row r="13" spans="1:5">
      <c r="A13" s="61" t="s">
        <v>326</v>
      </c>
      <c r="B13" s="62"/>
      <c r="C13" s="18" t="s">
        <v>302</v>
      </c>
      <c r="D13" s="18" t="s">
        <v>327</v>
      </c>
      <c r="E13" s="19">
        <v>45461</v>
      </c>
    </row>
    <row r="14" spans="1:5">
      <c r="A14" s="61" t="s">
        <v>328</v>
      </c>
      <c r="B14" s="62"/>
      <c r="C14" s="18" t="s">
        <v>302</v>
      </c>
      <c r="D14" s="18" t="s">
        <v>329</v>
      </c>
      <c r="E14" s="19">
        <v>45461</v>
      </c>
    </row>
    <row r="15" spans="1:5">
      <c r="A15" s="61" t="s">
        <v>330</v>
      </c>
      <c r="B15" s="62"/>
      <c r="C15" s="18" t="s">
        <v>302</v>
      </c>
      <c r="D15" s="18" t="s">
        <v>331</v>
      </c>
      <c r="E15" s="19">
        <v>45462</v>
      </c>
    </row>
    <row r="16" spans="1:5">
      <c r="A16" s="61" t="s">
        <v>332</v>
      </c>
      <c r="B16" s="62"/>
      <c r="C16" s="18" t="s">
        <v>320</v>
      </c>
      <c r="D16" s="18" t="s">
        <v>333</v>
      </c>
      <c r="E16" s="19">
        <v>45463</v>
      </c>
    </row>
    <row r="17" spans="1:5">
      <c r="A17" s="61" t="s">
        <v>334</v>
      </c>
      <c r="B17" s="62"/>
      <c r="C17" s="18" t="s">
        <v>302</v>
      </c>
      <c r="D17" s="18" t="s">
        <v>335</v>
      </c>
      <c r="E17" s="19">
        <v>45463</v>
      </c>
    </row>
    <row r="18" spans="1:5">
      <c r="A18" s="61" t="s">
        <v>336</v>
      </c>
      <c r="B18" s="62"/>
      <c r="C18" s="18" t="s">
        <v>337</v>
      </c>
      <c r="D18" s="18" t="s">
        <v>338</v>
      </c>
      <c r="E18" s="19">
        <v>45464</v>
      </c>
    </row>
    <row r="19" spans="1:5">
      <c r="A19" s="61" t="s">
        <v>339</v>
      </c>
      <c r="B19" s="62"/>
      <c r="C19" s="18" t="s">
        <v>337</v>
      </c>
      <c r="D19" s="18" t="s">
        <v>340</v>
      </c>
      <c r="E19" s="19">
        <v>45464</v>
      </c>
    </row>
    <row r="20" spans="1:5">
      <c r="A20" s="61" t="s">
        <v>341</v>
      </c>
      <c r="B20" s="62"/>
      <c r="C20" s="18" t="s">
        <v>337</v>
      </c>
      <c r="D20" s="18" t="s">
        <v>342</v>
      </c>
      <c r="E20" s="19">
        <v>45464</v>
      </c>
    </row>
    <row r="21" spans="1:5">
      <c r="A21" s="61" t="s">
        <v>343</v>
      </c>
      <c r="B21" s="62"/>
      <c r="C21" s="18" t="s">
        <v>337</v>
      </c>
      <c r="D21" s="18" t="s">
        <v>344</v>
      </c>
      <c r="E21" s="19">
        <v>45464</v>
      </c>
    </row>
    <row r="22" spans="1:5">
      <c r="A22" s="61" t="s">
        <v>345</v>
      </c>
      <c r="B22" s="62"/>
      <c r="C22" s="18" t="s">
        <v>337</v>
      </c>
      <c r="D22" s="18" t="s">
        <v>344</v>
      </c>
      <c r="E22" s="19">
        <v>45464</v>
      </c>
    </row>
    <row r="23" spans="1:5">
      <c r="A23" s="61" t="s">
        <v>346</v>
      </c>
      <c r="B23" s="62"/>
      <c r="C23" s="18" t="s">
        <v>347</v>
      </c>
      <c r="D23" s="18" t="s">
        <v>348</v>
      </c>
      <c r="E23" s="19">
        <v>45464</v>
      </c>
    </row>
    <row r="24" spans="1:5">
      <c r="A24" s="61" t="s">
        <v>349</v>
      </c>
      <c r="B24" s="62"/>
      <c r="C24" s="18" t="s">
        <v>337</v>
      </c>
      <c r="D24" s="18" t="s">
        <v>344</v>
      </c>
      <c r="E24" s="19">
        <v>45464</v>
      </c>
    </row>
    <row r="25" spans="1:5">
      <c r="A25" s="61" t="s">
        <v>350</v>
      </c>
      <c r="B25" s="62"/>
      <c r="C25" s="18" t="s">
        <v>347</v>
      </c>
      <c r="D25" s="18" t="s">
        <v>351</v>
      </c>
      <c r="E25" s="19">
        <v>45464</v>
      </c>
    </row>
    <row r="26" spans="1:5">
      <c r="A26" s="61" t="s">
        <v>352</v>
      </c>
      <c r="B26" s="62"/>
      <c r="C26" s="18" t="s">
        <v>347</v>
      </c>
      <c r="D26" s="18" t="s">
        <v>353</v>
      </c>
      <c r="E26" s="19">
        <v>45464</v>
      </c>
    </row>
    <row r="27" spans="1:5">
      <c r="A27" s="61" t="s">
        <v>354</v>
      </c>
      <c r="B27" s="62"/>
      <c r="C27" s="18" t="s">
        <v>302</v>
      </c>
      <c r="D27" s="18" t="s">
        <v>355</v>
      </c>
      <c r="E27" s="19">
        <v>45466</v>
      </c>
    </row>
    <row r="28" spans="1:5">
      <c r="A28" s="61" t="s">
        <v>356</v>
      </c>
      <c r="B28" s="62"/>
      <c r="C28" s="18" t="s">
        <v>302</v>
      </c>
      <c r="D28" s="18" t="s">
        <v>357</v>
      </c>
      <c r="E28" s="19">
        <v>45466</v>
      </c>
    </row>
    <row r="29" spans="1:5">
      <c r="A29" s="61" t="s">
        <v>358</v>
      </c>
      <c r="B29" s="62"/>
      <c r="C29" s="18" t="s">
        <v>302</v>
      </c>
      <c r="D29" s="18" t="s">
        <v>359</v>
      </c>
      <c r="E29" s="19">
        <v>45466</v>
      </c>
    </row>
    <row r="30" spans="1:5">
      <c r="A30" s="61" t="s">
        <v>360</v>
      </c>
      <c r="B30" s="62"/>
      <c r="C30" s="18" t="s">
        <v>313</v>
      </c>
      <c r="D30" s="18" t="s">
        <v>361</v>
      </c>
      <c r="E30" s="19">
        <v>45467</v>
      </c>
    </row>
    <row r="31" spans="1:5">
      <c r="A31" s="61" t="s">
        <v>362</v>
      </c>
      <c r="B31" s="62"/>
      <c r="C31" s="18" t="s">
        <v>313</v>
      </c>
      <c r="D31" s="18" t="s">
        <v>363</v>
      </c>
      <c r="E31" s="19">
        <v>45467</v>
      </c>
    </row>
    <row r="32" spans="1:5">
      <c r="A32" s="61" t="s">
        <v>364</v>
      </c>
      <c r="B32" s="62"/>
      <c r="C32" s="18" t="s">
        <v>365</v>
      </c>
      <c r="D32" s="18" t="s">
        <v>366</v>
      </c>
      <c r="E32" s="19">
        <v>45467</v>
      </c>
    </row>
    <row r="33" spans="1:5">
      <c r="A33" s="61" t="s">
        <v>367</v>
      </c>
      <c r="B33" s="62"/>
      <c r="C33" s="18" t="s">
        <v>313</v>
      </c>
      <c r="D33" s="18" t="s">
        <v>368</v>
      </c>
      <c r="E33" s="19">
        <v>45467</v>
      </c>
    </row>
    <row r="34" spans="1:5">
      <c r="A34" s="61" t="s">
        <v>369</v>
      </c>
      <c r="B34" s="62"/>
      <c r="C34" s="18" t="s">
        <v>313</v>
      </c>
      <c r="D34" s="18" t="s">
        <v>363</v>
      </c>
      <c r="E34" s="19">
        <v>45467</v>
      </c>
    </row>
    <row r="35" spans="1:5">
      <c r="A35" s="61" t="s">
        <v>370</v>
      </c>
      <c r="B35" s="62"/>
      <c r="C35" s="18" t="s">
        <v>313</v>
      </c>
      <c r="D35" s="18" t="s">
        <v>371</v>
      </c>
      <c r="E35" s="19">
        <v>45467</v>
      </c>
    </row>
    <row r="36" spans="1:5">
      <c r="A36" s="61" t="s">
        <v>372</v>
      </c>
      <c r="B36" s="62"/>
      <c r="C36" s="18" t="s">
        <v>302</v>
      </c>
      <c r="D36" s="18" t="s">
        <v>373</v>
      </c>
      <c r="E36" s="19">
        <v>45468</v>
      </c>
    </row>
    <row r="37" spans="1:5">
      <c r="A37" s="61" t="s">
        <v>374</v>
      </c>
      <c r="B37" s="62"/>
      <c r="C37" s="18" t="s">
        <v>302</v>
      </c>
      <c r="D37" s="18" t="s">
        <v>375</v>
      </c>
      <c r="E37" s="19">
        <v>45468</v>
      </c>
    </row>
    <row r="38" spans="1:5">
      <c r="A38" s="61" t="s">
        <v>364</v>
      </c>
      <c r="B38" s="62"/>
      <c r="C38" s="18" t="s">
        <v>313</v>
      </c>
      <c r="D38" s="18" t="s">
        <v>376</v>
      </c>
      <c r="E38" s="19">
        <v>45468</v>
      </c>
    </row>
    <row r="39" spans="1:5">
      <c r="A39" s="61" t="s">
        <v>377</v>
      </c>
      <c r="B39" s="62"/>
      <c r="C39" s="18" t="s">
        <v>313</v>
      </c>
      <c r="D39" s="18" t="s">
        <v>378</v>
      </c>
      <c r="E39" s="19">
        <v>45470</v>
      </c>
    </row>
    <row r="40" spans="1:5">
      <c r="A40" s="61" t="s">
        <v>379</v>
      </c>
      <c r="B40" s="62"/>
      <c r="C40" s="18" t="s">
        <v>302</v>
      </c>
      <c r="D40" s="18" t="s">
        <v>355</v>
      </c>
      <c r="E40" s="19">
        <v>45470</v>
      </c>
    </row>
    <row r="41" spans="1:5">
      <c r="A41" s="61" t="s">
        <v>380</v>
      </c>
      <c r="B41" s="62"/>
      <c r="C41" s="18" t="s">
        <v>320</v>
      </c>
      <c r="D41" s="18" t="s">
        <v>381</v>
      </c>
      <c r="E41" s="19">
        <v>45470</v>
      </c>
    </row>
    <row r="42" spans="1:5">
      <c r="A42" s="61" t="s">
        <v>382</v>
      </c>
      <c r="B42" s="62"/>
      <c r="C42" s="18" t="s">
        <v>302</v>
      </c>
      <c r="D42" s="18" t="s">
        <v>383</v>
      </c>
      <c r="E42" s="19">
        <v>45471</v>
      </c>
    </row>
    <row r="43" spans="1:5">
      <c r="A43" s="61" t="s">
        <v>384</v>
      </c>
      <c r="B43" s="62"/>
      <c r="C43" s="18" t="s">
        <v>313</v>
      </c>
      <c r="D43" s="18" t="s">
        <v>385</v>
      </c>
      <c r="E43" s="19">
        <v>45474</v>
      </c>
    </row>
    <row r="44" spans="1:5">
      <c r="A44" s="61" t="s">
        <v>386</v>
      </c>
      <c r="B44" s="62"/>
      <c r="C44" s="18" t="s">
        <v>302</v>
      </c>
      <c r="D44" s="18" t="s">
        <v>387</v>
      </c>
      <c r="E44" s="19">
        <v>45475</v>
      </c>
    </row>
    <row r="45" spans="1:5">
      <c r="A45" s="61" t="s">
        <v>388</v>
      </c>
      <c r="B45" s="62"/>
      <c r="C45" s="18" t="s">
        <v>320</v>
      </c>
      <c r="D45" s="18" t="s">
        <v>292</v>
      </c>
      <c r="E45" s="19">
        <v>45475</v>
      </c>
    </row>
    <row r="46" spans="1:5">
      <c r="A46" s="61" t="s">
        <v>389</v>
      </c>
      <c r="B46" s="62"/>
      <c r="C46" s="18" t="s">
        <v>313</v>
      </c>
      <c r="D46" s="18" t="s">
        <v>390</v>
      </c>
      <c r="E46" s="19">
        <v>45476</v>
      </c>
    </row>
    <row r="47" spans="1:5">
      <c r="A47" s="61" t="s">
        <v>391</v>
      </c>
      <c r="B47" s="62"/>
      <c r="C47" s="18" t="s">
        <v>302</v>
      </c>
      <c r="D47" s="18" t="s">
        <v>376</v>
      </c>
      <c r="E47" s="19">
        <v>45476</v>
      </c>
    </row>
    <row r="48" spans="1:5">
      <c r="A48" s="61" t="s">
        <v>392</v>
      </c>
      <c r="B48" s="62"/>
      <c r="C48" s="18" t="s">
        <v>302</v>
      </c>
      <c r="D48" s="18" t="s">
        <v>393</v>
      </c>
      <c r="E48" s="19">
        <v>45476</v>
      </c>
    </row>
    <row r="49" spans="1:5">
      <c r="A49" s="61" t="s">
        <v>394</v>
      </c>
      <c r="B49" s="62"/>
      <c r="C49" s="18" t="s">
        <v>313</v>
      </c>
      <c r="D49" s="18" t="s">
        <v>376</v>
      </c>
      <c r="E49" s="19">
        <v>45476</v>
      </c>
    </row>
    <row r="50" spans="1:5">
      <c r="A50" s="61" t="s">
        <v>395</v>
      </c>
      <c r="B50" s="62"/>
      <c r="C50" s="18" t="s">
        <v>313</v>
      </c>
      <c r="D50" s="18" t="s">
        <v>396</v>
      </c>
      <c r="E50" s="19">
        <v>45476</v>
      </c>
    </row>
    <row r="51" spans="1:5">
      <c r="A51" s="61" t="s">
        <v>397</v>
      </c>
      <c r="B51" s="62"/>
      <c r="C51" s="18" t="s">
        <v>313</v>
      </c>
      <c r="D51" s="18" t="s">
        <v>398</v>
      </c>
      <c r="E51" s="19">
        <v>45476</v>
      </c>
    </row>
    <row r="52" spans="1:5">
      <c r="A52" s="61" t="s">
        <v>399</v>
      </c>
      <c r="B52" s="62"/>
      <c r="C52" s="18" t="s">
        <v>313</v>
      </c>
      <c r="D52" s="18" t="s">
        <v>398</v>
      </c>
      <c r="E52" s="19">
        <v>45476</v>
      </c>
    </row>
    <row r="53" spans="1:5">
      <c r="A53" s="61" t="s">
        <v>400</v>
      </c>
      <c r="B53" s="62"/>
      <c r="C53" s="18" t="s">
        <v>313</v>
      </c>
      <c r="D53" s="18" t="s">
        <v>401</v>
      </c>
      <c r="E53" s="19">
        <v>45476</v>
      </c>
    </row>
    <row r="54" spans="1:5">
      <c r="A54" s="61" t="s">
        <v>402</v>
      </c>
      <c r="B54" s="62"/>
      <c r="C54" s="18" t="s">
        <v>313</v>
      </c>
      <c r="D54" s="18" t="s">
        <v>403</v>
      </c>
      <c r="E54" s="19">
        <v>45476</v>
      </c>
    </row>
    <row r="55" spans="1:5">
      <c r="A55" s="61" t="s">
        <v>404</v>
      </c>
      <c r="B55" s="62"/>
      <c r="C55" s="18" t="s">
        <v>302</v>
      </c>
      <c r="D55" s="18" t="s">
        <v>405</v>
      </c>
      <c r="E55" s="19">
        <v>45477</v>
      </c>
    </row>
    <row r="56" spans="1:5">
      <c r="A56" s="61" t="s">
        <v>406</v>
      </c>
      <c r="B56" s="62"/>
      <c r="C56" s="18" t="s">
        <v>302</v>
      </c>
      <c r="D56" s="18" t="s">
        <v>407</v>
      </c>
      <c r="E56" s="19">
        <v>45477</v>
      </c>
    </row>
    <row r="57" spans="1:5">
      <c r="A57" s="61" t="s">
        <v>408</v>
      </c>
      <c r="B57" s="62"/>
      <c r="C57" s="18" t="s">
        <v>313</v>
      </c>
      <c r="D57" s="18" t="s">
        <v>376</v>
      </c>
      <c r="E57" s="19">
        <v>45477</v>
      </c>
    </row>
    <row r="58" spans="1:5">
      <c r="A58" s="61" t="s">
        <v>409</v>
      </c>
      <c r="B58" s="62"/>
      <c r="C58" s="18" t="s">
        <v>302</v>
      </c>
      <c r="D58" s="18" t="s">
        <v>410</v>
      </c>
      <c r="E58" s="19">
        <v>45477</v>
      </c>
    </row>
    <row r="59" spans="1:5">
      <c r="A59" s="61" t="s">
        <v>411</v>
      </c>
      <c r="B59" s="62"/>
      <c r="C59" s="18" t="s">
        <v>337</v>
      </c>
      <c r="D59" s="18" t="s">
        <v>412</v>
      </c>
      <c r="E59" s="19">
        <v>45477</v>
      </c>
    </row>
    <row r="60" spans="1:5">
      <c r="A60" s="61" t="s">
        <v>413</v>
      </c>
      <c r="B60" s="62"/>
      <c r="C60" s="18" t="s">
        <v>302</v>
      </c>
      <c r="D60" s="18" t="s">
        <v>414</v>
      </c>
      <c r="E60" s="19">
        <v>45478</v>
      </c>
    </row>
    <row r="61" spans="1:5">
      <c r="A61" s="61" t="s">
        <v>415</v>
      </c>
      <c r="B61" s="62"/>
      <c r="C61" s="18" t="s">
        <v>302</v>
      </c>
      <c r="D61" s="18" t="s">
        <v>416</v>
      </c>
      <c r="E61" s="19">
        <v>45478</v>
      </c>
    </row>
    <row r="62" spans="1:5">
      <c r="A62" s="61" t="s">
        <v>417</v>
      </c>
      <c r="B62" s="62"/>
      <c r="C62" s="18" t="s">
        <v>320</v>
      </c>
      <c r="D62" s="18" t="s">
        <v>418</v>
      </c>
      <c r="E62" s="19">
        <v>45478</v>
      </c>
    </row>
    <row r="63" spans="1:5">
      <c r="A63" s="61" t="s">
        <v>419</v>
      </c>
      <c r="B63" s="62"/>
      <c r="C63" s="18" t="s">
        <v>313</v>
      </c>
      <c r="D63" s="18" t="s">
        <v>420</v>
      </c>
      <c r="E63" s="19">
        <v>45478</v>
      </c>
    </row>
    <row r="64" spans="1:5">
      <c r="A64" s="61" t="s">
        <v>421</v>
      </c>
      <c r="B64" s="62"/>
      <c r="C64" s="18" t="s">
        <v>302</v>
      </c>
      <c r="D64" s="18" t="s">
        <v>422</v>
      </c>
      <c r="E64" s="19">
        <v>45478</v>
      </c>
    </row>
    <row r="65" spans="1:5">
      <c r="A65" s="61" t="s">
        <v>423</v>
      </c>
      <c r="B65" s="62"/>
      <c r="C65" s="18" t="s">
        <v>302</v>
      </c>
      <c r="D65" s="18" t="s">
        <v>424</v>
      </c>
      <c r="E65" s="19">
        <v>45478</v>
      </c>
    </row>
    <row r="66" spans="1:5">
      <c r="A66" s="61" t="s">
        <v>425</v>
      </c>
      <c r="B66" s="62"/>
      <c r="C66" s="18" t="s">
        <v>302</v>
      </c>
      <c r="D66" s="18" t="s">
        <v>307</v>
      </c>
      <c r="E66" s="19">
        <v>45480</v>
      </c>
    </row>
    <row r="67" spans="1:5">
      <c r="A67" s="61" t="s">
        <v>426</v>
      </c>
      <c r="B67" s="62"/>
      <c r="C67" s="18" t="s">
        <v>302</v>
      </c>
      <c r="D67" s="18" t="s">
        <v>427</v>
      </c>
      <c r="E67" s="19">
        <v>45480</v>
      </c>
    </row>
    <row r="68" spans="1:5">
      <c r="A68" s="61" t="s">
        <v>428</v>
      </c>
      <c r="B68" s="62"/>
      <c r="C68" s="18" t="s">
        <v>302</v>
      </c>
      <c r="D68" s="18" t="s">
        <v>303</v>
      </c>
      <c r="E68" s="19">
        <v>45481</v>
      </c>
    </row>
    <row r="69" spans="1:5">
      <c r="A69" s="61" t="s">
        <v>429</v>
      </c>
      <c r="B69" s="62"/>
      <c r="C69" s="18" t="s">
        <v>302</v>
      </c>
      <c r="D69" s="18" t="s">
        <v>430</v>
      </c>
      <c r="E69" s="19">
        <v>45483</v>
      </c>
    </row>
    <row r="70" spans="1:5">
      <c r="A70" s="61" t="s">
        <v>431</v>
      </c>
      <c r="B70" s="62"/>
      <c r="C70" s="18" t="s">
        <v>302</v>
      </c>
      <c r="D70" s="18" t="s">
        <v>432</v>
      </c>
      <c r="E70" s="19">
        <v>45484</v>
      </c>
    </row>
    <row r="71" spans="1:5">
      <c r="A71" s="61" t="s">
        <v>433</v>
      </c>
      <c r="B71" s="62"/>
      <c r="C71" s="18" t="s">
        <v>313</v>
      </c>
      <c r="D71" s="18" t="s">
        <v>434</v>
      </c>
      <c r="E71" s="19">
        <v>45484</v>
      </c>
    </row>
    <row r="72" spans="1:5">
      <c r="A72" s="61" t="s">
        <v>435</v>
      </c>
      <c r="B72" s="62"/>
      <c r="C72" s="18" t="s">
        <v>313</v>
      </c>
      <c r="D72" s="18" t="s">
        <v>436</v>
      </c>
      <c r="E72" s="19">
        <v>45484</v>
      </c>
    </row>
    <row r="73" spans="1:5">
      <c r="A73" s="61" t="s">
        <v>437</v>
      </c>
      <c r="B73" s="62"/>
      <c r="C73" s="18" t="s">
        <v>438</v>
      </c>
      <c r="D73" s="18" t="s">
        <v>439</v>
      </c>
      <c r="E73" s="19">
        <v>45485</v>
      </c>
    </row>
    <row r="74" spans="1:5">
      <c r="A74" s="61" t="s">
        <v>440</v>
      </c>
      <c r="B74" s="62"/>
      <c r="C74" s="18" t="s">
        <v>441</v>
      </c>
      <c r="D74" s="18" t="s">
        <v>376</v>
      </c>
      <c r="E74" s="19">
        <v>45485</v>
      </c>
    </row>
    <row r="75" spans="1:5">
      <c r="A75" s="61" t="s">
        <v>442</v>
      </c>
      <c r="B75" s="62"/>
      <c r="C75" s="18" t="s">
        <v>313</v>
      </c>
      <c r="D75" s="18" t="s">
        <v>443</v>
      </c>
      <c r="E75" s="19">
        <v>45485</v>
      </c>
    </row>
    <row r="76" spans="1:5">
      <c r="A76" s="61" t="s">
        <v>444</v>
      </c>
      <c r="B76" s="62"/>
      <c r="C76" s="18" t="s">
        <v>302</v>
      </c>
      <c r="D76" s="18" t="s">
        <v>445</v>
      </c>
      <c r="E76" s="19">
        <v>45485</v>
      </c>
    </row>
    <row r="77" spans="1:5">
      <c r="A77" s="61" t="s">
        <v>446</v>
      </c>
      <c r="B77" s="62"/>
      <c r="C77" s="18" t="s">
        <v>302</v>
      </c>
      <c r="D77" s="18" t="s">
        <v>416</v>
      </c>
      <c r="E77" s="19">
        <v>45488</v>
      </c>
    </row>
    <row r="78" spans="1:5">
      <c r="A78" s="61" t="s">
        <v>440</v>
      </c>
      <c r="B78" s="62"/>
      <c r="C78" s="18" t="s">
        <v>302</v>
      </c>
      <c r="D78" s="18" t="s">
        <v>376</v>
      </c>
      <c r="E78" s="19">
        <v>45489</v>
      </c>
    </row>
    <row r="79" spans="1:5">
      <c r="A79" s="61" t="s">
        <v>447</v>
      </c>
      <c r="B79" s="62"/>
      <c r="C79" s="18" t="s">
        <v>302</v>
      </c>
      <c r="D79" s="18" t="s">
        <v>327</v>
      </c>
      <c r="E79" s="19">
        <v>45491</v>
      </c>
    </row>
    <row r="80" spans="1:5">
      <c r="A80" s="61" t="s">
        <v>448</v>
      </c>
      <c r="B80" s="62"/>
      <c r="C80" s="18" t="s">
        <v>302</v>
      </c>
      <c r="D80" s="18" t="s">
        <v>449</v>
      </c>
      <c r="E80" s="19">
        <v>45491</v>
      </c>
    </row>
    <row r="81" spans="1:5">
      <c r="A81" s="61" t="s">
        <v>450</v>
      </c>
      <c r="B81" s="62"/>
      <c r="C81" s="18" t="s">
        <v>313</v>
      </c>
      <c r="D81" s="18" t="s">
        <v>451</v>
      </c>
      <c r="E81" s="19">
        <v>45492</v>
      </c>
    </row>
    <row r="82" spans="1:5">
      <c r="A82" s="61" t="s">
        <v>452</v>
      </c>
      <c r="B82" s="62"/>
      <c r="C82" s="18" t="s">
        <v>302</v>
      </c>
      <c r="D82" s="18" t="s">
        <v>453</v>
      </c>
      <c r="E82" s="19">
        <v>45492</v>
      </c>
    </row>
    <row r="83" spans="1:5">
      <c r="A83" s="61" t="s">
        <v>454</v>
      </c>
      <c r="B83" s="62"/>
      <c r="C83" s="18" t="s">
        <v>302</v>
      </c>
      <c r="D83" s="18" t="s">
        <v>455</v>
      </c>
      <c r="E83" s="19">
        <v>45492</v>
      </c>
    </row>
    <row r="84" spans="1:5">
      <c r="A84" s="61" t="s">
        <v>456</v>
      </c>
      <c r="B84" s="62"/>
      <c r="C84" s="18" t="s">
        <v>302</v>
      </c>
      <c r="D84" s="18" t="s">
        <v>457</v>
      </c>
      <c r="E84" s="19">
        <v>45492</v>
      </c>
    </row>
    <row r="85" spans="1:5">
      <c r="A85" s="61" t="s">
        <v>458</v>
      </c>
      <c r="B85" s="62"/>
      <c r="C85" s="18" t="s">
        <v>302</v>
      </c>
      <c r="D85" s="18" t="s">
        <v>416</v>
      </c>
      <c r="E85" s="19">
        <v>45495</v>
      </c>
    </row>
    <row r="86" spans="1:5">
      <c r="A86" s="61" t="s">
        <v>459</v>
      </c>
      <c r="B86" s="62"/>
      <c r="C86" s="18" t="s">
        <v>302</v>
      </c>
      <c r="D86" s="18" t="s">
        <v>416</v>
      </c>
      <c r="E86" s="19">
        <v>45495</v>
      </c>
    </row>
    <row r="87" spans="1:5">
      <c r="A87" s="61" t="s">
        <v>460</v>
      </c>
      <c r="B87" s="62"/>
      <c r="C87" s="18" t="s">
        <v>302</v>
      </c>
      <c r="D87" s="18" t="s">
        <v>461</v>
      </c>
      <c r="E87" s="19">
        <v>45495</v>
      </c>
    </row>
    <row r="88" spans="1:5">
      <c r="A88" s="61" t="s">
        <v>462</v>
      </c>
      <c r="B88" s="62"/>
      <c r="C88" s="18" t="s">
        <v>302</v>
      </c>
      <c r="D88" s="18" t="s">
        <v>463</v>
      </c>
      <c r="E88" s="19">
        <v>45495</v>
      </c>
    </row>
    <row r="89" spans="1:5">
      <c r="A89" s="61" t="s">
        <v>464</v>
      </c>
      <c r="B89" s="62"/>
      <c r="C89" s="18" t="s">
        <v>302</v>
      </c>
      <c r="D89" s="18" t="s">
        <v>465</v>
      </c>
      <c r="E89" s="19">
        <v>45495</v>
      </c>
    </row>
    <row r="90" spans="1:5">
      <c r="A90" s="61" t="s">
        <v>466</v>
      </c>
      <c r="B90" s="62"/>
      <c r="C90" s="18" t="s">
        <v>302</v>
      </c>
      <c r="D90" s="18" t="s">
        <v>467</v>
      </c>
      <c r="E90" s="19">
        <v>45496</v>
      </c>
    </row>
    <row r="91" spans="1:5">
      <c r="A91" s="61" t="s">
        <v>468</v>
      </c>
      <c r="B91" s="62"/>
      <c r="C91" s="18" t="s">
        <v>302</v>
      </c>
      <c r="D91" s="18" t="s">
        <v>469</v>
      </c>
      <c r="E91" s="19">
        <v>45496</v>
      </c>
    </row>
    <row r="92" spans="1:5">
      <c r="A92" s="61" t="s">
        <v>470</v>
      </c>
      <c r="B92" s="62"/>
      <c r="C92" s="18" t="s">
        <v>302</v>
      </c>
      <c r="D92" s="18" t="s">
        <v>471</v>
      </c>
      <c r="E92" s="19">
        <v>45497</v>
      </c>
    </row>
    <row r="93" spans="1:5">
      <c r="A93" s="61" t="s">
        <v>472</v>
      </c>
      <c r="B93" s="62"/>
      <c r="C93" s="18" t="s">
        <v>320</v>
      </c>
      <c r="D93" s="18" t="s">
        <v>473</v>
      </c>
      <c r="E93" s="19">
        <v>45497</v>
      </c>
    </row>
    <row r="94" spans="1:5">
      <c r="A94" s="61" t="s">
        <v>474</v>
      </c>
      <c r="B94" s="62"/>
      <c r="C94" s="18" t="s">
        <v>302</v>
      </c>
      <c r="D94" s="18" t="s">
        <v>475</v>
      </c>
      <c r="E94" s="19">
        <v>45498</v>
      </c>
    </row>
    <row r="95" spans="1:5">
      <c r="A95" s="61" t="s">
        <v>476</v>
      </c>
      <c r="B95" s="62"/>
      <c r="C95" s="18" t="s">
        <v>302</v>
      </c>
      <c r="D95" s="18" t="s">
        <v>477</v>
      </c>
      <c r="E95" s="19">
        <v>45499</v>
      </c>
    </row>
    <row r="96" spans="1:5">
      <c r="A96" s="61" t="s">
        <v>478</v>
      </c>
      <c r="B96" s="62"/>
      <c r="C96" s="18" t="s">
        <v>313</v>
      </c>
      <c r="D96" s="18" t="s">
        <v>479</v>
      </c>
      <c r="E96" s="19">
        <v>45499</v>
      </c>
    </row>
    <row r="97" spans="1:5">
      <c r="A97" s="61" t="s">
        <v>480</v>
      </c>
      <c r="B97" s="62"/>
      <c r="C97" s="18" t="s">
        <v>313</v>
      </c>
      <c r="D97" s="18" t="s">
        <v>393</v>
      </c>
      <c r="E97" s="19">
        <v>45499</v>
      </c>
    </row>
    <row r="98" spans="1:5">
      <c r="A98" s="61" t="s">
        <v>481</v>
      </c>
      <c r="B98" s="62"/>
      <c r="C98" s="18" t="s">
        <v>302</v>
      </c>
      <c r="D98" s="18" t="s">
        <v>482</v>
      </c>
      <c r="E98" s="19">
        <v>45500</v>
      </c>
    </row>
    <row r="99" spans="1:5">
      <c r="A99" s="61" t="s">
        <v>483</v>
      </c>
      <c r="B99" s="62"/>
      <c r="C99" s="18" t="s">
        <v>302</v>
      </c>
      <c r="D99" s="18" t="s">
        <v>375</v>
      </c>
      <c r="E99" s="19">
        <v>45502</v>
      </c>
    </row>
    <row r="100" spans="1:5">
      <c r="A100" s="61" t="s">
        <v>484</v>
      </c>
      <c r="B100" s="62"/>
      <c r="C100" s="18" t="s">
        <v>302</v>
      </c>
      <c r="D100" s="18" t="s">
        <v>485</v>
      </c>
      <c r="E100" s="19">
        <v>45502</v>
      </c>
    </row>
    <row r="101" spans="1:5">
      <c r="A101" s="61" t="s">
        <v>486</v>
      </c>
      <c r="B101" s="62"/>
      <c r="C101" s="18" t="s">
        <v>302</v>
      </c>
      <c r="D101" s="18" t="s">
        <v>487</v>
      </c>
      <c r="E101" s="19">
        <v>45502</v>
      </c>
    </row>
    <row r="102" spans="1:5">
      <c r="A102" s="61" t="s">
        <v>488</v>
      </c>
      <c r="B102" s="62"/>
      <c r="C102" s="18" t="s">
        <v>337</v>
      </c>
      <c r="D102" s="18" t="s">
        <v>489</v>
      </c>
      <c r="E102" s="19">
        <v>45502</v>
      </c>
    </row>
    <row r="103" spans="1:5">
      <c r="A103" s="61" t="s">
        <v>490</v>
      </c>
      <c r="B103" s="62"/>
      <c r="C103" s="18" t="s">
        <v>491</v>
      </c>
      <c r="D103" s="18" t="s">
        <v>489</v>
      </c>
      <c r="E103" s="19">
        <v>45502</v>
      </c>
    </row>
    <row r="104" spans="1:5">
      <c r="A104" s="61" t="s">
        <v>492</v>
      </c>
      <c r="B104" s="62"/>
      <c r="C104" s="18" t="s">
        <v>302</v>
      </c>
      <c r="D104" s="18" t="s">
        <v>493</v>
      </c>
      <c r="E104" s="19">
        <v>45503</v>
      </c>
    </row>
    <row r="105" spans="1:5">
      <c r="A105" s="61" t="s">
        <v>494</v>
      </c>
      <c r="B105" s="62"/>
      <c r="C105" s="18" t="s">
        <v>302</v>
      </c>
      <c r="D105" s="18" t="s">
        <v>495</v>
      </c>
      <c r="E105" s="19">
        <v>45504</v>
      </c>
    </row>
    <row r="106" spans="1:5">
      <c r="A106" s="61" t="s">
        <v>496</v>
      </c>
      <c r="B106" s="62"/>
      <c r="C106" s="18" t="s">
        <v>491</v>
      </c>
      <c r="D106" s="18" t="s">
        <v>497</v>
      </c>
      <c r="E106" s="19">
        <v>45504</v>
      </c>
    </row>
    <row r="107" spans="1:5">
      <c r="A107" s="61" t="s">
        <v>488</v>
      </c>
      <c r="B107" s="62"/>
      <c r="C107" s="18" t="s">
        <v>337</v>
      </c>
      <c r="D107" s="18" t="s">
        <v>498</v>
      </c>
      <c r="E107" s="19">
        <v>45504</v>
      </c>
    </row>
    <row r="108" spans="1:5">
      <c r="A108" s="61" t="s">
        <v>488</v>
      </c>
      <c r="B108" s="62"/>
      <c r="C108" s="18" t="s">
        <v>337</v>
      </c>
      <c r="D108" s="18" t="s">
        <v>499</v>
      </c>
      <c r="E108" s="19">
        <v>45504</v>
      </c>
    </row>
    <row r="109" spans="1:5">
      <c r="A109" s="61" t="s">
        <v>488</v>
      </c>
      <c r="B109" s="62"/>
      <c r="C109" s="18" t="s">
        <v>337</v>
      </c>
      <c r="D109" s="18" t="s">
        <v>500</v>
      </c>
      <c r="E109" s="19">
        <v>45504</v>
      </c>
    </row>
    <row r="110" spans="1:5">
      <c r="A110" s="61" t="s">
        <v>501</v>
      </c>
      <c r="B110" s="62"/>
      <c r="C110" s="18" t="s">
        <v>337</v>
      </c>
      <c r="D110" s="18" t="s">
        <v>499</v>
      </c>
      <c r="E110" s="19">
        <v>45504</v>
      </c>
    </row>
    <row r="111" spans="1:5">
      <c r="A111" s="61" t="s">
        <v>502</v>
      </c>
      <c r="B111" s="62"/>
      <c r="C111" s="18" t="s">
        <v>302</v>
      </c>
      <c r="D111" s="18" t="s">
        <v>503</v>
      </c>
      <c r="E111" s="19">
        <v>45504</v>
      </c>
    </row>
    <row r="112" spans="1:5">
      <c r="A112" s="61" t="s">
        <v>504</v>
      </c>
      <c r="B112" s="62"/>
      <c r="C112" s="18" t="s">
        <v>302</v>
      </c>
      <c r="D112" s="18" t="s">
        <v>469</v>
      </c>
      <c r="E112" s="19">
        <v>45504</v>
      </c>
    </row>
    <row r="113" spans="1:5">
      <c r="A113" s="61" t="s">
        <v>505</v>
      </c>
      <c r="B113" s="62"/>
      <c r="C113" s="18" t="s">
        <v>302</v>
      </c>
      <c r="D113" s="18" t="s">
        <v>482</v>
      </c>
      <c r="E113" s="19">
        <v>45505</v>
      </c>
    </row>
    <row r="114" spans="1:5">
      <c r="A114" s="61" t="s">
        <v>506</v>
      </c>
      <c r="B114" s="62"/>
      <c r="C114" s="18" t="s">
        <v>302</v>
      </c>
      <c r="D114" s="18" t="s">
        <v>507</v>
      </c>
      <c r="E114" s="19">
        <v>45505</v>
      </c>
    </row>
    <row r="115" spans="1:5">
      <c r="A115" s="61" t="s">
        <v>508</v>
      </c>
      <c r="B115" s="62"/>
      <c r="C115" s="18" t="s">
        <v>302</v>
      </c>
      <c r="D115" s="18" t="s">
        <v>509</v>
      </c>
      <c r="E115" s="19">
        <v>45506</v>
      </c>
    </row>
    <row r="116" spans="1:5">
      <c r="A116" s="61" t="s">
        <v>510</v>
      </c>
      <c r="B116" s="62"/>
      <c r="C116" s="18" t="s">
        <v>302</v>
      </c>
      <c r="D116" s="18" t="s">
        <v>511</v>
      </c>
      <c r="E116" s="19">
        <v>45510</v>
      </c>
    </row>
    <row r="117" spans="1:5">
      <c r="A117" s="61" t="s">
        <v>512</v>
      </c>
      <c r="B117" s="62"/>
      <c r="C117" s="18" t="s">
        <v>302</v>
      </c>
      <c r="D117" s="18" t="s">
        <v>513</v>
      </c>
      <c r="E117" s="19">
        <v>45510</v>
      </c>
    </row>
    <row r="118" spans="1:5">
      <c r="A118" s="61" t="s">
        <v>514</v>
      </c>
      <c r="B118" s="62"/>
      <c r="C118" s="18" t="s">
        <v>302</v>
      </c>
      <c r="D118" s="18" t="s">
        <v>515</v>
      </c>
      <c r="E118" s="19">
        <v>45511</v>
      </c>
    </row>
    <row r="119" spans="1:5">
      <c r="A119" s="61" t="s">
        <v>516</v>
      </c>
      <c r="B119" s="62"/>
      <c r="C119" s="18" t="s">
        <v>302</v>
      </c>
      <c r="D119" s="18" t="s">
        <v>517</v>
      </c>
      <c r="E119" s="19">
        <v>45513</v>
      </c>
    </row>
    <row r="120" spans="1:5">
      <c r="A120" s="61" t="s">
        <v>518</v>
      </c>
      <c r="B120" s="62"/>
      <c r="C120" s="18" t="s">
        <v>313</v>
      </c>
      <c r="D120" s="18" t="s">
        <v>519</v>
      </c>
      <c r="E120" s="19">
        <v>45513</v>
      </c>
    </row>
    <row r="121" spans="1:5">
      <c r="A121" s="61" t="s">
        <v>520</v>
      </c>
      <c r="B121" s="62"/>
      <c r="C121" s="18" t="s">
        <v>302</v>
      </c>
      <c r="D121" s="18" t="s">
        <v>521</v>
      </c>
      <c r="E121" s="19">
        <v>45513</v>
      </c>
    </row>
    <row r="122" spans="1:5">
      <c r="A122" s="61" t="s">
        <v>522</v>
      </c>
      <c r="B122" s="62"/>
      <c r="C122" s="18" t="s">
        <v>302</v>
      </c>
      <c r="D122" s="18" t="s">
        <v>422</v>
      </c>
      <c r="E122" s="19">
        <v>45513</v>
      </c>
    </row>
    <row r="123" spans="1:5">
      <c r="A123" s="61" t="s">
        <v>523</v>
      </c>
      <c r="B123" s="62"/>
      <c r="C123" s="18" t="s">
        <v>302</v>
      </c>
      <c r="D123" s="18" t="s">
        <v>422</v>
      </c>
      <c r="E123" s="19">
        <v>45513</v>
      </c>
    </row>
    <row r="124" spans="1:5">
      <c r="A124" s="61" t="s">
        <v>524</v>
      </c>
      <c r="B124" s="62"/>
      <c r="C124" s="18" t="s">
        <v>302</v>
      </c>
      <c r="D124" s="18" t="s">
        <v>525</v>
      </c>
      <c r="E124" s="19">
        <v>45513</v>
      </c>
    </row>
    <row r="125" spans="1:5">
      <c r="A125" s="61" t="s">
        <v>370</v>
      </c>
      <c r="B125" s="62"/>
      <c r="C125" s="18" t="s">
        <v>313</v>
      </c>
      <c r="D125" s="18" t="s">
        <v>526</v>
      </c>
      <c r="E125" s="19">
        <v>45513</v>
      </c>
    </row>
    <row r="126" spans="1:5">
      <c r="A126" s="61" t="s">
        <v>527</v>
      </c>
      <c r="B126" s="62"/>
      <c r="C126" s="18" t="s">
        <v>313</v>
      </c>
      <c r="D126" s="18" t="s">
        <v>528</v>
      </c>
      <c r="E126" s="19">
        <v>45513</v>
      </c>
    </row>
    <row r="127" spans="1:5">
      <c r="A127" s="61" t="s">
        <v>529</v>
      </c>
      <c r="B127" s="62"/>
      <c r="C127" s="18" t="s">
        <v>313</v>
      </c>
      <c r="D127" s="18" t="s">
        <v>530</v>
      </c>
      <c r="E127" s="19">
        <v>45513</v>
      </c>
    </row>
    <row r="128" spans="1:5">
      <c r="A128" s="61" t="s">
        <v>531</v>
      </c>
      <c r="B128" s="62"/>
      <c r="C128" s="18" t="s">
        <v>313</v>
      </c>
      <c r="D128" s="18" t="s">
        <v>503</v>
      </c>
      <c r="E128" s="19">
        <v>45513</v>
      </c>
    </row>
    <row r="129" spans="1:5">
      <c r="A129" s="61" t="s">
        <v>532</v>
      </c>
      <c r="B129" s="62"/>
      <c r="C129" s="18" t="s">
        <v>313</v>
      </c>
      <c r="D129" s="18" t="s">
        <v>533</v>
      </c>
      <c r="E129" s="19">
        <v>45513</v>
      </c>
    </row>
    <row r="130" spans="1:5">
      <c r="A130" s="61" t="s">
        <v>534</v>
      </c>
      <c r="B130" s="62"/>
      <c r="C130" s="18" t="s">
        <v>302</v>
      </c>
      <c r="D130" s="18" t="s">
        <v>303</v>
      </c>
      <c r="E130" s="19">
        <v>45523</v>
      </c>
    </row>
    <row r="131" spans="1:5">
      <c r="A131" s="61" t="s">
        <v>535</v>
      </c>
      <c r="B131" s="62"/>
      <c r="C131" s="18" t="s">
        <v>302</v>
      </c>
      <c r="D131" s="18" t="s">
        <v>303</v>
      </c>
      <c r="E131" s="19">
        <v>45523</v>
      </c>
    </row>
    <row r="132" spans="1:5">
      <c r="A132" s="61" t="s">
        <v>536</v>
      </c>
      <c r="B132" s="62"/>
      <c r="C132" s="18" t="s">
        <v>302</v>
      </c>
      <c r="D132" s="18" t="s">
        <v>537</v>
      </c>
      <c r="E132" s="19">
        <v>45525</v>
      </c>
    </row>
    <row r="133" spans="1:5">
      <c r="A133" s="61" t="s">
        <v>538</v>
      </c>
      <c r="B133" s="62"/>
      <c r="C133" s="18" t="s">
        <v>320</v>
      </c>
      <c r="D133" s="18" t="s">
        <v>539</v>
      </c>
      <c r="E133" s="19">
        <v>45525</v>
      </c>
    </row>
    <row r="134" spans="1:5">
      <c r="A134" s="61" t="s">
        <v>540</v>
      </c>
      <c r="B134" s="62"/>
      <c r="C134" s="18" t="s">
        <v>320</v>
      </c>
      <c r="D134" s="18" t="s">
        <v>539</v>
      </c>
      <c r="E134" s="19">
        <v>45525</v>
      </c>
    </row>
    <row r="135" spans="1:5">
      <c r="A135" s="61" t="s">
        <v>541</v>
      </c>
      <c r="B135" s="62"/>
      <c r="C135" s="18" t="s">
        <v>320</v>
      </c>
      <c r="D135" s="18" t="s">
        <v>542</v>
      </c>
      <c r="E135" s="19">
        <v>45525</v>
      </c>
    </row>
    <row r="136" spans="1:5">
      <c r="A136" s="61" t="s">
        <v>543</v>
      </c>
      <c r="B136" s="62"/>
      <c r="C136" s="18" t="s">
        <v>320</v>
      </c>
      <c r="D136" s="18" t="s">
        <v>544</v>
      </c>
      <c r="E136" s="19">
        <v>45525</v>
      </c>
    </row>
    <row r="137" spans="1:5">
      <c r="A137" s="61" t="s">
        <v>545</v>
      </c>
      <c r="B137" s="62"/>
      <c r="C137" s="18" t="s">
        <v>302</v>
      </c>
      <c r="D137" s="18" t="s">
        <v>546</v>
      </c>
      <c r="E137" s="19">
        <v>45526</v>
      </c>
    </row>
    <row r="138" spans="1:5">
      <c r="A138" s="61" t="s">
        <v>547</v>
      </c>
      <c r="B138" s="62"/>
      <c r="C138" s="18" t="s">
        <v>302</v>
      </c>
      <c r="D138" s="18" t="s">
        <v>548</v>
      </c>
      <c r="E138" s="19">
        <v>45527</v>
      </c>
    </row>
    <row r="139" spans="1:5">
      <c r="A139" s="61" t="s">
        <v>549</v>
      </c>
      <c r="B139" s="62"/>
      <c r="C139" s="18" t="s">
        <v>302</v>
      </c>
      <c r="D139" s="18" t="s">
        <v>503</v>
      </c>
      <c r="E139" s="19">
        <v>45527</v>
      </c>
    </row>
    <row r="140" spans="1:5">
      <c r="A140" s="61" t="s">
        <v>550</v>
      </c>
      <c r="B140" s="62"/>
      <c r="C140" s="18" t="s">
        <v>302</v>
      </c>
      <c r="D140" s="18" t="s">
        <v>551</v>
      </c>
      <c r="E140" s="19">
        <v>45527</v>
      </c>
    </row>
    <row r="141" spans="1:5">
      <c r="A141" s="61" t="s">
        <v>552</v>
      </c>
      <c r="B141" s="62"/>
      <c r="C141" s="18" t="s">
        <v>302</v>
      </c>
      <c r="D141" s="18" t="s">
        <v>495</v>
      </c>
      <c r="E141" s="19">
        <v>45529</v>
      </c>
    </row>
    <row r="142" spans="1:5">
      <c r="A142" s="61" t="s">
        <v>553</v>
      </c>
      <c r="B142" s="62"/>
      <c r="C142" s="18" t="s">
        <v>313</v>
      </c>
      <c r="D142" s="18" t="s">
        <v>554</v>
      </c>
      <c r="E142" s="19">
        <v>45534</v>
      </c>
    </row>
    <row r="143" spans="1:5">
      <c r="A143" s="61" t="s">
        <v>555</v>
      </c>
      <c r="B143" s="62"/>
      <c r="C143" s="18" t="s">
        <v>302</v>
      </c>
      <c r="D143" s="18" t="s">
        <v>556</v>
      </c>
      <c r="E143" s="19">
        <v>45534</v>
      </c>
    </row>
    <row r="144" spans="1:5">
      <c r="A144" s="61" t="s">
        <v>557</v>
      </c>
      <c r="B144" s="62"/>
      <c r="C144" s="18" t="s">
        <v>491</v>
      </c>
      <c r="D144" s="18" t="s">
        <v>340</v>
      </c>
      <c r="E144" s="19">
        <v>45534</v>
      </c>
    </row>
    <row r="145" spans="1:5">
      <c r="A145" s="61" t="s">
        <v>558</v>
      </c>
      <c r="B145" s="62"/>
      <c r="C145" s="18" t="s">
        <v>302</v>
      </c>
      <c r="D145" s="18" t="s">
        <v>515</v>
      </c>
      <c r="E145" s="19">
        <v>45534</v>
      </c>
    </row>
    <row r="146" spans="1:5">
      <c r="A146" s="61" t="s">
        <v>558</v>
      </c>
      <c r="B146" s="62"/>
      <c r="C146" s="18" t="s">
        <v>302</v>
      </c>
      <c r="D146" s="18" t="s">
        <v>559</v>
      </c>
      <c r="E146" s="19">
        <v>45534</v>
      </c>
    </row>
    <row r="147" spans="1:5">
      <c r="A147" s="61" t="s">
        <v>560</v>
      </c>
      <c r="B147" s="62"/>
      <c r="C147" s="18" t="s">
        <v>302</v>
      </c>
      <c r="D147" s="18" t="s">
        <v>561</v>
      </c>
      <c r="E147" s="19">
        <v>45534</v>
      </c>
    </row>
    <row r="148" spans="1:5">
      <c r="A148" s="61" t="s">
        <v>562</v>
      </c>
      <c r="B148" s="62"/>
      <c r="C148" s="18" t="s">
        <v>302</v>
      </c>
      <c r="D148" s="18" t="s">
        <v>563</v>
      </c>
      <c r="E148" s="19">
        <v>45534</v>
      </c>
    </row>
    <row r="149" spans="1:5">
      <c r="A149" s="61" t="s">
        <v>564</v>
      </c>
      <c r="B149" s="62"/>
      <c r="C149" s="18" t="s">
        <v>302</v>
      </c>
      <c r="D149" s="18" t="s">
        <v>565</v>
      </c>
      <c r="E149" s="19">
        <v>45540</v>
      </c>
    </row>
    <row r="150" spans="1:5">
      <c r="A150" s="61" t="s">
        <v>566</v>
      </c>
      <c r="B150" s="62"/>
      <c r="C150" s="18" t="s">
        <v>302</v>
      </c>
      <c r="D150" s="18" t="s">
        <v>567</v>
      </c>
      <c r="E150" s="19">
        <v>45540</v>
      </c>
    </row>
    <row r="151" spans="1:5">
      <c r="A151" s="61" t="s">
        <v>568</v>
      </c>
      <c r="B151" s="62"/>
      <c r="C151" s="18" t="s">
        <v>302</v>
      </c>
      <c r="D151" s="18" t="s">
        <v>307</v>
      </c>
      <c r="E151" s="19">
        <v>45541</v>
      </c>
    </row>
    <row r="152" spans="1:5">
      <c r="A152" s="61" t="s">
        <v>569</v>
      </c>
      <c r="B152" s="62"/>
      <c r="C152" s="18" t="s">
        <v>302</v>
      </c>
      <c r="D152" s="18" t="s">
        <v>422</v>
      </c>
      <c r="E152" s="19">
        <v>45541</v>
      </c>
    </row>
    <row r="153" spans="1:5">
      <c r="A153" s="61" t="s">
        <v>570</v>
      </c>
      <c r="B153" s="62"/>
      <c r="C153" s="18" t="s">
        <v>302</v>
      </c>
      <c r="D153" s="18" t="s">
        <v>571</v>
      </c>
      <c r="E153" s="19">
        <v>45541</v>
      </c>
    </row>
    <row r="154" spans="1:5">
      <c r="A154" s="61" t="s">
        <v>572</v>
      </c>
      <c r="B154" s="62"/>
      <c r="C154" s="18" t="s">
        <v>302</v>
      </c>
      <c r="D154" s="18" t="s">
        <v>416</v>
      </c>
      <c r="E154" s="19">
        <v>45544</v>
      </c>
    </row>
    <row r="155" spans="1:5">
      <c r="A155" s="61" t="s">
        <v>573</v>
      </c>
      <c r="B155" s="62"/>
      <c r="C155" s="18" t="s">
        <v>302</v>
      </c>
      <c r="D155" s="18" t="s">
        <v>574</v>
      </c>
      <c r="E155" s="19">
        <v>45544</v>
      </c>
    </row>
    <row r="156" spans="1:5">
      <c r="A156" s="61" t="s">
        <v>575</v>
      </c>
      <c r="B156" s="62"/>
      <c r="C156" s="18" t="s">
        <v>302</v>
      </c>
      <c r="D156" s="18" t="s">
        <v>576</v>
      </c>
      <c r="E156" s="19">
        <v>45547</v>
      </c>
    </row>
    <row r="157" spans="1:5">
      <c r="A157" s="61" t="s">
        <v>577</v>
      </c>
      <c r="B157" s="62"/>
      <c r="C157" s="18" t="s">
        <v>302</v>
      </c>
      <c r="D157" s="18" t="s">
        <v>578</v>
      </c>
      <c r="E157" s="19">
        <v>45547</v>
      </c>
    </row>
    <row r="158" spans="1:5">
      <c r="A158" s="61" t="s">
        <v>579</v>
      </c>
      <c r="B158" s="62"/>
      <c r="C158" s="18" t="s">
        <v>302</v>
      </c>
      <c r="D158" s="18" t="s">
        <v>580</v>
      </c>
      <c r="E158" s="19">
        <v>45548</v>
      </c>
    </row>
    <row r="159" spans="1:5">
      <c r="A159" s="61" t="s">
        <v>581</v>
      </c>
      <c r="B159" s="62"/>
      <c r="C159" s="18" t="s">
        <v>302</v>
      </c>
      <c r="D159" s="18" t="s">
        <v>582</v>
      </c>
      <c r="E159" s="19">
        <v>45548</v>
      </c>
    </row>
    <row r="160" spans="1:5">
      <c r="A160" s="61" t="s">
        <v>583</v>
      </c>
      <c r="B160" s="62"/>
      <c r="C160" s="18" t="s">
        <v>302</v>
      </c>
      <c r="D160" s="18" t="s">
        <v>584</v>
      </c>
      <c r="E160" s="19">
        <v>45550</v>
      </c>
    </row>
    <row r="161" spans="1:5">
      <c r="A161" s="61" t="s">
        <v>585</v>
      </c>
      <c r="B161" s="62"/>
      <c r="C161" s="18" t="s">
        <v>302</v>
      </c>
      <c r="D161" s="18" t="s">
        <v>307</v>
      </c>
      <c r="E161" s="19">
        <v>45553</v>
      </c>
    </row>
    <row r="162" spans="1:5">
      <c r="A162" s="61" t="s">
        <v>586</v>
      </c>
      <c r="B162" s="62"/>
      <c r="C162" s="18" t="s">
        <v>302</v>
      </c>
      <c r="D162" s="18" t="s">
        <v>467</v>
      </c>
      <c r="E162" s="19">
        <v>45553</v>
      </c>
    </row>
    <row r="163" spans="1:5">
      <c r="A163" s="61" t="s">
        <v>587</v>
      </c>
      <c r="B163" s="62"/>
      <c r="C163" s="18" t="s">
        <v>313</v>
      </c>
      <c r="D163" s="18" t="s">
        <v>588</v>
      </c>
      <c r="E163" s="19">
        <v>45553</v>
      </c>
    </row>
    <row r="164" spans="1:5">
      <c r="A164" s="61" t="s">
        <v>589</v>
      </c>
      <c r="B164" s="62"/>
      <c r="C164" s="18" t="s">
        <v>302</v>
      </c>
      <c r="D164" s="18" t="s">
        <v>359</v>
      </c>
      <c r="E164" s="19">
        <v>45553</v>
      </c>
    </row>
    <row r="165" spans="1:5">
      <c r="A165" s="61" t="s">
        <v>590</v>
      </c>
      <c r="B165" s="62"/>
      <c r="C165" s="18" t="s">
        <v>302</v>
      </c>
      <c r="D165" s="18" t="s">
        <v>591</v>
      </c>
      <c r="E165" s="19">
        <v>45554</v>
      </c>
    </row>
    <row r="166" spans="1:5">
      <c r="A166" s="61" t="s">
        <v>592</v>
      </c>
      <c r="B166" s="62"/>
      <c r="C166" s="18" t="s">
        <v>302</v>
      </c>
      <c r="D166" s="18" t="s">
        <v>593</v>
      </c>
      <c r="E166" s="19">
        <v>45555</v>
      </c>
    </row>
    <row r="167" spans="1:5">
      <c r="A167" s="61" t="s">
        <v>594</v>
      </c>
      <c r="B167" s="62"/>
      <c r="C167" s="18" t="s">
        <v>302</v>
      </c>
      <c r="D167" s="18" t="s">
        <v>593</v>
      </c>
      <c r="E167" s="19">
        <v>45555</v>
      </c>
    </row>
    <row r="168" spans="1:5">
      <c r="A168" s="61" t="s">
        <v>595</v>
      </c>
      <c r="B168" s="62"/>
      <c r="C168" s="18" t="s">
        <v>302</v>
      </c>
      <c r="D168" s="18" t="s">
        <v>596</v>
      </c>
      <c r="E168" s="19">
        <v>45555</v>
      </c>
    </row>
    <row r="169" spans="1:5">
      <c r="A169" s="61" t="s">
        <v>597</v>
      </c>
      <c r="B169" s="62"/>
      <c r="C169" s="18" t="s">
        <v>302</v>
      </c>
      <c r="D169" s="18" t="s">
        <v>598</v>
      </c>
      <c r="E169" s="19">
        <v>45557</v>
      </c>
    </row>
    <row r="170" spans="1:5">
      <c r="A170" s="61" t="s">
        <v>599</v>
      </c>
      <c r="B170" s="62"/>
      <c r="C170" s="18" t="s">
        <v>302</v>
      </c>
      <c r="D170" s="18" t="s">
        <v>600</v>
      </c>
      <c r="E170" s="19">
        <v>45560</v>
      </c>
    </row>
    <row r="171" spans="1:5">
      <c r="A171" s="61" t="s">
        <v>601</v>
      </c>
      <c r="B171" s="62"/>
      <c r="C171" s="18" t="s">
        <v>302</v>
      </c>
      <c r="D171" s="18" t="s">
        <v>602</v>
      </c>
      <c r="E171" s="19">
        <v>45560</v>
      </c>
    </row>
    <row r="172" spans="1:5">
      <c r="A172" s="61" t="s">
        <v>603</v>
      </c>
      <c r="B172" s="62"/>
      <c r="C172" s="18" t="s">
        <v>302</v>
      </c>
      <c r="D172" s="18" t="s">
        <v>602</v>
      </c>
      <c r="E172" s="19">
        <v>45560</v>
      </c>
    </row>
    <row r="173" spans="1:5">
      <c r="A173" s="61" t="s">
        <v>604</v>
      </c>
      <c r="B173" s="62"/>
      <c r="C173" s="18" t="s">
        <v>313</v>
      </c>
      <c r="D173" s="18" t="s">
        <v>605</v>
      </c>
      <c r="E173" s="19">
        <v>45562</v>
      </c>
    </row>
    <row r="174" spans="1:5">
      <c r="A174" s="61" t="s">
        <v>606</v>
      </c>
      <c r="B174" s="62"/>
      <c r="C174" s="18" t="s">
        <v>302</v>
      </c>
      <c r="D174" s="18" t="s">
        <v>607</v>
      </c>
      <c r="E174" s="19">
        <v>45562</v>
      </c>
    </row>
    <row r="175" spans="1:5">
      <c r="A175" s="61" t="s">
        <v>608</v>
      </c>
      <c r="B175" s="62"/>
      <c r="C175" s="18" t="s">
        <v>302</v>
      </c>
      <c r="D175" s="18" t="s">
        <v>355</v>
      </c>
      <c r="E175" s="19">
        <v>45562</v>
      </c>
    </row>
    <row r="176" spans="1:5">
      <c r="A176" s="61" t="s">
        <v>609</v>
      </c>
      <c r="B176" s="62"/>
      <c r="C176" s="18" t="s">
        <v>302</v>
      </c>
      <c r="D176" s="18" t="s">
        <v>610</v>
      </c>
      <c r="E176" s="19">
        <v>45562</v>
      </c>
    </row>
    <row r="177" spans="1:5">
      <c r="A177" s="61" t="s">
        <v>611</v>
      </c>
      <c r="B177" s="62"/>
      <c r="C177" s="18" t="s">
        <v>302</v>
      </c>
      <c r="D177" s="18" t="s">
        <v>432</v>
      </c>
      <c r="E177" s="19">
        <v>45562</v>
      </c>
    </row>
    <row r="178" spans="1:5">
      <c r="A178" s="61" t="s">
        <v>612</v>
      </c>
      <c r="B178" s="62"/>
      <c r="C178" s="18" t="s">
        <v>302</v>
      </c>
      <c r="D178" s="18" t="s">
        <v>503</v>
      </c>
      <c r="E178" s="19">
        <v>45565</v>
      </c>
    </row>
    <row r="179" spans="1:5">
      <c r="A179" s="61" t="s">
        <v>613</v>
      </c>
      <c r="B179" s="62"/>
      <c r="C179" s="18" t="s">
        <v>313</v>
      </c>
      <c r="D179" s="18" t="s">
        <v>614</v>
      </c>
      <c r="E179" s="19">
        <v>45565</v>
      </c>
    </row>
    <row r="180" spans="1:5">
      <c r="A180" s="61" t="s">
        <v>615</v>
      </c>
      <c r="B180" s="62"/>
      <c r="C180" s="18" t="s">
        <v>313</v>
      </c>
      <c r="D180" s="18" t="s">
        <v>616</v>
      </c>
      <c r="E180" s="19">
        <v>45565</v>
      </c>
    </row>
    <row r="181" spans="1:5">
      <c r="A181" s="61" t="s">
        <v>617</v>
      </c>
      <c r="B181" s="62"/>
      <c r="C181" s="18" t="s">
        <v>313</v>
      </c>
      <c r="D181" s="18" t="s">
        <v>618</v>
      </c>
      <c r="E181" s="19">
        <v>45565</v>
      </c>
    </row>
    <row r="182" spans="1:5">
      <c r="A182" s="61" t="s">
        <v>619</v>
      </c>
      <c r="B182" s="62"/>
      <c r="C182" s="18" t="s">
        <v>313</v>
      </c>
      <c r="D182" s="18" t="s">
        <v>620</v>
      </c>
      <c r="E182" s="19">
        <v>45565</v>
      </c>
    </row>
    <row r="183" spans="1:5">
      <c r="A183" s="61" t="s">
        <v>621</v>
      </c>
      <c r="B183" s="62"/>
      <c r="C183" s="18" t="s">
        <v>313</v>
      </c>
      <c r="D183" s="18" t="s">
        <v>622</v>
      </c>
      <c r="E183" s="19">
        <v>45565</v>
      </c>
    </row>
    <row r="184" spans="1:5">
      <c r="A184" s="61" t="s">
        <v>623</v>
      </c>
      <c r="B184" s="62"/>
      <c r="C184" s="18" t="s">
        <v>313</v>
      </c>
      <c r="D184" s="18" t="s">
        <v>624</v>
      </c>
      <c r="E184" s="19">
        <v>45566</v>
      </c>
    </row>
    <row r="185" spans="1:5">
      <c r="A185" s="61" t="s">
        <v>625</v>
      </c>
      <c r="B185" s="62"/>
      <c r="C185" s="18" t="s">
        <v>302</v>
      </c>
      <c r="D185" s="18" t="s">
        <v>626</v>
      </c>
      <c r="E185" s="19">
        <v>45568</v>
      </c>
    </row>
    <row r="186" spans="1:5">
      <c r="A186" s="61" t="s">
        <v>627</v>
      </c>
      <c r="B186" s="62"/>
      <c r="C186" s="18" t="s">
        <v>302</v>
      </c>
      <c r="D186" s="18" t="s">
        <v>628</v>
      </c>
      <c r="E186" s="19">
        <v>45569</v>
      </c>
    </row>
    <row r="187" spans="1:5">
      <c r="A187" s="61" t="s">
        <v>629</v>
      </c>
      <c r="B187" s="62"/>
      <c r="C187" s="18" t="s">
        <v>302</v>
      </c>
      <c r="D187" s="18" t="s">
        <v>467</v>
      </c>
      <c r="E187" s="19">
        <v>45572</v>
      </c>
    </row>
    <row r="188" spans="1:5">
      <c r="A188" s="61" t="s">
        <v>630</v>
      </c>
      <c r="B188" s="62"/>
      <c r="C188" s="18" t="s">
        <v>302</v>
      </c>
      <c r="D188" s="18" t="s">
        <v>631</v>
      </c>
      <c r="E188" s="19">
        <v>45572</v>
      </c>
    </row>
    <row r="189" spans="1:5">
      <c r="A189" s="61" t="s">
        <v>632</v>
      </c>
      <c r="B189" s="62"/>
      <c r="C189" s="18" t="s">
        <v>302</v>
      </c>
      <c r="D189" s="18" t="s">
        <v>633</v>
      </c>
      <c r="E189" s="19">
        <v>45572</v>
      </c>
    </row>
    <row r="190" spans="1:5">
      <c r="A190" s="61" t="s">
        <v>634</v>
      </c>
      <c r="B190" s="62"/>
      <c r="C190" s="18" t="s">
        <v>313</v>
      </c>
      <c r="D190" s="18" t="s">
        <v>635</v>
      </c>
      <c r="E190" s="19">
        <v>45572</v>
      </c>
    </row>
    <row r="191" spans="1:5">
      <c r="A191" s="61" t="s">
        <v>636</v>
      </c>
      <c r="B191" s="62"/>
      <c r="C191" s="18" t="s">
        <v>313</v>
      </c>
      <c r="D191" s="18" t="s">
        <v>637</v>
      </c>
      <c r="E191" s="19">
        <v>45572</v>
      </c>
    </row>
    <row r="192" spans="1:5">
      <c r="A192" s="61" t="s">
        <v>638</v>
      </c>
      <c r="B192" s="62"/>
      <c r="C192" s="18" t="s">
        <v>313</v>
      </c>
      <c r="D192" s="18" t="s">
        <v>639</v>
      </c>
      <c r="E192" s="19">
        <v>45572</v>
      </c>
    </row>
    <row r="193" spans="1:5">
      <c r="A193" s="61" t="s">
        <v>640</v>
      </c>
      <c r="B193" s="62"/>
      <c r="C193" s="18" t="s">
        <v>313</v>
      </c>
      <c r="D193" s="18" t="s">
        <v>641</v>
      </c>
      <c r="E193" s="19">
        <v>45572</v>
      </c>
    </row>
    <row r="194" spans="1:5">
      <c r="A194" s="61" t="s">
        <v>642</v>
      </c>
      <c r="B194" s="62"/>
      <c r="C194" s="18" t="s">
        <v>313</v>
      </c>
      <c r="D194" s="18" t="s">
        <v>620</v>
      </c>
      <c r="E194" s="19">
        <v>45572</v>
      </c>
    </row>
    <row r="195" spans="1:5">
      <c r="A195" s="61" t="s">
        <v>643</v>
      </c>
      <c r="B195" s="62"/>
      <c r="C195" s="18" t="s">
        <v>313</v>
      </c>
      <c r="D195" s="18" t="s">
        <v>561</v>
      </c>
      <c r="E195" s="19">
        <v>45572</v>
      </c>
    </row>
    <row r="196" spans="1:5">
      <c r="A196" s="61" t="s">
        <v>644</v>
      </c>
      <c r="B196" s="62"/>
      <c r="C196" s="18" t="s">
        <v>313</v>
      </c>
      <c r="D196" s="18" t="s">
        <v>645</v>
      </c>
      <c r="E196" s="19">
        <v>45572</v>
      </c>
    </row>
    <row r="197" spans="1:5">
      <c r="A197" s="61" t="s">
        <v>646</v>
      </c>
      <c r="B197" s="62"/>
      <c r="C197" s="18" t="s">
        <v>313</v>
      </c>
      <c r="D197" s="18" t="s">
        <v>647</v>
      </c>
      <c r="E197" s="19">
        <v>45572</v>
      </c>
    </row>
    <row r="198" spans="1:5">
      <c r="A198" s="61" t="s">
        <v>648</v>
      </c>
      <c r="B198" s="62"/>
      <c r="C198" s="18" t="s">
        <v>313</v>
      </c>
      <c r="D198" s="18" t="s">
        <v>649</v>
      </c>
      <c r="E198" s="19">
        <v>45572</v>
      </c>
    </row>
    <row r="199" spans="1:5">
      <c r="A199" s="61" t="s">
        <v>650</v>
      </c>
      <c r="B199" s="62"/>
      <c r="C199" s="18" t="s">
        <v>313</v>
      </c>
      <c r="D199" s="18" t="s">
        <v>651</v>
      </c>
      <c r="E199" s="19">
        <v>45572</v>
      </c>
    </row>
    <row r="200" spans="1:5">
      <c r="A200" s="61" t="s">
        <v>652</v>
      </c>
      <c r="B200" s="62"/>
      <c r="C200" s="18" t="s">
        <v>302</v>
      </c>
      <c r="D200" s="18" t="s">
        <v>537</v>
      </c>
      <c r="E200" s="19">
        <v>45573</v>
      </c>
    </row>
    <row r="201" spans="1:5">
      <c r="A201" s="61" t="s">
        <v>653</v>
      </c>
      <c r="B201" s="62"/>
      <c r="C201" s="18" t="s">
        <v>302</v>
      </c>
      <c r="D201" s="18" t="s">
        <v>331</v>
      </c>
      <c r="E201" s="19">
        <v>45573</v>
      </c>
    </row>
    <row r="202" spans="1:5">
      <c r="A202" s="61" t="s">
        <v>654</v>
      </c>
      <c r="B202" s="62"/>
      <c r="C202" s="18" t="s">
        <v>313</v>
      </c>
      <c r="D202" s="18" t="s">
        <v>655</v>
      </c>
      <c r="E202" s="19">
        <v>45573</v>
      </c>
    </row>
    <row r="203" spans="1:5">
      <c r="A203" s="61" t="s">
        <v>656</v>
      </c>
      <c r="B203" s="62"/>
      <c r="C203" s="18" t="s">
        <v>302</v>
      </c>
      <c r="D203" s="18" t="s">
        <v>427</v>
      </c>
      <c r="E203" s="19">
        <v>45574</v>
      </c>
    </row>
    <row r="204" spans="1:5">
      <c r="A204" s="61" t="s">
        <v>657</v>
      </c>
      <c r="B204" s="62"/>
      <c r="C204" s="18" t="s">
        <v>313</v>
      </c>
      <c r="D204" s="18" t="s">
        <v>658</v>
      </c>
      <c r="E204" s="19">
        <v>45574</v>
      </c>
    </row>
    <row r="205" spans="1:5">
      <c r="A205" s="61" t="s">
        <v>659</v>
      </c>
      <c r="B205" s="62"/>
      <c r="C205" s="18" t="s">
        <v>302</v>
      </c>
      <c r="D205" s="18" t="s">
        <v>660</v>
      </c>
      <c r="E205" s="19">
        <v>45574</v>
      </c>
    </row>
    <row r="206" spans="1:5">
      <c r="A206" s="61" t="s">
        <v>661</v>
      </c>
      <c r="B206" s="62"/>
      <c r="C206" s="18" t="s">
        <v>441</v>
      </c>
      <c r="D206" s="18" t="s">
        <v>662</v>
      </c>
      <c r="E206" s="19">
        <v>45575</v>
      </c>
    </row>
    <row r="207" spans="1:5">
      <c r="A207" s="61" t="s">
        <v>663</v>
      </c>
      <c r="B207" s="62"/>
      <c r="C207" s="18" t="s">
        <v>302</v>
      </c>
      <c r="D207" s="18" t="s">
        <v>416</v>
      </c>
      <c r="E207" s="19">
        <v>45575</v>
      </c>
    </row>
    <row r="208" spans="1:5">
      <c r="A208" s="61" t="s">
        <v>664</v>
      </c>
      <c r="B208" s="62"/>
      <c r="C208" s="18" t="s">
        <v>302</v>
      </c>
      <c r="D208" s="18" t="s">
        <v>403</v>
      </c>
      <c r="E208" s="19">
        <v>45576</v>
      </c>
    </row>
    <row r="209" spans="1:5">
      <c r="A209" s="61" t="s">
        <v>665</v>
      </c>
      <c r="B209" s="62"/>
      <c r="C209" s="18" t="s">
        <v>302</v>
      </c>
      <c r="D209" s="18" t="s">
        <v>357</v>
      </c>
      <c r="E209" s="19">
        <v>45576</v>
      </c>
    </row>
    <row r="210" spans="1:5">
      <c r="A210" s="61" t="s">
        <v>666</v>
      </c>
      <c r="B210" s="62"/>
      <c r="C210" s="18" t="s">
        <v>302</v>
      </c>
      <c r="D210" s="18" t="s">
        <v>495</v>
      </c>
      <c r="E210" s="19">
        <v>45579</v>
      </c>
    </row>
    <row r="211" spans="1:5">
      <c r="A211" s="61" t="s">
        <v>667</v>
      </c>
      <c r="B211" s="62"/>
      <c r="C211" s="18" t="s">
        <v>302</v>
      </c>
      <c r="D211" s="18" t="s">
        <v>668</v>
      </c>
      <c r="E211" s="19">
        <v>45580</v>
      </c>
    </row>
    <row r="212" spans="1:5">
      <c r="A212" s="61" t="s">
        <v>669</v>
      </c>
      <c r="B212" s="62"/>
      <c r="C212" s="18" t="s">
        <v>302</v>
      </c>
      <c r="D212" s="18" t="s">
        <v>660</v>
      </c>
      <c r="E212" s="19">
        <v>45581</v>
      </c>
    </row>
    <row r="213" spans="1:5">
      <c r="A213" s="61" t="s">
        <v>670</v>
      </c>
      <c r="B213" s="62"/>
      <c r="C213" s="18" t="s">
        <v>441</v>
      </c>
      <c r="D213" s="18" t="s">
        <v>671</v>
      </c>
      <c r="E213" s="19">
        <v>45581</v>
      </c>
    </row>
    <row r="214" spans="1:5">
      <c r="A214" s="61" t="s">
        <v>672</v>
      </c>
      <c r="B214" s="62"/>
      <c r="C214" s="18" t="s">
        <v>441</v>
      </c>
      <c r="D214" s="18" t="s">
        <v>673</v>
      </c>
      <c r="E214" s="19">
        <v>45581</v>
      </c>
    </row>
    <row r="215" spans="1:5">
      <c r="A215" s="61" t="s">
        <v>674</v>
      </c>
      <c r="B215" s="62"/>
      <c r="C215" s="18" t="s">
        <v>313</v>
      </c>
      <c r="D215" s="18" t="s">
        <v>675</v>
      </c>
      <c r="E215" s="19">
        <v>45582</v>
      </c>
    </row>
    <row r="216" spans="1:5">
      <c r="A216" s="61" t="s">
        <v>609</v>
      </c>
      <c r="B216" s="62"/>
      <c r="C216" s="18" t="s">
        <v>302</v>
      </c>
      <c r="D216" s="18" t="s">
        <v>335</v>
      </c>
      <c r="E216" s="19">
        <v>45583</v>
      </c>
    </row>
    <row r="217" spans="1:5">
      <c r="A217" s="61" t="s">
        <v>676</v>
      </c>
      <c r="B217" s="62"/>
      <c r="C217" s="18" t="s">
        <v>302</v>
      </c>
      <c r="D217" s="18" t="s">
        <v>677</v>
      </c>
      <c r="E217" s="19">
        <v>45583</v>
      </c>
    </row>
    <row r="218" spans="1:5">
      <c r="A218" s="61" t="s">
        <v>678</v>
      </c>
      <c r="B218" s="62"/>
      <c r="C218" s="18" t="s">
        <v>302</v>
      </c>
      <c r="D218" s="18" t="s">
        <v>503</v>
      </c>
      <c r="E218" s="19">
        <v>45583</v>
      </c>
    </row>
    <row r="219" spans="1:5">
      <c r="A219" s="61" t="s">
        <v>679</v>
      </c>
      <c r="B219" s="62"/>
      <c r="C219" s="18" t="s">
        <v>302</v>
      </c>
      <c r="D219" s="18" t="s">
        <v>335</v>
      </c>
      <c r="E219" s="19">
        <v>45583</v>
      </c>
    </row>
    <row r="220" spans="1:5">
      <c r="A220" s="61" t="s">
        <v>680</v>
      </c>
      <c r="B220" s="62"/>
      <c r="C220" s="18" t="s">
        <v>313</v>
      </c>
      <c r="D220" s="18" t="s">
        <v>681</v>
      </c>
      <c r="E220" s="19">
        <v>45589</v>
      </c>
    </row>
    <row r="221" spans="1:5">
      <c r="A221" s="61" t="s">
        <v>682</v>
      </c>
      <c r="B221" s="62"/>
      <c r="C221" s="18" t="s">
        <v>302</v>
      </c>
      <c r="D221" s="18" t="s">
        <v>683</v>
      </c>
      <c r="E221" s="19">
        <v>45590</v>
      </c>
    </row>
    <row r="222" spans="1:5">
      <c r="A222" s="61" t="s">
        <v>684</v>
      </c>
      <c r="B222" s="62"/>
      <c r="C222" s="18" t="s">
        <v>313</v>
      </c>
      <c r="D222" s="18" t="s">
        <v>593</v>
      </c>
      <c r="E222" s="19">
        <v>45590</v>
      </c>
    </row>
    <row r="223" spans="1:5">
      <c r="A223" s="61" t="s">
        <v>685</v>
      </c>
      <c r="B223" s="62"/>
      <c r="C223" s="18" t="s">
        <v>313</v>
      </c>
      <c r="D223" s="18" t="s">
        <v>602</v>
      </c>
      <c r="E223" s="19">
        <v>45590</v>
      </c>
    </row>
    <row r="224" spans="1:5">
      <c r="A224" s="61" t="s">
        <v>686</v>
      </c>
      <c r="B224" s="62"/>
      <c r="C224" s="18" t="s">
        <v>313</v>
      </c>
      <c r="D224" s="18" t="s">
        <v>687</v>
      </c>
      <c r="E224" s="19">
        <v>45590</v>
      </c>
    </row>
    <row r="225" spans="1:5">
      <c r="A225" s="61" t="s">
        <v>688</v>
      </c>
      <c r="B225" s="62"/>
      <c r="C225" s="18" t="s">
        <v>313</v>
      </c>
      <c r="D225" s="18" t="s">
        <v>475</v>
      </c>
      <c r="E225" s="19">
        <v>45590</v>
      </c>
    </row>
    <row r="226" spans="1:5">
      <c r="A226" s="61" t="s">
        <v>689</v>
      </c>
      <c r="B226" s="62"/>
      <c r="C226" s="18" t="s">
        <v>313</v>
      </c>
      <c r="D226" s="18" t="s">
        <v>475</v>
      </c>
      <c r="E226" s="19">
        <v>45590</v>
      </c>
    </row>
    <row r="227" spans="1:5">
      <c r="A227" s="61" t="s">
        <v>690</v>
      </c>
      <c r="B227" s="62"/>
      <c r="C227" s="18" t="s">
        <v>313</v>
      </c>
      <c r="D227" s="18" t="s">
        <v>475</v>
      </c>
      <c r="E227" s="19">
        <v>45590</v>
      </c>
    </row>
    <row r="228" spans="1:5">
      <c r="A228" s="61" t="s">
        <v>691</v>
      </c>
      <c r="B228" s="62"/>
      <c r="C228" s="18" t="s">
        <v>302</v>
      </c>
      <c r="D228" s="18" t="s">
        <v>692</v>
      </c>
      <c r="E228" s="19">
        <v>45590</v>
      </c>
    </row>
    <row r="229" spans="1:5">
      <c r="A229" s="61" t="s">
        <v>693</v>
      </c>
      <c r="B229" s="62"/>
      <c r="C229" s="18" t="s">
        <v>302</v>
      </c>
      <c r="D229" s="18" t="s">
        <v>329</v>
      </c>
      <c r="E229" s="19">
        <v>45590</v>
      </c>
    </row>
    <row r="230" spans="1:5">
      <c r="A230" s="61" t="s">
        <v>694</v>
      </c>
      <c r="B230" s="62"/>
      <c r="C230" s="18" t="s">
        <v>302</v>
      </c>
      <c r="D230" s="18" t="s">
        <v>495</v>
      </c>
      <c r="E230" s="19">
        <v>45590</v>
      </c>
    </row>
    <row r="231" spans="1:5">
      <c r="A231" s="61" t="s">
        <v>695</v>
      </c>
      <c r="B231" s="62"/>
      <c r="C231" s="18" t="s">
        <v>302</v>
      </c>
      <c r="D231" s="18" t="s">
        <v>327</v>
      </c>
      <c r="E231" s="19">
        <v>45590</v>
      </c>
    </row>
    <row r="232" spans="1:5">
      <c r="A232" s="61" t="s">
        <v>696</v>
      </c>
      <c r="B232" s="62"/>
      <c r="C232" s="18" t="s">
        <v>302</v>
      </c>
      <c r="D232" s="18" t="s">
        <v>327</v>
      </c>
      <c r="E232" s="19">
        <v>45590</v>
      </c>
    </row>
    <row r="233" spans="1:5">
      <c r="A233" s="61" t="s">
        <v>697</v>
      </c>
      <c r="B233" s="62"/>
      <c r="C233" s="18" t="s">
        <v>302</v>
      </c>
      <c r="D233" s="18" t="s">
        <v>495</v>
      </c>
      <c r="E233" s="19">
        <v>45590</v>
      </c>
    </row>
    <row r="234" spans="1:5">
      <c r="A234" s="61" t="s">
        <v>426</v>
      </c>
      <c r="B234" s="62"/>
      <c r="C234" s="18" t="s">
        <v>302</v>
      </c>
      <c r="D234" s="18" t="s">
        <v>427</v>
      </c>
      <c r="E234" s="19">
        <v>45590</v>
      </c>
    </row>
    <row r="235" spans="1:5">
      <c r="A235" s="61" t="s">
        <v>698</v>
      </c>
      <c r="B235" s="62"/>
      <c r="C235" s="18" t="s">
        <v>302</v>
      </c>
      <c r="D235" s="18" t="s">
        <v>303</v>
      </c>
      <c r="E235" s="19">
        <v>45590</v>
      </c>
    </row>
    <row r="236" spans="1:5">
      <c r="A236" s="61" t="s">
        <v>699</v>
      </c>
      <c r="B236" s="62"/>
      <c r="C236" s="18" t="s">
        <v>302</v>
      </c>
      <c r="D236" s="18" t="s">
        <v>692</v>
      </c>
      <c r="E236" s="19">
        <v>45590</v>
      </c>
    </row>
    <row r="237" spans="1:5">
      <c r="A237" s="61" t="s">
        <v>700</v>
      </c>
      <c r="B237" s="62"/>
      <c r="C237" s="18" t="s">
        <v>302</v>
      </c>
      <c r="D237" s="18" t="s">
        <v>303</v>
      </c>
      <c r="E237" s="19">
        <v>45590</v>
      </c>
    </row>
    <row r="238" spans="1:5">
      <c r="A238" s="61" t="s">
        <v>701</v>
      </c>
      <c r="B238" s="62"/>
      <c r="C238" s="18" t="s">
        <v>302</v>
      </c>
      <c r="D238" s="18" t="s">
        <v>503</v>
      </c>
      <c r="E238" s="19">
        <v>45590</v>
      </c>
    </row>
    <row r="239" spans="1:5">
      <c r="A239" s="61" t="s">
        <v>702</v>
      </c>
      <c r="B239" s="62"/>
      <c r="C239" s="18" t="s">
        <v>302</v>
      </c>
      <c r="D239" s="18" t="s">
        <v>703</v>
      </c>
      <c r="E239" s="19">
        <v>45590</v>
      </c>
    </row>
    <row r="240" spans="1:5">
      <c r="A240" s="61" t="s">
        <v>704</v>
      </c>
      <c r="B240" s="62"/>
      <c r="C240" s="18" t="s">
        <v>302</v>
      </c>
      <c r="D240" s="18" t="s">
        <v>303</v>
      </c>
      <c r="E240" s="19">
        <v>45590</v>
      </c>
    </row>
    <row r="241" spans="1:5">
      <c r="A241" s="61" t="s">
        <v>705</v>
      </c>
      <c r="B241" s="62"/>
      <c r="C241" s="18" t="s">
        <v>302</v>
      </c>
      <c r="D241" s="18" t="s">
        <v>706</v>
      </c>
      <c r="E241" s="19">
        <v>45590</v>
      </c>
    </row>
    <row r="242" spans="1:5">
      <c r="A242" s="61" t="s">
        <v>707</v>
      </c>
      <c r="B242" s="62"/>
      <c r="C242" s="18" t="s">
        <v>302</v>
      </c>
      <c r="D242" s="18" t="s">
        <v>708</v>
      </c>
      <c r="E242" s="19">
        <v>45590</v>
      </c>
    </row>
    <row r="243" spans="1:5">
      <c r="A243" s="61" t="s">
        <v>709</v>
      </c>
      <c r="B243" s="62"/>
      <c r="C243" s="18" t="s">
        <v>302</v>
      </c>
      <c r="D243" s="18" t="s">
        <v>710</v>
      </c>
      <c r="E243" s="19">
        <v>45590</v>
      </c>
    </row>
    <row r="244" spans="1:5">
      <c r="A244" s="61" t="s">
        <v>711</v>
      </c>
      <c r="B244" s="62"/>
      <c r="C244" s="18" t="s">
        <v>302</v>
      </c>
      <c r="D244" s="18" t="s">
        <v>710</v>
      </c>
      <c r="E244" s="19">
        <v>45590</v>
      </c>
    </row>
    <row r="245" spans="1:5">
      <c r="A245" s="61" t="s">
        <v>712</v>
      </c>
      <c r="B245" s="62"/>
      <c r="C245" s="18" t="s">
        <v>302</v>
      </c>
      <c r="D245" s="18" t="s">
        <v>710</v>
      </c>
      <c r="E245" s="19">
        <v>45590</v>
      </c>
    </row>
    <row r="246" spans="1:5">
      <c r="A246" s="61" t="s">
        <v>713</v>
      </c>
      <c r="B246" s="62"/>
      <c r="C246" s="18" t="s">
        <v>302</v>
      </c>
      <c r="D246" s="18" t="s">
        <v>626</v>
      </c>
      <c r="E246" s="19">
        <v>45590</v>
      </c>
    </row>
    <row r="247" spans="1:5">
      <c r="A247" s="61" t="s">
        <v>714</v>
      </c>
      <c r="B247" s="62"/>
      <c r="C247" s="18" t="s">
        <v>302</v>
      </c>
      <c r="D247" s="18" t="s">
        <v>628</v>
      </c>
      <c r="E247" s="19">
        <v>45590</v>
      </c>
    </row>
    <row r="248" spans="1:5">
      <c r="A248" s="61" t="s">
        <v>715</v>
      </c>
      <c r="B248" s="62"/>
      <c r="C248" s="18" t="s">
        <v>302</v>
      </c>
      <c r="D248" s="18" t="s">
        <v>335</v>
      </c>
      <c r="E248" s="19">
        <v>45590</v>
      </c>
    </row>
    <row r="249" spans="1:5">
      <c r="A249" s="61" t="s">
        <v>716</v>
      </c>
      <c r="B249" s="62"/>
      <c r="C249" s="18" t="s">
        <v>302</v>
      </c>
      <c r="D249" s="18" t="s">
        <v>357</v>
      </c>
      <c r="E249" s="19">
        <v>45590</v>
      </c>
    </row>
    <row r="250" spans="1:5">
      <c r="A250" s="61" t="s">
        <v>717</v>
      </c>
      <c r="B250" s="62"/>
      <c r="C250" s="18" t="s">
        <v>313</v>
      </c>
      <c r="D250" s="18" t="s">
        <v>718</v>
      </c>
      <c r="E250" s="19">
        <v>45590</v>
      </c>
    </row>
    <row r="251" spans="1:5">
      <c r="A251" s="61" t="s">
        <v>719</v>
      </c>
      <c r="B251" s="62"/>
      <c r="C251" s="18" t="s">
        <v>313</v>
      </c>
      <c r="D251" s="18" t="s">
        <v>720</v>
      </c>
      <c r="E251" s="19">
        <v>45590</v>
      </c>
    </row>
    <row r="252" spans="1:5">
      <c r="A252" s="61" t="s">
        <v>721</v>
      </c>
      <c r="B252" s="62"/>
      <c r="C252" s="18" t="s">
        <v>313</v>
      </c>
      <c r="D252" s="18" t="s">
        <v>722</v>
      </c>
      <c r="E252" s="19">
        <v>45590</v>
      </c>
    </row>
    <row r="253" spans="1:5">
      <c r="A253" s="61" t="s">
        <v>723</v>
      </c>
      <c r="B253" s="62"/>
      <c r="C253" s="18" t="s">
        <v>313</v>
      </c>
      <c r="D253" s="18" t="s">
        <v>724</v>
      </c>
      <c r="E253" s="19">
        <v>45590</v>
      </c>
    </row>
    <row r="254" spans="1:5">
      <c r="A254" s="61" t="s">
        <v>725</v>
      </c>
      <c r="B254" s="62"/>
      <c r="C254" s="18" t="s">
        <v>313</v>
      </c>
      <c r="D254" s="18" t="s">
        <v>726</v>
      </c>
      <c r="E254" s="19">
        <v>45590</v>
      </c>
    </row>
    <row r="255" spans="1:5">
      <c r="A255" s="61" t="s">
        <v>717</v>
      </c>
      <c r="B255" s="62"/>
      <c r="C255" s="18" t="s">
        <v>313</v>
      </c>
      <c r="D255" s="18" t="s">
        <v>727</v>
      </c>
      <c r="E255" s="19">
        <v>45590</v>
      </c>
    </row>
    <row r="256" spans="1:5">
      <c r="A256" s="61" t="s">
        <v>728</v>
      </c>
      <c r="B256" s="62"/>
      <c r="C256" s="18" t="s">
        <v>313</v>
      </c>
      <c r="D256" s="18" t="s">
        <v>729</v>
      </c>
      <c r="E256" s="19">
        <v>45590</v>
      </c>
    </row>
    <row r="257" spans="1:5">
      <c r="A257" s="61" t="s">
        <v>728</v>
      </c>
      <c r="B257" s="62"/>
      <c r="C257" s="18" t="s">
        <v>313</v>
      </c>
      <c r="D257" s="18" t="s">
        <v>730</v>
      </c>
      <c r="E257" s="19">
        <v>45590</v>
      </c>
    </row>
    <row r="258" spans="1:5">
      <c r="A258" s="61" t="s">
        <v>731</v>
      </c>
      <c r="B258" s="62"/>
      <c r="C258" s="18" t="s">
        <v>313</v>
      </c>
      <c r="D258" s="18" t="s">
        <v>732</v>
      </c>
      <c r="E258" s="19">
        <v>45590</v>
      </c>
    </row>
    <row r="259" spans="1:5">
      <c r="A259" s="61" t="s">
        <v>721</v>
      </c>
      <c r="B259" s="62"/>
      <c r="C259" s="18" t="s">
        <v>313</v>
      </c>
      <c r="D259" s="18" t="s">
        <v>733</v>
      </c>
      <c r="E259" s="19">
        <v>45590</v>
      </c>
    </row>
    <row r="260" spans="1:5">
      <c r="A260" s="61" t="s">
        <v>734</v>
      </c>
      <c r="B260" s="62"/>
      <c r="C260" s="18" t="s">
        <v>313</v>
      </c>
      <c r="D260" s="18" t="s">
        <v>735</v>
      </c>
      <c r="E260" s="19">
        <v>45590</v>
      </c>
    </row>
    <row r="261" spans="1:5">
      <c r="A261" s="61" t="s">
        <v>736</v>
      </c>
      <c r="B261" s="62"/>
      <c r="C261" s="18" t="s">
        <v>313</v>
      </c>
      <c r="D261" s="18" t="s">
        <v>735</v>
      </c>
      <c r="E261" s="19">
        <v>45590</v>
      </c>
    </row>
    <row r="262" spans="1:5">
      <c r="A262" s="61" t="s">
        <v>737</v>
      </c>
      <c r="B262" s="62"/>
      <c r="C262" s="18" t="s">
        <v>313</v>
      </c>
      <c r="D262" s="18" t="s">
        <v>738</v>
      </c>
      <c r="E262" s="19">
        <v>45590</v>
      </c>
    </row>
    <row r="263" spans="1:5">
      <c r="A263" s="61" t="s">
        <v>739</v>
      </c>
      <c r="B263" s="62"/>
      <c r="C263" s="18" t="s">
        <v>313</v>
      </c>
      <c r="D263" s="18" t="s">
        <v>740</v>
      </c>
      <c r="E263" s="19">
        <v>45590</v>
      </c>
    </row>
    <row r="264" spans="1:5">
      <c r="A264" s="61" t="s">
        <v>721</v>
      </c>
      <c r="B264" s="62"/>
      <c r="C264" s="18" t="s">
        <v>313</v>
      </c>
      <c r="D264" s="18" t="s">
        <v>741</v>
      </c>
      <c r="E264" s="19">
        <v>45590</v>
      </c>
    </row>
    <row r="265" spans="1:5">
      <c r="A265" s="61" t="s">
        <v>742</v>
      </c>
      <c r="B265" s="62"/>
      <c r="C265" s="18" t="s">
        <v>313</v>
      </c>
      <c r="D265" s="18" t="s">
        <v>743</v>
      </c>
      <c r="E265" s="19">
        <v>45590</v>
      </c>
    </row>
    <row r="266" spans="1:5">
      <c r="A266" s="61" t="s">
        <v>744</v>
      </c>
      <c r="B266" s="62"/>
      <c r="C266" s="18" t="s">
        <v>320</v>
      </c>
      <c r="D266" s="18" t="s">
        <v>745</v>
      </c>
      <c r="E266" s="19">
        <v>45590</v>
      </c>
    </row>
    <row r="267" spans="1:5">
      <c r="A267" s="61" t="s">
        <v>746</v>
      </c>
      <c r="B267" s="62"/>
      <c r="C267" s="18" t="s">
        <v>320</v>
      </c>
      <c r="D267" s="18" t="s">
        <v>747</v>
      </c>
      <c r="E267" s="19">
        <v>45590</v>
      </c>
    </row>
    <row r="268" spans="1:5">
      <c r="A268" s="61" t="s">
        <v>748</v>
      </c>
      <c r="B268" s="62"/>
      <c r="C268" s="18" t="s">
        <v>320</v>
      </c>
      <c r="D268" s="18" t="s">
        <v>749</v>
      </c>
      <c r="E268" s="19">
        <v>45590</v>
      </c>
    </row>
    <row r="269" spans="1:5">
      <c r="A269" s="61" t="s">
        <v>750</v>
      </c>
      <c r="B269" s="62"/>
      <c r="C269" s="18" t="s">
        <v>320</v>
      </c>
      <c r="D269" s="18" t="s">
        <v>751</v>
      </c>
      <c r="E269" s="19">
        <v>45590</v>
      </c>
    </row>
    <row r="270" spans="1:5">
      <c r="A270" s="61" t="s">
        <v>752</v>
      </c>
      <c r="B270" s="62"/>
      <c r="C270" s="18" t="s">
        <v>320</v>
      </c>
      <c r="D270" s="18" t="s">
        <v>753</v>
      </c>
      <c r="E270" s="19">
        <v>45590</v>
      </c>
    </row>
    <row r="271" spans="1:5">
      <c r="A271" s="61" t="s">
        <v>754</v>
      </c>
      <c r="B271" s="62"/>
      <c r="C271" s="18" t="s">
        <v>320</v>
      </c>
      <c r="D271" s="18" t="s">
        <v>755</v>
      </c>
      <c r="E271" s="19">
        <v>45590</v>
      </c>
    </row>
    <row r="272" spans="1:5">
      <c r="A272" s="61" t="s">
        <v>756</v>
      </c>
      <c r="B272" s="62"/>
      <c r="C272" s="18" t="s">
        <v>320</v>
      </c>
      <c r="D272" s="18" t="s">
        <v>539</v>
      </c>
      <c r="E272" s="19">
        <v>45590</v>
      </c>
    </row>
    <row r="273" spans="1:5">
      <c r="A273" s="61" t="s">
        <v>757</v>
      </c>
      <c r="B273" s="62"/>
      <c r="C273" s="18" t="s">
        <v>320</v>
      </c>
      <c r="D273" s="18" t="s">
        <v>758</v>
      </c>
      <c r="E273" s="19">
        <v>45590</v>
      </c>
    </row>
    <row r="274" spans="1:5">
      <c r="A274" s="61" t="s">
        <v>759</v>
      </c>
      <c r="B274" s="62"/>
      <c r="C274" s="18" t="s">
        <v>320</v>
      </c>
      <c r="D274" s="18" t="s">
        <v>760</v>
      </c>
      <c r="E274" s="19">
        <v>45590</v>
      </c>
    </row>
    <row r="275" spans="1:5">
      <c r="A275" s="61" t="s">
        <v>761</v>
      </c>
      <c r="B275" s="62"/>
      <c r="C275" s="18" t="s">
        <v>320</v>
      </c>
      <c r="D275" s="18" t="s">
        <v>762</v>
      </c>
      <c r="E275" s="19">
        <v>45590</v>
      </c>
    </row>
    <row r="276" spans="1:5">
      <c r="A276" s="61" t="s">
        <v>763</v>
      </c>
      <c r="B276" s="62"/>
      <c r="C276" s="18" t="s">
        <v>320</v>
      </c>
      <c r="D276" s="18" t="s">
        <v>764</v>
      </c>
      <c r="E276" s="19">
        <v>45590</v>
      </c>
    </row>
    <row r="277" spans="1:5">
      <c r="A277" s="61" t="s">
        <v>765</v>
      </c>
      <c r="B277" s="62"/>
      <c r="C277" s="18" t="s">
        <v>320</v>
      </c>
      <c r="D277" s="18" t="s">
        <v>764</v>
      </c>
      <c r="E277" s="19">
        <v>45590</v>
      </c>
    </row>
    <row r="278" spans="1:5">
      <c r="A278" s="61" t="s">
        <v>766</v>
      </c>
      <c r="B278" s="62"/>
      <c r="C278" s="18" t="s">
        <v>320</v>
      </c>
      <c r="D278" s="18" t="s">
        <v>767</v>
      </c>
      <c r="E278" s="19">
        <v>45590</v>
      </c>
    </row>
    <row r="279" spans="1:5">
      <c r="A279" s="61" t="s">
        <v>768</v>
      </c>
      <c r="B279" s="62"/>
      <c r="C279" s="18" t="s">
        <v>313</v>
      </c>
      <c r="D279" s="18" t="s">
        <v>769</v>
      </c>
      <c r="E279" s="19">
        <v>45590</v>
      </c>
    </row>
    <row r="280" spans="1:5">
      <c r="A280" s="61" t="s">
        <v>770</v>
      </c>
      <c r="B280" s="62"/>
      <c r="C280" s="18" t="s">
        <v>313</v>
      </c>
      <c r="D280" s="18" t="s">
        <v>771</v>
      </c>
      <c r="E280" s="19">
        <v>45590</v>
      </c>
    </row>
    <row r="281" spans="1:5">
      <c r="A281" s="61" t="s">
        <v>772</v>
      </c>
      <c r="B281" s="62"/>
      <c r="C281" s="18" t="s">
        <v>313</v>
      </c>
      <c r="D281" s="18" t="s">
        <v>773</v>
      </c>
      <c r="E281" s="19">
        <v>45590</v>
      </c>
    </row>
    <row r="282" spans="1:5">
      <c r="A282" s="61" t="s">
        <v>774</v>
      </c>
      <c r="B282" s="62"/>
      <c r="C282" s="18" t="s">
        <v>313</v>
      </c>
      <c r="D282" s="18" t="s">
        <v>775</v>
      </c>
      <c r="E282" s="19">
        <v>45590</v>
      </c>
    </row>
    <row r="283" spans="1:5">
      <c r="A283" s="61" t="s">
        <v>776</v>
      </c>
      <c r="B283" s="62"/>
      <c r="C283" s="18" t="s">
        <v>313</v>
      </c>
      <c r="D283" s="18" t="s">
        <v>777</v>
      </c>
      <c r="E283" s="19">
        <v>45590</v>
      </c>
    </row>
    <row r="284" spans="1:5">
      <c r="A284" s="61" t="s">
        <v>778</v>
      </c>
      <c r="B284" s="62"/>
      <c r="C284" s="18" t="s">
        <v>313</v>
      </c>
      <c r="D284" s="18" t="s">
        <v>537</v>
      </c>
      <c r="E284" s="19">
        <v>45590</v>
      </c>
    </row>
    <row r="285" spans="1:5">
      <c r="A285" s="61" t="s">
        <v>779</v>
      </c>
      <c r="B285" s="62"/>
      <c r="C285" s="18" t="s">
        <v>313</v>
      </c>
      <c r="D285" s="18" t="s">
        <v>537</v>
      </c>
      <c r="E285" s="19">
        <v>45590</v>
      </c>
    </row>
    <row r="286" spans="1:5">
      <c r="A286" s="61" t="s">
        <v>780</v>
      </c>
      <c r="B286" s="62"/>
      <c r="C286" s="18" t="s">
        <v>313</v>
      </c>
      <c r="D286" s="18" t="s">
        <v>781</v>
      </c>
      <c r="E286" s="19">
        <v>45590</v>
      </c>
    </row>
    <row r="287" spans="1:5">
      <c r="A287" s="61" t="s">
        <v>317</v>
      </c>
      <c r="B287" s="62"/>
      <c r="C287" s="18" t="s">
        <v>313</v>
      </c>
      <c r="D287" s="18" t="s">
        <v>318</v>
      </c>
      <c r="E287" s="19">
        <v>45590</v>
      </c>
    </row>
    <row r="288" spans="1:5">
      <c r="A288" s="61" t="s">
        <v>782</v>
      </c>
      <c r="B288" s="62"/>
      <c r="C288" s="18" t="s">
        <v>313</v>
      </c>
      <c r="D288" s="18" t="s">
        <v>783</v>
      </c>
      <c r="E288" s="19">
        <v>45590</v>
      </c>
    </row>
    <row r="289" spans="1:5">
      <c r="A289" s="61" t="s">
        <v>784</v>
      </c>
      <c r="B289" s="62"/>
      <c r="C289" s="18" t="s">
        <v>313</v>
      </c>
      <c r="D289" s="18" t="s">
        <v>785</v>
      </c>
      <c r="E289" s="19">
        <v>45590</v>
      </c>
    </row>
    <row r="290" spans="1:5">
      <c r="A290" s="61" t="s">
        <v>786</v>
      </c>
      <c r="B290" s="62"/>
      <c r="C290" s="18" t="s">
        <v>313</v>
      </c>
      <c r="D290" s="18" t="s">
        <v>787</v>
      </c>
      <c r="E290" s="19">
        <v>45590</v>
      </c>
    </row>
    <row r="291" spans="1:5">
      <c r="A291" s="61" t="s">
        <v>788</v>
      </c>
      <c r="B291" s="62"/>
      <c r="C291" s="18" t="s">
        <v>313</v>
      </c>
      <c r="D291" s="18" t="s">
        <v>788</v>
      </c>
      <c r="E291" s="19">
        <v>45590</v>
      </c>
    </row>
    <row r="292" spans="1:5">
      <c r="A292" s="61" t="s">
        <v>789</v>
      </c>
      <c r="B292" s="62"/>
      <c r="C292" s="18" t="s">
        <v>313</v>
      </c>
      <c r="D292" s="18" t="s">
        <v>790</v>
      </c>
      <c r="E292" s="19">
        <v>45590</v>
      </c>
    </row>
    <row r="293" spans="1:5">
      <c r="A293" s="61" t="s">
        <v>791</v>
      </c>
      <c r="B293" s="62"/>
      <c r="C293" s="18" t="s">
        <v>313</v>
      </c>
      <c r="D293" s="18" t="s">
        <v>792</v>
      </c>
      <c r="E293" s="19">
        <v>45590</v>
      </c>
    </row>
    <row r="294" spans="1:5">
      <c r="A294" s="61" t="s">
        <v>793</v>
      </c>
      <c r="B294" s="62"/>
      <c r="C294" s="18" t="s">
        <v>313</v>
      </c>
      <c r="D294" s="18" t="s">
        <v>794</v>
      </c>
      <c r="E294" s="19">
        <v>45590</v>
      </c>
    </row>
    <row r="295" spans="1:5">
      <c r="A295" s="61" t="s">
        <v>795</v>
      </c>
      <c r="B295" s="62"/>
      <c r="C295" s="18" t="s">
        <v>313</v>
      </c>
      <c r="D295" s="18" t="s">
        <v>796</v>
      </c>
      <c r="E295" s="19">
        <v>45590</v>
      </c>
    </row>
    <row r="296" spans="1:5">
      <c r="A296" s="61" t="s">
        <v>797</v>
      </c>
      <c r="B296" s="62"/>
      <c r="C296" s="18" t="s">
        <v>313</v>
      </c>
      <c r="D296" s="18" t="s">
        <v>798</v>
      </c>
      <c r="E296" s="19">
        <v>45590</v>
      </c>
    </row>
    <row r="297" spans="1:5">
      <c r="A297" s="61" t="s">
        <v>799</v>
      </c>
      <c r="B297" s="62"/>
      <c r="C297" s="18" t="s">
        <v>313</v>
      </c>
      <c r="D297" s="18" t="s">
        <v>800</v>
      </c>
      <c r="E297" s="19">
        <v>45590</v>
      </c>
    </row>
    <row r="298" spans="1:5">
      <c r="A298" s="61" t="s">
        <v>799</v>
      </c>
      <c r="B298" s="62"/>
      <c r="C298" s="18" t="s">
        <v>313</v>
      </c>
      <c r="D298" s="18" t="s">
        <v>800</v>
      </c>
      <c r="E298" s="19">
        <v>45590</v>
      </c>
    </row>
    <row r="299" spans="1:5">
      <c r="A299" s="61" t="s">
        <v>801</v>
      </c>
      <c r="B299" s="62"/>
      <c r="C299" s="18" t="s">
        <v>313</v>
      </c>
      <c r="D299" s="18" t="s">
        <v>802</v>
      </c>
      <c r="E299" s="19">
        <v>45590</v>
      </c>
    </row>
    <row r="300" spans="1:5">
      <c r="A300" s="61" t="s">
        <v>803</v>
      </c>
      <c r="B300" s="62"/>
      <c r="C300" s="18" t="s">
        <v>313</v>
      </c>
      <c r="D300" s="18" t="s">
        <v>804</v>
      </c>
      <c r="E300" s="19">
        <v>45590</v>
      </c>
    </row>
    <row r="301" spans="1:5">
      <c r="A301" s="61" t="s">
        <v>805</v>
      </c>
      <c r="B301" s="62"/>
      <c r="C301" s="18" t="s">
        <v>320</v>
      </c>
      <c r="D301" s="18" t="s">
        <v>806</v>
      </c>
      <c r="E301" s="19">
        <v>45590</v>
      </c>
    </row>
    <row r="302" spans="1:5">
      <c r="A302" s="61" t="s">
        <v>807</v>
      </c>
      <c r="B302" s="62"/>
      <c r="C302" s="18" t="s">
        <v>320</v>
      </c>
      <c r="D302" s="18" t="s">
        <v>808</v>
      </c>
      <c r="E302" s="19">
        <v>45590</v>
      </c>
    </row>
    <row r="303" spans="1:5">
      <c r="A303" s="61" t="s">
        <v>809</v>
      </c>
      <c r="B303" s="62"/>
      <c r="C303" s="18" t="s">
        <v>320</v>
      </c>
      <c r="D303" s="18" t="s">
        <v>810</v>
      </c>
      <c r="E303" s="19">
        <v>45590</v>
      </c>
    </row>
    <row r="304" spans="1:5">
      <c r="A304" s="61" t="s">
        <v>811</v>
      </c>
      <c r="B304" s="62"/>
      <c r="C304" s="18" t="s">
        <v>320</v>
      </c>
      <c r="D304" s="18" t="s">
        <v>165</v>
      </c>
      <c r="E304" s="19">
        <v>45590</v>
      </c>
    </row>
    <row r="305" spans="1:5">
      <c r="A305" s="61" t="s">
        <v>812</v>
      </c>
      <c r="B305" s="62"/>
      <c r="C305" s="18" t="s">
        <v>441</v>
      </c>
      <c r="D305" s="18" t="s">
        <v>812</v>
      </c>
      <c r="E305" s="19">
        <v>45590</v>
      </c>
    </row>
    <row r="306" spans="1:5">
      <c r="A306" s="61" t="s">
        <v>813</v>
      </c>
      <c r="B306" s="62"/>
      <c r="C306" s="18" t="s">
        <v>441</v>
      </c>
      <c r="D306" s="18" t="s">
        <v>814</v>
      </c>
      <c r="E306" s="19">
        <v>45590</v>
      </c>
    </row>
    <row r="307" spans="1:5">
      <c r="A307" s="61" t="s">
        <v>815</v>
      </c>
      <c r="B307" s="62"/>
      <c r="C307" s="18" t="s">
        <v>441</v>
      </c>
      <c r="D307" s="18" t="s">
        <v>816</v>
      </c>
      <c r="E307" s="19">
        <v>45590</v>
      </c>
    </row>
    <row r="308" spans="1:5">
      <c r="A308" s="61" t="s">
        <v>817</v>
      </c>
      <c r="B308" s="62"/>
      <c r="C308" s="18" t="s">
        <v>441</v>
      </c>
      <c r="D308" s="18" t="s">
        <v>818</v>
      </c>
      <c r="E308" s="19">
        <v>45590</v>
      </c>
    </row>
    <row r="309" spans="1:5">
      <c r="A309" s="61" t="s">
        <v>819</v>
      </c>
      <c r="B309" s="62"/>
      <c r="C309" s="18" t="s">
        <v>441</v>
      </c>
      <c r="D309" s="18" t="s">
        <v>820</v>
      </c>
      <c r="E309" s="19">
        <v>45590</v>
      </c>
    </row>
    <row r="310" spans="1:5">
      <c r="A310" s="61" t="s">
        <v>821</v>
      </c>
      <c r="B310" s="62"/>
      <c r="C310" s="18" t="s">
        <v>441</v>
      </c>
      <c r="D310" s="18" t="s">
        <v>822</v>
      </c>
      <c r="E310" s="19">
        <v>45590</v>
      </c>
    </row>
    <row r="311" spans="1:5">
      <c r="A311" s="61" t="s">
        <v>823</v>
      </c>
      <c r="B311" s="62"/>
      <c r="C311" s="18" t="s">
        <v>441</v>
      </c>
      <c r="D311" s="18" t="s">
        <v>824</v>
      </c>
      <c r="E311" s="19">
        <v>45590</v>
      </c>
    </row>
    <row r="312" spans="1:5">
      <c r="A312" s="61" t="s">
        <v>825</v>
      </c>
      <c r="B312" s="62"/>
      <c r="C312" s="18" t="s">
        <v>441</v>
      </c>
      <c r="D312" s="18" t="s">
        <v>825</v>
      </c>
      <c r="E312" s="19">
        <v>45590</v>
      </c>
    </row>
    <row r="313" spans="1:5">
      <c r="A313" s="61" t="s">
        <v>826</v>
      </c>
      <c r="B313" s="62"/>
      <c r="C313" s="18" t="s">
        <v>441</v>
      </c>
      <c r="D313" s="18" t="s">
        <v>827</v>
      </c>
      <c r="E313" s="19">
        <v>45590</v>
      </c>
    </row>
    <row r="314" spans="1:5">
      <c r="A314" s="61" t="s">
        <v>828</v>
      </c>
      <c r="B314" s="62"/>
      <c r="C314" s="18" t="s">
        <v>441</v>
      </c>
      <c r="D314" s="18" t="s">
        <v>829</v>
      </c>
      <c r="E314" s="19">
        <v>45590</v>
      </c>
    </row>
    <row r="315" spans="1:5">
      <c r="A315" s="61" t="s">
        <v>830</v>
      </c>
      <c r="B315" s="62"/>
      <c r="C315" s="18" t="s">
        <v>441</v>
      </c>
      <c r="D315" s="18" t="s">
        <v>830</v>
      </c>
      <c r="E315" s="19">
        <v>45590</v>
      </c>
    </row>
    <row r="316" spans="1:5">
      <c r="A316" s="61" t="s">
        <v>831</v>
      </c>
      <c r="B316" s="62"/>
      <c r="C316" s="18" t="s">
        <v>441</v>
      </c>
      <c r="D316" s="18" t="s">
        <v>831</v>
      </c>
      <c r="E316" s="19">
        <v>45590</v>
      </c>
    </row>
    <row r="317" spans="1:5">
      <c r="A317" s="61" t="s">
        <v>832</v>
      </c>
      <c r="B317" s="62"/>
      <c r="C317" s="18" t="s">
        <v>441</v>
      </c>
      <c r="D317" s="18" t="s">
        <v>832</v>
      </c>
      <c r="E317" s="19">
        <v>45590</v>
      </c>
    </row>
    <row r="318" spans="1:5">
      <c r="A318" s="61" t="s">
        <v>833</v>
      </c>
      <c r="B318" s="62"/>
      <c r="C318" s="18" t="s">
        <v>441</v>
      </c>
      <c r="D318" s="18" t="s">
        <v>834</v>
      </c>
      <c r="E318" s="19">
        <v>45590</v>
      </c>
    </row>
    <row r="319" spans="1:5">
      <c r="A319" s="61" t="s">
        <v>835</v>
      </c>
      <c r="B319" s="62"/>
      <c r="C319" s="18" t="s">
        <v>441</v>
      </c>
      <c r="D319" s="18" t="s">
        <v>836</v>
      </c>
      <c r="E319" s="19">
        <v>45590</v>
      </c>
    </row>
    <row r="320" spans="1:5">
      <c r="A320" s="61" t="s">
        <v>837</v>
      </c>
      <c r="B320" s="62"/>
      <c r="C320" s="18" t="s">
        <v>441</v>
      </c>
      <c r="D320" s="18" t="s">
        <v>837</v>
      </c>
      <c r="E320" s="19">
        <v>45590</v>
      </c>
    </row>
    <row r="321" spans="1:5">
      <c r="A321" s="61" t="s">
        <v>838</v>
      </c>
      <c r="B321" s="62"/>
      <c r="C321" s="18" t="s">
        <v>441</v>
      </c>
      <c r="D321" s="18" t="s">
        <v>838</v>
      </c>
      <c r="E321" s="19">
        <v>45590</v>
      </c>
    </row>
    <row r="322" spans="1:5">
      <c r="A322" s="61" t="s">
        <v>839</v>
      </c>
      <c r="B322" s="62"/>
      <c r="C322" s="18" t="s">
        <v>441</v>
      </c>
      <c r="D322" s="18" t="s">
        <v>839</v>
      </c>
      <c r="E322" s="19">
        <v>45590</v>
      </c>
    </row>
    <row r="323" spans="1:5">
      <c r="A323" s="61" t="s">
        <v>840</v>
      </c>
      <c r="B323" s="62"/>
      <c r="C323" s="18" t="s">
        <v>441</v>
      </c>
      <c r="D323" s="18" t="s">
        <v>840</v>
      </c>
      <c r="E323" s="19">
        <v>45590</v>
      </c>
    </row>
    <row r="324" spans="1:5">
      <c r="A324" s="61" t="s">
        <v>841</v>
      </c>
      <c r="B324" s="62"/>
      <c r="C324" s="18" t="s">
        <v>441</v>
      </c>
      <c r="D324" s="18" t="s">
        <v>841</v>
      </c>
      <c r="E324" s="19">
        <v>45590</v>
      </c>
    </row>
    <row r="325" spans="1:5">
      <c r="A325" s="61" t="s">
        <v>842</v>
      </c>
      <c r="B325" s="62"/>
      <c r="C325" s="18" t="s">
        <v>441</v>
      </c>
      <c r="D325" s="18" t="s">
        <v>843</v>
      </c>
      <c r="E325" s="19">
        <v>45590</v>
      </c>
    </row>
    <row r="326" spans="1:5">
      <c r="A326" s="61" t="s">
        <v>844</v>
      </c>
      <c r="B326" s="62"/>
      <c r="C326" s="18" t="s">
        <v>441</v>
      </c>
      <c r="D326" s="18" t="s">
        <v>845</v>
      </c>
      <c r="E326" s="19">
        <v>45590</v>
      </c>
    </row>
    <row r="327" spans="1:5">
      <c r="A327" s="61" t="s">
        <v>846</v>
      </c>
      <c r="B327" s="62"/>
      <c r="C327" s="18" t="s">
        <v>441</v>
      </c>
      <c r="D327" s="18" t="s">
        <v>846</v>
      </c>
      <c r="E327" s="19">
        <v>45590</v>
      </c>
    </row>
    <row r="328" spans="1:5">
      <c r="A328" s="61" t="s">
        <v>847</v>
      </c>
      <c r="B328" s="62"/>
      <c r="C328" s="18" t="s">
        <v>441</v>
      </c>
      <c r="D328" s="18" t="s">
        <v>847</v>
      </c>
      <c r="E328" s="19">
        <v>45590</v>
      </c>
    </row>
    <row r="329" spans="1:5">
      <c r="A329" s="61" t="s">
        <v>848</v>
      </c>
      <c r="B329" s="62"/>
      <c r="C329" s="18" t="s">
        <v>441</v>
      </c>
      <c r="D329" s="18" t="s">
        <v>848</v>
      </c>
      <c r="E329" s="19">
        <v>45590</v>
      </c>
    </row>
    <row r="330" spans="1:5">
      <c r="A330" s="61" t="s">
        <v>849</v>
      </c>
      <c r="B330" s="62"/>
      <c r="C330" s="18" t="s">
        <v>441</v>
      </c>
      <c r="D330" s="18" t="s">
        <v>849</v>
      </c>
      <c r="E330" s="19">
        <v>45590</v>
      </c>
    </row>
    <row r="331" spans="1:5">
      <c r="A331" s="61" t="s">
        <v>850</v>
      </c>
      <c r="B331" s="62"/>
      <c r="C331" s="18" t="s">
        <v>441</v>
      </c>
      <c r="D331" s="18" t="s">
        <v>850</v>
      </c>
      <c r="E331" s="19">
        <v>45590</v>
      </c>
    </row>
    <row r="332" spans="1:5">
      <c r="A332" s="61" t="s">
        <v>851</v>
      </c>
      <c r="B332" s="62"/>
      <c r="C332" s="18" t="s">
        <v>441</v>
      </c>
      <c r="D332" s="18" t="s">
        <v>851</v>
      </c>
      <c r="E332" s="19">
        <v>45590</v>
      </c>
    </row>
    <row r="333" spans="1:5">
      <c r="A333" s="61" t="s">
        <v>852</v>
      </c>
      <c r="B333" s="62"/>
      <c r="C333" s="18" t="s">
        <v>441</v>
      </c>
      <c r="D333" s="18" t="s">
        <v>853</v>
      </c>
      <c r="E333" s="19">
        <v>45590</v>
      </c>
    </row>
    <row r="334" spans="1:5">
      <c r="A334" s="61" t="s">
        <v>854</v>
      </c>
      <c r="B334" s="62"/>
      <c r="C334" s="18" t="s">
        <v>441</v>
      </c>
      <c r="D334" s="18" t="s">
        <v>854</v>
      </c>
      <c r="E334" s="19">
        <v>45590</v>
      </c>
    </row>
    <row r="335" spans="1:5">
      <c r="A335" s="61" t="s">
        <v>855</v>
      </c>
      <c r="B335" s="62"/>
      <c r="C335" s="18" t="s">
        <v>441</v>
      </c>
      <c r="D335" s="18" t="s">
        <v>855</v>
      </c>
      <c r="E335" s="19">
        <v>45590</v>
      </c>
    </row>
    <row r="336" spans="1:5">
      <c r="A336" s="61" t="s">
        <v>856</v>
      </c>
      <c r="B336" s="62"/>
      <c r="C336" s="18" t="s">
        <v>441</v>
      </c>
      <c r="D336" s="18" t="s">
        <v>856</v>
      </c>
      <c r="E336" s="19">
        <v>45590</v>
      </c>
    </row>
    <row r="337" spans="1:5">
      <c r="A337" s="61" t="s">
        <v>857</v>
      </c>
      <c r="B337" s="62"/>
      <c r="C337" s="18" t="s">
        <v>441</v>
      </c>
      <c r="D337" s="18" t="s">
        <v>857</v>
      </c>
      <c r="E337" s="19">
        <v>45590</v>
      </c>
    </row>
    <row r="338" spans="1:5">
      <c r="A338" s="61" t="s">
        <v>858</v>
      </c>
      <c r="B338" s="62"/>
      <c r="C338" s="18" t="s">
        <v>441</v>
      </c>
      <c r="D338" s="18" t="s">
        <v>859</v>
      </c>
      <c r="E338" s="19">
        <v>45590</v>
      </c>
    </row>
    <row r="339" spans="1:5">
      <c r="A339" s="61" t="s">
        <v>860</v>
      </c>
      <c r="B339" s="62"/>
      <c r="C339" s="18" t="s">
        <v>441</v>
      </c>
      <c r="D339" s="18" t="s">
        <v>860</v>
      </c>
      <c r="E339" s="19">
        <v>45590</v>
      </c>
    </row>
    <row r="340" spans="1:5">
      <c r="A340" s="61" t="s">
        <v>861</v>
      </c>
      <c r="B340" s="62"/>
      <c r="C340" s="18" t="s">
        <v>441</v>
      </c>
      <c r="D340" s="18" t="s">
        <v>862</v>
      </c>
      <c r="E340" s="19">
        <v>45590</v>
      </c>
    </row>
    <row r="341" spans="1:5">
      <c r="A341" s="61" t="s">
        <v>863</v>
      </c>
      <c r="B341" s="62"/>
      <c r="C341" s="18" t="s">
        <v>441</v>
      </c>
      <c r="D341" s="18" t="s">
        <v>864</v>
      </c>
      <c r="E341" s="19">
        <v>45590</v>
      </c>
    </row>
    <row r="342" spans="1:5">
      <c r="A342" s="61" t="s">
        <v>865</v>
      </c>
      <c r="B342" s="62"/>
      <c r="C342" s="18" t="s">
        <v>441</v>
      </c>
      <c r="D342" s="18" t="s">
        <v>865</v>
      </c>
      <c r="E342" s="19">
        <v>45590</v>
      </c>
    </row>
    <row r="343" spans="1:5">
      <c r="A343" s="61" t="s">
        <v>866</v>
      </c>
      <c r="B343" s="62"/>
      <c r="C343" s="18" t="s">
        <v>441</v>
      </c>
      <c r="D343" s="18" t="s">
        <v>866</v>
      </c>
      <c r="E343" s="19">
        <v>45590</v>
      </c>
    </row>
    <row r="344" spans="1:5">
      <c r="A344" s="61" t="s">
        <v>867</v>
      </c>
      <c r="B344" s="62"/>
      <c r="C344" s="18" t="s">
        <v>441</v>
      </c>
      <c r="D344" s="18" t="s">
        <v>868</v>
      </c>
      <c r="E344" s="19">
        <v>45590</v>
      </c>
    </row>
    <row r="345" spans="1:5">
      <c r="A345" s="61" t="s">
        <v>869</v>
      </c>
      <c r="B345" s="62"/>
      <c r="C345" s="18" t="s">
        <v>441</v>
      </c>
      <c r="D345" s="18" t="s">
        <v>870</v>
      </c>
      <c r="E345" s="19">
        <v>45590</v>
      </c>
    </row>
    <row r="346" spans="1:5">
      <c r="A346" s="61" t="s">
        <v>871</v>
      </c>
      <c r="B346" s="62"/>
      <c r="C346" s="18" t="s">
        <v>441</v>
      </c>
      <c r="D346" s="18" t="s">
        <v>872</v>
      </c>
      <c r="E346" s="19">
        <v>45590</v>
      </c>
    </row>
    <row r="347" spans="1:5">
      <c r="A347" s="61" t="s">
        <v>873</v>
      </c>
      <c r="B347" s="62"/>
      <c r="C347" s="18" t="s">
        <v>441</v>
      </c>
      <c r="D347" s="18" t="s">
        <v>873</v>
      </c>
      <c r="E347" s="19">
        <v>45590</v>
      </c>
    </row>
    <row r="348" spans="1:5">
      <c r="A348" s="61" t="s">
        <v>874</v>
      </c>
      <c r="B348" s="62"/>
      <c r="C348" s="18" t="s">
        <v>441</v>
      </c>
      <c r="D348" s="18" t="s">
        <v>874</v>
      </c>
      <c r="E348" s="19">
        <v>45590</v>
      </c>
    </row>
    <row r="349" spans="1:5">
      <c r="A349" s="61" t="s">
        <v>875</v>
      </c>
      <c r="B349" s="62"/>
      <c r="C349" s="18" t="s">
        <v>441</v>
      </c>
      <c r="D349" s="18" t="s">
        <v>875</v>
      </c>
      <c r="E349" s="19">
        <v>45590</v>
      </c>
    </row>
    <row r="350" spans="1:5">
      <c r="A350" s="61" t="s">
        <v>876</v>
      </c>
      <c r="B350" s="62"/>
      <c r="C350" s="18" t="s">
        <v>441</v>
      </c>
      <c r="D350" s="18" t="s">
        <v>876</v>
      </c>
      <c r="E350" s="19">
        <v>45590</v>
      </c>
    </row>
    <row r="351" spans="1:5">
      <c r="A351" s="61" t="s">
        <v>877</v>
      </c>
      <c r="B351" s="62"/>
      <c r="C351" s="18" t="s">
        <v>441</v>
      </c>
      <c r="D351" s="18" t="s">
        <v>877</v>
      </c>
      <c r="E351" s="19">
        <v>45590</v>
      </c>
    </row>
    <row r="352" spans="1:5">
      <c r="A352" s="61" t="s">
        <v>878</v>
      </c>
      <c r="B352" s="62"/>
      <c r="C352" s="18" t="s">
        <v>441</v>
      </c>
      <c r="D352" s="18" t="s">
        <v>878</v>
      </c>
      <c r="E352" s="19">
        <v>45590</v>
      </c>
    </row>
    <row r="353" spans="1:5">
      <c r="A353" s="61" t="s">
        <v>879</v>
      </c>
      <c r="B353" s="62"/>
      <c r="C353" s="18" t="s">
        <v>441</v>
      </c>
      <c r="D353" s="18" t="s">
        <v>880</v>
      </c>
      <c r="E353" s="19">
        <v>45590</v>
      </c>
    </row>
    <row r="354" spans="1:5">
      <c r="A354" s="61" t="s">
        <v>881</v>
      </c>
      <c r="B354" s="62"/>
      <c r="C354" s="18" t="s">
        <v>441</v>
      </c>
      <c r="D354" s="18" t="s">
        <v>882</v>
      </c>
      <c r="E354" s="19">
        <v>45590</v>
      </c>
    </row>
    <row r="355" spans="1:5">
      <c r="A355" s="61" t="s">
        <v>883</v>
      </c>
      <c r="B355" s="62"/>
      <c r="C355" s="18" t="s">
        <v>441</v>
      </c>
      <c r="D355" s="18" t="s">
        <v>883</v>
      </c>
      <c r="E355" s="19">
        <v>45590</v>
      </c>
    </row>
    <row r="356" spans="1:5">
      <c r="A356" s="61" t="s">
        <v>884</v>
      </c>
      <c r="B356" s="62"/>
      <c r="C356" s="18" t="s">
        <v>441</v>
      </c>
      <c r="D356" s="18" t="s">
        <v>885</v>
      </c>
      <c r="E356" s="19">
        <v>45590</v>
      </c>
    </row>
    <row r="357" spans="1:5">
      <c r="A357" s="61" t="s">
        <v>886</v>
      </c>
      <c r="B357" s="62"/>
      <c r="C357" s="18" t="s">
        <v>441</v>
      </c>
      <c r="D357" s="18" t="s">
        <v>886</v>
      </c>
      <c r="E357" s="19">
        <v>45590</v>
      </c>
    </row>
    <row r="358" spans="1:5">
      <c r="A358" s="61" t="s">
        <v>887</v>
      </c>
      <c r="B358" s="62"/>
      <c r="C358" s="18" t="s">
        <v>441</v>
      </c>
      <c r="D358" s="18" t="s">
        <v>888</v>
      </c>
      <c r="E358" s="19">
        <v>45590</v>
      </c>
    </row>
    <row r="359" spans="1:5">
      <c r="A359" s="61" t="s">
        <v>889</v>
      </c>
      <c r="B359" s="62"/>
      <c r="C359" s="18" t="s">
        <v>441</v>
      </c>
      <c r="D359" s="18" t="s">
        <v>890</v>
      </c>
      <c r="E359" s="19">
        <v>45590</v>
      </c>
    </row>
    <row r="360" spans="1:5">
      <c r="A360" s="61" t="s">
        <v>891</v>
      </c>
      <c r="B360" s="62"/>
      <c r="C360" s="18" t="s">
        <v>441</v>
      </c>
      <c r="D360" s="18" t="s">
        <v>891</v>
      </c>
      <c r="E360" s="19">
        <v>45590</v>
      </c>
    </row>
    <row r="361" spans="1:5">
      <c r="A361" s="61" t="s">
        <v>892</v>
      </c>
      <c r="B361" s="62"/>
      <c r="C361" s="18" t="s">
        <v>441</v>
      </c>
      <c r="D361" s="18" t="s">
        <v>892</v>
      </c>
      <c r="E361" s="19">
        <v>45590</v>
      </c>
    </row>
    <row r="362" spans="1:5">
      <c r="A362" s="61" t="s">
        <v>893</v>
      </c>
      <c r="B362" s="62"/>
      <c r="C362" s="18" t="s">
        <v>441</v>
      </c>
      <c r="D362" s="18" t="s">
        <v>893</v>
      </c>
      <c r="E362" s="19">
        <v>45590</v>
      </c>
    </row>
    <row r="363" spans="1:5">
      <c r="A363" s="61" t="s">
        <v>894</v>
      </c>
      <c r="B363" s="62"/>
      <c r="C363" s="18" t="s">
        <v>441</v>
      </c>
      <c r="D363" s="18" t="s">
        <v>894</v>
      </c>
      <c r="E363" s="19">
        <v>45590</v>
      </c>
    </row>
    <row r="364" spans="1:5">
      <c r="A364" s="61" t="s">
        <v>895</v>
      </c>
      <c r="B364" s="62"/>
      <c r="C364" s="18" t="s">
        <v>441</v>
      </c>
      <c r="D364" s="18" t="s">
        <v>896</v>
      </c>
      <c r="E364" s="19">
        <v>45590</v>
      </c>
    </row>
    <row r="365" spans="1:5">
      <c r="A365" s="61" t="s">
        <v>897</v>
      </c>
      <c r="B365" s="62"/>
      <c r="C365" s="18" t="s">
        <v>441</v>
      </c>
      <c r="D365" s="18" t="s">
        <v>897</v>
      </c>
      <c r="E365" s="19">
        <v>45590</v>
      </c>
    </row>
    <row r="366" spans="1:5">
      <c r="A366" s="61" t="s">
        <v>898</v>
      </c>
      <c r="B366" s="62"/>
      <c r="C366" s="18" t="s">
        <v>441</v>
      </c>
      <c r="D366" s="18" t="s">
        <v>898</v>
      </c>
      <c r="E366" s="19">
        <v>45590</v>
      </c>
    </row>
    <row r="367" spans="1:5">
      <c r="A367" s="61" t="s">
        <v>899</v>
      </c>
      <c r="B367" s="62"/>
      <c r="C367" s="18" t="s">
        <v>441</v>
      </c>
      <c r="D367" s="18" t="s">
        <v>899</v>
      </c>
      <c r="E367" s="19">
        <v>45590</v>
      </c>
    </row>
    <row r="368" spans="1:5">
      <c r="A368" s="61" t="s">
        <v>900</v>
      </c>
      <c r="B368" s="62"/>
      <c r="C368" s="18" t="s">
        <v>441</v>
      </c>
      <c r="D368" s="18" t="s">
        <v>900</v>
      </c>
      <c r="E368" s="19">
        <v>45590</v>
      </c>
    </row>
    <row r="369" spans="1:5">
      <c r="A369" s="61" t="s">
        <v>901</v>
      </c>
      <c r="B369" s="62"/>
      <c r="C369" s="18" t="s">
        <v>441</v>
      </c>
      <c r="D369" s="18" t="s">
        <v>901</v>
      </c>
      <c r="E369" s="19">
        <v>45590</v>
      </c>
    </row>
    <row r="370" spans="1:5">
      <c r="A370" s="61" t="s">
        <v>902</v>
      </c>
      <c r="B370" s="62"/>
      <c r="C370" s="18" t="s">
        <v>441</v>
      </c>
      <c r="D370" s="18" t="s">
        <v>902</v>
      </c>
      <c r="E370" s="19">
        <v>45590</v>
      </c>
    </row>
    <row r="371" spans="1:5">
      <c r="A371" s="61" t="s">
        <v>903</v>
      </c>
      <c r="B371" s="62"/>
      <c r="C371" s="18" t="s">
        <v>441</v>
      </c>
      <c r="D371" s="18" t="s">
        <v>904</v>
      </c>
      <c r="E371" s="19">
        <v>45590</v>
      </c>
    </row>
    <row r="372" spans="1:5">
      <c r="A372" s="61" t="s">
        <v>905</v>
      </c>
      <c r="B372" s="62"/>
      <c r="C372" s="18" t="s">
        <v>441</v>
      </c>
      <c r="D372" s="18" t="s">
        <v>905</v>
      </c>
      <c r="E372" s="19">
        <v>45590</v>
      </c>
    </row>
    <row r="373" spans="1:5">
      <c r="A373" s="61" t="s">
        <v>906</v>
      </c>
      <c r="B373" s="62"/>
      <c r="C373" s="18" t="s">
        <v>441</v>
      </c>
      <c r="D373" s="18" t="s">
        <v>907</v>
      </c>
      <c r="E373" s="19">
        <v>45590</v>
      </c>
    </row>
    <row r="374" spans="1:5">
      <c r="A374" s="61" t="s">
        <v>908</v>
      </c>
      <c r="B374" s="62"/>
      <c r="C374" s="18" t="s">
        <v>441</v>
      </c>
      <c r="D374" s="18" t="s">
        <v>909</v>
      </c>
      <c r="E374" s="19">
        <v>45590</v>
      </c>
    </row>
    <row r="375" spans="1:5">
      <c r="A375" s="61" t="s">
        <v>910</v>
      </c>
      <c r="B375" s="62"/>
      <c r="C375" s="18" t="s">
        <v>441</v>
      </c>
      <c r="D375" s="18" t="s">
        <v>910</v>
      </c>
      <c r="E375" s="19">
        <v>45590</v>
      </c>
    </row>
    <row r="376" spans="1:5">
      <c r="A376" s="61" t="s">
        <v>911</v>
      </c>
      <c r="B376" s="62"/>
      <c r="C376" s="18" t="s">
        <v>441</v>
      </c>
      <c r="D376" s="18" t="s">
        <v>911</v>
      </c>
      <c r="E376" s="19">
        <v>45590</v>
      </c>
    </row>
    <row r="377" spans="1:5">
      <c r="A377" s="61" t="s">
        <v>912</v>
      </c>
      <c r="B377" s="62"/>
      <c r="C377" s="18" t="s">
        <v>320</v>
      </c>
      <c r="D377" s="18" t="s">
        <v>913</v>
      </c>
      <c r="E377" s="19">
        <v>45590</v>
      </c>
    </row>
    <row r="378" spans="1:5">
      <c r="A378" s="61" t="s">
        <v>914</v>
      </c>
      <c r="B378" s="62"/>
      <c r="C378" s="18" t="s">
        <v>320</v>
      </c>
      <c r="D378" s="18" t="s">
        <v>915</v>
      </c>
      <c r="E378" s="19">
        <v>45590</v>
      </c>
    </row>
    <row r="379" spans="1:5">
      <c r="A379" s="61" t="s">
        <v>916</v>
      </c>
      <c r="B379" s="62"/>
      <c r="C379" s="18" t="s">
        <v>441</v>
      </c>
      <c r="D379" s="18" t="s">
        <v>917</v>
      </c>
      <c r="E379" s="19">
        <v>45590</v>
      </c>
    </row>
    <row r="380" spans="1:5">
      <c r="A380" s="61" t="s">
        <v>918</v>
      </c>
      <c r="B380" s="62"/>
      <c r="C380" s="18" t="s">
        <v>320</v>
      </c>
      <c r="D380" s="18" t="s">
        <v>919</v>
      </c>
      <c r="E380" s="19">
        <v>45590</v>
      </c>
    </row>
    <row r="381" spans="1:5">
      <c r="A381" s="61" t="s">
        <v>920</v>
      </c>
      <c r="B381" s="62"/>
      <c r="C381" s="18" t="s">
        <v>320</v>
      </c>
      <c r="D381" s="18" t="s">
        <v>919</v>
      </c>
      <c r="E381" s="19">
        <v>45590</v>
      </c>
    </row>
    <row r="382" spans="1:5">
      <c r="A382" s="61" t="s">
        <v>921</v>
      </c>
      <c r="B382" s="62"/>
      <c r="C382" s="18" t="s">
        <v>320</v>
      </c>
      <c r="D382" s="18" t="s">
        <v>922</v>
      </c>
      <c r="E382" s="19">
        <v>45590</v>
      </c>
    </row>
    <row r="383" spans="1:5">
      <c r="A383" s="61" t="s">
        <v>921</v>
      </c>
      <c r="B383" s="62"/>
      <c r="C383" s="18" t="s">
        <v>320</v>
      </c>
      <c r="D383" s="18" t="s">
        <v>923</v>
      </c>
      <c r="E383" s="19">
        <v>45590</v>
      </c>
    </row>
    <row r="384" spans="1:5">
      <c r="A384" s="61" t="s">
        <v>921</v>
      </c>
      <c r="B384" s="62"/>
      <c r="C384" s="18" t="s">
        <v>320</v>
      </c>
      <c r="D384" s="18" t="s">
        <v>924</v>
      </c>
      <c r="E384" s="19">
        <v>45590</v>
      </c>
    </row>
    <row r="385" spans="1:5">
      <c r="A385" s="61" t="s">
        <v>925</v>
      </c>
      <c r="B385" s="62"/>
      <c r="C385" s="18" t="s">
        <v>441</v>
      </c>
      <c r="D385" s="18" t="s">
        <v>926</v>
      </c>
      <c r="E385" s="19">
        <v>45590</v>
      </c>
    </row>
    <row r="386" spans="1:5">
      <c r="A386" s="61" t="s">
        <v>927</v>
      </c>
      <c r="B386" s="62"/>
      <c r="C386" s="18" t="s">
        <v>441</v>
      </c>
      <c r="D386" s="18" t="s">
        <v>928</v>
      </c>
      <c r="E386" s="19">
        <v>45590</v>
      </c>
    </row>
    <row r="387" spans="1:5">
      <c r="A387" s="61" t="s">
        <v>929</v>
      </c>
      <c r="B387" s="62"/>
      <c r="C387" s="18" t="s">
        <v>441</v>
      </c>
      <c r="D387" s="18" t="s">
        <v>930</v>
      </c>
      <c r="E387" s="19">
        <v>45590</v>
      </c>
    </row>
    <row r="388" spans="1:5">
      <c r="A388" s="61" t="s">
        <v>931</v>
      </c>
      <c r="B388" s="62"/>
      <c r="C388" s="18" t="s">
        <v>441</v>
      </c>
      <c r="D388" s="18" t="s">
        <v>931</v>
      </c>
      <c r="E388" s="19">
        <v>45590</v>
      </c>
    </row>
    <row r="389" spans="1:5">
      <c r="A389" s="61" t="s">
        <v>932</v>
      </c>
      <c r="B389" s="62"/>
      <c r="C389" s="18" t="s">
        <v>441</v>
      </c>
      <c r="D389" s="18" t="s">
        <v>933</v>
      </c>
      <c r="E389" s="19">
        <v>45590</v>
      </c>
    </row>
    <row r="390" spans="1:5">
      <c r="A390" s="61" t="s">
        <v>934</v>
      </c>
      <c r="B390" s="62"/>
      <c r="C390" s="18" t="s">
        <v>441</v>
      </c>
      <c r="D390" s="18" t="s">
        <v>935</v>
      </c>
      <c r="E390" s="19">
        <v>45590</v>
      </c>
    </row>
    <row r="391" spans="1:5">
      <c r="A391" s="61" t="s">
        <v>936</v>
      </c>
      <c r="B391" s="62"/>
      <c r="C391" s="18" t="s">
        <v>441</v>
      </c>
      <c r="D391" s="18" t="s">
        <v>937</v>
      </c>
      <c r="E391" s="19">
        <v>45590</v>
      </c>
    </row>
    <row r="392" spans="1:5">
      <c r="A392" s="61" t="s">
        <v>938</v>
      </c>
      <c r="B392" s="62"/>
      <c r="C392" s="18" t="s">
        <v>441</v>
      </c>
      <c r="D392" s="18" t="s">
        <v>939</v>
      </c>
      <c r="E392" s="19">
        <v>45590</v>
      </c>
    </row>
    <row r="393" spans="1:5">
      <c r="A393" s="61" t="s">
        <v>940</v>
      </c>
      <c r="B393" s="62"/>
      <c r="C393" s="18" t="s">
        <v>441</v>
      </c>
      <c r="D393" s="18" t="s">
        <v>941</v>
      </c>
      <c r="E393" s="19">
        <v>45590</v>
      </c>
    </row>
    <row r="394" spans="1:5">
      <c r="A394" s="61" t="s">
        <v>942</v>
      </c>
      <c r="B394" s="62"/>
      <c r="C394" s="18" t="s">
        <v>441</v>
      </c>
      <c r="D394" s="18" t="s">
        <v>943</v>
      </c>
      <c r="E394" s="19">
        <v>45590</v>
      </c>
    </row>
    <row r="395" spans="1:5">
      <c r="A395" s="61" t="s">
        <v>944</v>
      </c>
      <c r="B395" s="62"/>
      <c r="C395" s="18" t="s">
        <v>441</v>
      </c>
      <c r="D395" s="18" t="s">
        <v>944</v>
      </c>
      <c r="E395" s="19">
        <v>45590</v>
      </c>
    </row>
    <row r="396" spans="1:5">
      <c r="A396" s="61" t="s">
        <v>945</v>
      </c>
      <c r="B396" s="62"/>
      <c r="C396" s="18" t="s">
        <v>441</v>
      </c>
      <c r="D396" s="18" t="s">
        <v>945</v>
      </c>
      <c r="E396" s="19">
        <v>45590</v>
      </c>
    </row>
    <row r="397" spans="1:5">
      <c r="A397" s="61" t="s">
        <v>946</v>
      </c>
      <c r="B397" s="62"/>
      <c r="C397" s="18" t="s">
        <v>441</v>
      </c>
      <c r="D397" s="18" t="s">
        <v>947</v>
      </c>
      <c r="E397" s="19">
        <v>45590</v>
      </c>
    </row>
    <row r="398" spans="1:5">
      <c r="A398" s="61" t="s">
        <v>948</v>
      </c>
      <c r="B398" s="62"/>
      <c r="C398" s="18" t="s">
        <v>441</v>
      </c>
      <c r="D398" s="18" t="s">
        <v>949</v>
      </c>
      <c r="E398" s="19">
        <v>45590</v>
      </c>
    </row>
    <row r="399" spans="1:5">
      <c r="A399" s="61" t="s">
        <v>950</v>
      </c>
      <c r="B399" s="62"/>
      <c r="C399" s="18" t="s">
        <v>441</v>
      </c>
      <c r="D399" s="18" t="s">
        <v>951</v>
      </c>
      <c r="E399" s="19">
        <v>45590</v>
      </c>
    </row>
    <row r="400" spans="1:5">
      <c r="A400" s="61" t="s">
        <v>952</v>
      </c>
      <c r="B400" s="62"/>
      <c r="C400" s="18" t="s">
        <v>441</v>
      </c>
      <c r="D400" s="18" t="s">
        <v>953</v>
      </c>
      <c r="E400" s="19">
        <v>45590</v>
      </c>
    </row>
    <row r="401" spans="1:5">
      <c r="A401" s="61" t="s">
        <v>954</v>
      </c>
      <c r="B401" s="62"/>
      <c r="C401" s="18" t="s">
        <v>441</v>
      </c>
      <c r="D401" s="18" t="s">
        <v>955</v>
      </c>
      <c r="E401" s="19">
        <v>45590</v>
      </c>
    </row>
    <row r="402" spans="1:5">
      <c r="A402" s="61" t="s">
        <v>956</v>
      </c>
      <c r="B402" s="62"/>
      <c r="C402" s="18" t="s">
        <v>441</v>
      </c>
      <c r="D402" s="18" t="s">
        <v>957</v>
      </c>
      <c r="E402" s="19">
        <v>45590</v>
      </c>
    </row>
    <row r="403" spans="1:5">
      <c r="A403" s="61" t="s">
        <v>958</v>
      </c>
      <c r="B403" s="62"/>
      <c r="C403" s="18" t="s">
        <v>441</v>
      </c>
      <c r="D403" s="18" t="s">
        <v>958</v>
      </c>
      <c r="E403" s="19">
        <v>45590</v>
      </c>
    </row>
    <row r="404" spans="1:5">
      <c r="A404" s="61" t="s">
        <v>959</v>
      </c>
      <c r="B404" s="62"/>
      <c r="C404" s="18" t="s">
        <v>441</v>
      </c>
      <c r="D404" s="18" t="s">
        <v>960</v>
      </c>
      <c r="E404" s="19">
        <v>45590</v>
      </c>
    </row>
    <row r="405" spans="1:5">
      <c r="A405" s="61" t="s">
        <v>961</v>
      </c>
      <c r="B405" s="62"/>
      <c r="C405" s="18" t="s">
        <v>441</v>
      </c>
      <c r="D405" s="18" t="s">
        <v>962</v>
      </c>
      <c r="E405" s="19">
        <v>45590</v>
      </c>
    </row>
    <row r="406" spans="1:5">
      <c r="A406" s="61" t="s">
        <v>963</v>
      </c>
      <c r="B406" s="62"/>
      <c r="C406" s="18" t="s">
        <v>441</v>
      </c>
      <c r="D406" s="18" t="s">
        <v>964</v>
      </c>
      <c r="E406" s="19">
        <v>45590</v>
      </c>
    </row>
    <row r="407" spans="1:5">
      <c r="A407" s="61" t="s">
        <v>965</v>
      </c>
      <c r="B407" s="62"/>
      <c r="C407" s="18" t="s">
        <v>441</v>
      </c>
      <c r="D407" s="18" t="s">
        <v>965</v>
      </c>
      <c r="E407" s="19">
        <v>45590</v>
      </c>
    </row>
    <row r="408" spans="1:5">
      <c r="A408" s="61" t="s">
        <v>966</v>
      </c>
      <c r="B408" s="62"/>
      <c r="C408" s="18" t="s">
        <v>441</v>
      </c>
      <c r="D408" s="18" t="s">
        <v>967</v>
      </c>
      <c r="E408" s="19">
        <v>45590</v>
      </c>
    </row>
    <row r="409" spans="1:5">
      <c r="A409" s="61" t="s">
        <v>968</v>
      </c>
      <c r="B409" s="62"/>
      <c r="C409" s="18" t="s">
        <v>441</v>
      </c>
      <c r="D409" s="18" t="s">
        <v>968</v>
      </c>
      <c r="E409" s="19">
        <v>45590</v>
      </c>
    </row>
    <row r="410" spans="1:5">
      <c r="A410" s="61" t="s">
        <v>969</v>
      </c>
      <c r="B410" s="62"/>
      <c r="C410" s="18" t="s">
        <v>441</v>
      </c>
      <c r="D410" s="18" t="s">
        <v>969</v>
      </c>
      <c r="E410" s="19">
        <v>45590</v>
      </c>
    </row>
    <row r="411" spans="1:5">
      <c r="A411" s="61" t="s">
        <v>970</v>
      </c>
      <c r="B411" s="62"/>
      <c r="C411" s="18" t="s">
        <v>441</v>
      </c>
      <c r="D411" s="18" t="s">
        <v>970</v>
      </c>
      <c r="E411" s="19">
        <v>45590</v>
      </c>
    </row>
    <row r="412" spans="1:5">
      <c r="A412" s="61" t="s">
        <v>971</v>
      </c>
      <c r="B412" s="62"/>
      <c r="C412" s="18" t="s">
        <v>441</v>
      </c>
      <c r="D412" s="18" t="s">
        <v>971</v>
      </c>
      <c r="E412" s="19">
        <v>45590</v>
      </c>
    </row>
    <row r="413" spans="1:5">
      <c r="A413" s="61" t="s">
        <v>972</v>
      </c>
      <c r="B413" s="62"/>
      <c r="C413" s="18" t="s">
        <v>441</v>
      </c>
      <c r="D413" s="18" t="s">
        <v>973</v>
      </c>
      <c r="E413" s="19">
        <v>45590</v>
      </c>
    </row>
    <row r="414" spans="1:5">
      <c r="A414" s="61" t="s">
        <v>974</v>
      </c>
      <c r="B414" s="62"/>
      <c r="C414" s="18" t="s">
        <v>441</v>
      </c>
      <c r="D414" s="18" t="s">
        <v>974</v>
      </c>
      <c r="E414" s="19">
        <v>45590</v>
      </c>
    </row>
    <row r="415" spans="1:5">
      <c r="A415" s="61" t="s">
        <v>975</v>
      </c>
      <c r="B415" s="62"/>
      <c r="C415" s="18" t="s">
        <v>441</v>
      </c>
      <c r="D415" s="18" t="s">
        <v>976</v>
      </c>
      <c r="E415" s="19">
        <v>45590</v>
      </c>
    </row>
    <row r="416" spans="1:5">
      <c r="A416" s="61" t="s">
        <v>977</v>
      </c>
      <c r="B416" s="62"/>
      <c r="C416" s="18" t="s">
        <v>441</v>
      </c>
      <c r="D416" s="18" t="s">
        <v>977</v>
      </c>
      <c r="E416" s="19">
        <v>45590</v>
      </c>
    </row>
    <row r="417" spans="1:5">
      <c r="A417" s="61" t="s">
        <v>978</v>
      </c>
      <c r="B417" s="62"/>
      <c r="C417" s="18" t="s">
        <v>441</v>
      </c>
      <c r="D417" s="18" t="s">
        <v>979</v>
      </c>
      <c r="E417" s="19">
        <v>45590</v>
      </c>
    </row>
    <row r="418" spans="1:5">
      <c r="A418" s="61" t="s">
        <v>980</v>
      </c>
      <c r="B418" s="62"/>
      <c r="C418" s="18" t="s">
        <v>441</v>
      </c>
      <c r="D418" s="18" t="s">
        <v>981</v>
      </c>
      <c r="E418" s="19">
        <v>45590</v>
      </c>
    </row>
    <row r="419" spans="1:5">
      <c r="A419" s="61" t="s">
        <v>982</v>
      </c>
      <c r="B419" s="62"/>
      <c r="C419" s="18" t="s">
        <v>441</v>
      </c>
      <c r="D419" s="18" t="s">
        <v>982</v>
      </c>
      <c r="E419" s="19">
        <v>45590</v>
      </c>
    </row>
    <row r="420" spans="1:5">
      <c r="A420" s="61" t="s">
        <v>983</v>
      </c>
      <c r="B420" s="62"/>
      <c r="C420" s="18" t="s">
        <v>441</v>
      </c>
      <c r="D420" s="18" t="s">
        <v>983</v>
      </c>
      <c r="E420" s="19">
        <v>45590</v>
      </c>
    </row>
    <row r="421" spans="1:5">
      <c r="A421" s="61" t="s">
        <v>984</v>
      </c>
      <c r="B421" s="62"/>
      <c r="C421" s="18" t="s">
        <v>337</v>
      </c>
      <c r="D421" s="18" t="s">
        <v>985</v>
      </c>
      <c r="E421" s="19">
        <v>45593</v>
      </c>
    </row>
    <row r="422" spans="1:5">
      <c r="A422" s="61" t="s">
        <v>986</v>
      </c>
      <c r="B422" s="62"/>
      <c r="C422" s="18" t="s">
        <v>347</v>
      </c>
      <c r="D422" s="18" t="s">
        <v>987</v>
      </c>
      <c r="E422" s="19">
        <v>45593</v>
      </c>
    </row>
    <row r="423" spans="1:5">
      <c r="A423" s="61" t="s">
        <v>988</v>
      </c>
      <c r="B423" s="62"/>
      <c r="C423" s="18" t="s">
        <v>337</v>
      </c>
      <c r="D423" s="18" t="s">
        <v>989</v>
      </c>
      <c r="E423" s="19">
        <v>45593</v>
      </c>
    </row>
    <row r="424" spans="1:5">
      <c r="A424" s="61" t="s">
        <v>990</v>
      </c>
      <c r="B424" s="62"/>
      <c r="C424" s="18" t="s">
        <v>337</v>
      </c>
      <c r="D424" s="18" t="s">
        <v>991</v>
      </c>
      <c r="E424" s="19">
        <v>45593</v>
      </c>
    </row>
    <row r="425" spans="1:5">
      <c r="A425" s="61" t="s">
        <v>992</v>
      </c>
      <c r="B425" s="62"/>
      <c r="C425" s="18" t="s">
        <v>347</v>
      </c>
      <c r="D425" s="18" t="s">
        <v>993</v>
      </c>
      <c r="E425" s="19">
        <v>45593</v>
      </c>
    </row>
    <row r="426" spans="1:5">
      <c r="A426" s="61" t="s">
        <v>994</v>
      </c>
      <c r="B426" s="62"/>
      <c r="C426" s="18" t="s">
        <v>337</v>
      </c>
      <c r="D426" s="18" t="s">
        <v>995</v>
      </c>
      <c r="E426" s="19">
        <v>45593</v>
      </c>
    </row>
    <row r="427" spans="1:5">
      <c r="A427" s="61" t="s">
        <v>996</v>
      </c>
      <c r="B427" s="62"/>
      <c r="C427" s="18" t="s">
        <v>337</v>
      </c>
      <c r="D427" s="18" t="s">
        <v>997</v>
      </c>
      <c r="E427" s="19">
        <v>45593</v>
      </c>
    </row>
    <row r="428" spans="1:5">
      <c r="A428" s="61" t="s">
        <v>998</v>
      </c>
      <c r="B428" s="62"/>
      <c r="C428" s="18" t="s">
        <v>347</v>
      </c>
      <c r="D428" s="18" t="s">
        <v>999</v>
      </c>
      <c r="E428" s="19">
        <v>45593</v>
      </c>
    </row>
    <row r="429" spans="1:5">
      <c r="A429" s="61" t="s">
        <v>1000</v>
      </c>
      <c r="B429" s="62"/>
      <c r="C429" s="18" t="s">
        <v>337</v>
      </c>
      <c r="D429" s="18" t="s">
        <v>1001</v>
      </c>
      <c r="E429" s="19">
        <v>45593</v>
      </c>
    </row>
    <row r="430" spans="1:5">
      <c r="A430" s="61" t="s">
        <v>1002</v>
      </c>
      <c r="B430" s="62"/>
      <c r="C430" s="18" t="s">
        <v>337</v>
      </c>
      <c r="D430" s="18" t="s">
        <v>995</v>
      </c>
      <c r="E430" s="19">
        <v>45593</v>
      </c>
    </row>
    <row r="431" spans="1:5">
      <c r="A431" s="61" t="s">
        <v>1003</v>
      </c>
      <c r="B431" s="62"/>
      <c r="C431" s="18" t="s">
        <v>337</v>
      </c>
      <c r="D431" s="18" t="s">
        <v>1004</v>
      </c>
      <c r="E431" s="19">
        <v>45593</v>
      </c>
    </row>
    <row r="432" spans="1:5">
      <c r="A432" s="61" t="s">
        <v>1005</v>
      </c>
      <c r="B432" s="62"/>
      <c r="C432" s="18" t="s">
        <v>337</v>
      </c>
      <c r="D432" s="18" t="s">
        <v>1006</v>
      </c>
      <c r="E432" s="19">
        <v>45593</v>
      </c>
    </row>
    <row r="433" spans="1:5">
      <c r="A433" s="61" t="s">
        <v>1007</v>
      </c>
      <c r="B433" s="62"/>
      <c r="C433" s="18" t="s">
        <v>337</v>
      </c>
      <c r="D433" s="18" t="s">
        <v>1008</v>
      </c>
      <c r="E433" s="19">
        <v>45593</v>
      </c>
    </row>
    <row r="434" spans="1:5">
      <c r="A434" s="61" t="s">
        <v>1009</v>
      </c>
      <c r="B434" s="62"/>
      <c r="C434" s="18" t="s">
        <v>337</v>
      </c>
      <c r="D434" s="18" t="s">
        <v>1010</v>
      </c>
      <c r="E434" s="19">
        <v>45593</v>
      </c>
    </row>
    <row r="435" spans="1:5">
      <c r="A435" s="61" t="s">
        <v>1011</v>
      </c>
      <c r="B435" s="62"/>
      <c r="C435" s="18" t="s">
        <v>347</v>
      </c>
      <c r="D435" s="18" t="s">
        <v>1011</v>
      </c>
      <c r="E435" s="19">
        <v>45593</v>
      </c>
    </row>
    <row r="436" spans="1:5">
      <c r="A436" s="61" t="s">
        <v>1012</v>
      </c>
      <c r="B436" s="62"/>
      <c r="C436" s="18" t="s">
        <v>337</v>
      </c>
      <c r="D436" s="18" t="s">
        <v>1013</v>
      </c>
      <c r="E436" s="19">
        <v>45593</v>
      </c>
    </row>
    <row r="437" spans="1:5">
      <c r="A437" s="61" t="s">
        <v>1014</v>
      </c>
      <c r="B437" s="62"/>
      <c r="C437" s="18" t="s">
        <v>337</v>
      </c>
      <c r="D437" s="18" t="s">
        <v>1015</v>
      </c>
      <c r="E437" s="19">
        <v>45593</v>
      </c>
    </row>
    <row r="438" spans="1:5">
      <c r="A438" s="61" t="s">
        <v>1016</v>
      </c>
      <c r="B438" s="62"/>
      <c r="C438" s="18" t="s">
        <v>337</v>
      </c>
      <c r="D438" s="18" t="s">
        <v>995</v>
      </c>
      <c r="E438" s="19">
        <v>45593</v>
      </c>
    </row>
    <row r="439" spans="1:5">
      <c r="A439" s="61" t="s">
        <v>1012</v>
      </c>
      <c r="B439" s="62"/>
      <c r="C439" s="18" t="s">
        <v>337</v>
      </c>
      <c r="D439" s="18" t="s">
        <v>1013</v>
      </c>
      <c r="E439" s="19">
        <v>45593</v>
      </c>
    </row>
    <row r="440" spans="1:5">
      <c r="A440" s="61" t="s">
        <v>1017</v>
      </c>
      <c r="B440" s="62"/>
      <c r="C440" s="18" t="s">
        <v>337</v>
      </c>
      <c r="D440" s="18" t="s">
        <v>1018</v>
      </c>
      <c r="E440" s="19">
        <v>45593</v>
      </c>
    </row>
    <row r="441" spans="1:5">
      <c r="A441" s="61" t="s">
        <v>1019</v>
      </c>
      <c r="B441" s="62"/>
      <c r="C441" s="18" t="s">
        <v>337</v>
      </c>
      <c r="D441" s="18" t="s">
        <v>1020</v>
      </c>
      <c r="E441" s="19">
        <v>45593</v>
      </c>
    </row>
    <row r="442" spans="1:5">
      <c r="A442" s="61" t="s">
        <v>1021</v>
      </c>
      <c r="B442" s="62"/>
      <c r="C442" s="18" t="s">
        <v>337</v>
      </c>
      <c r="D442" s="18" t="s">
        <v>1022</v>
      </c>
      <c r="E442" s="19">
        <v>45593</v>
      </c>
    </row>
    <row r="443" spans="1:5">
      <c r="A443" s="61" t="s">
        <v>1023</v>
      </c>
      <c r="B443" s="62"/>
      <c r="C443" s="18" t="s">
        <v>337</v>
      </c>
      <c r="D443" s="18" t="s">
        <v>995</v>
      </c>
      <c r="E443" s="19">
        <v>45593</v>
      </c>
    </row>
    <row r="444" spans="1:5">
      <c r="A444" s="61" t="s">
        <v>1024</v>
      </c>
      <c r="B444" s="62"/>
      <c r="C444" s="18" t="s">
        <v>337</v>
      </c>
      <c r="D444" s="18" t="s">
        <v>1025</v>
      </c>
      <c r="E444" s="19">
        <v>45593</v>
      </c>
    </row>
    <row r="445" spans="1:5">
      <c r="A445" s="61" t="s">
        <v>1026</v>
      </c>
      <c r="B445" s="62"/>
      <c r="C445" s="18" t="s">
        <v>347</v>
      </c>
      <c r="D445" s="18" t="s">
        <v>1027</v>
      </c>
      <c r="E445" s="19">
        <v>45593</v>
      </c>
    </row>
    <row r="446" spans="1:5">
      <c r="A446" s="61" t="s">
        <v>1028</v>
      </c>
      <c r="B446" s="62"/>
      <c r="C446" s="18" t="s">
        <v>337</v>
      </c>
      <c r="D446" s="18" t="s">
        <v>1029</v>
      </c>
      <c r="E446" s="19">
        <v>45593</v>
      </c>
    </row>
    <row r="447" spans="1:5">
      <c r="A447" s="61" t="s">
        <v>1030</v>
      </c>
      <c r="B447" s="62"/>
      <c r="C447" s="18" t="s">
        <v>337</v>
      </c>
      <c r="D447" s="18" t="s">
        <v>1031</v>
      </c>
      <c r="E447" s="19">
        <v>45593</v>
      </c>
    </row>
    <row r="448" spans="1:5">
      <c r="A448" s="61" t="s">
        <v>1032</v>
      </c>
      <c r="B448" s="62"/>
      <c r="C448" s="18" t="s">
        <v>337</v>
      </c>
      <c r="D448" s="18" t="s">
        <v>1033</v>
      </c>
      <c r="E448" s="19">
        <v>45593</v>
      </c>
    </row>
    <row r="449" spans="1:5">
      <c r="A449" s="61" t="s">
        <v>1034</v>
      </c>
      <c r="B449" s="62"/>
      <c r="C449" s="18" t="s">
        <v>347</v>
      </c>
      <c r="D449" s="18" t="s">
        <v>1035</v>
      </c>
      <c r="E449" s="19">
        <v>45593</v>
      </c>
    </row>
    <row r="450" spans="1:5">
      <c r="A450" s="61" t="s">
        <v>1036</v>
      </c>
      <c r="B450" s="62"/>
      <c r="C450" s="18" t="s">
        <v>337</v>
      </c>
      <c r="D450" s="18" t="s">
        <v>1037</v>
      </c>
      <c r="E450" s="19">
        <v>45593</v>
      </c>
    </row>
    <row r="451" spans="1:5">
      <c r="A451" s="61" t="s">
        <v>1038</v>
      </c>
      <c r="B451" s="62"/>
      <c r="C451" s="18" t="s">
        <v>337</v>
      </c>
      <c r="D451" s="18" t="s">
        <v>1039</v>
      </c>
      <c r="E451" s="19">
        <v>45593</v>
      </c>
    </row>
    <row r="452" spans="1:5">
      <c r="A452" s="61" t="s">
        <v>1040</v>
      </c>
      <c r="B452" s="62"/>
      <c r="C452" s="18" t="s">
        <v>337</v>
      </c>
      <c r="D452" s="18" t="s">
        <v>1041</v>
      </c>
      <c r="E452" s="19">
        <v>45593</v>
      </c>
    </row>
    <row r="453" spans="1:5">
      <c r="A453" s="61" t="s">
        <v>1042</v>
      </c>
      <c r="B453" s="62"/>
      <c r="C453" s="18" t="s">
        <v>337</v>
      </c>
      <c r="D453" s="18" t="s">
        <v>1020</v>
      </c>
      <c r="E453" s="19">
        <v>45593</v>
      </c>
    </row>
    <row r="454" spans="1:5">
      <c r="A454" s="61" t="s">
        <v>1043</v>
      </c>
      <c r="B454" s="62"/>
      <c r="C454" s="18" t="s">
        <v>347</v>
      </c>
      <c r="D454" s="18" t="s">
        <v>1044</v>
      </c>
      <c r="E454" s="19">
        <v>45593</v>
      </c>
    </row>
    <row r="455" spans="1:5">
      <c r="A455" s="61" t="s">
        <v>1045</v>
      </c>
      <c r="B455" s="62"/>
      <c r="C455" s="18" t="s">
        <v>337</v>
      </c>
      <c r="D455" s="18" t="s">
        <v>342</v>
      </c>
      <c r="E455" s="19">
        <v>45593</v>
      </c>
    </row>
    <row r="456" spans="1:5">
      <c r="A456" s="61" t="s">
        <v>1046</v>
      </c>
      <c r="B456" s="62"/>
      <c r="C456" s="18" t="s">
        <v>337</v>
      </c>
      <c r="D456" s="18" t="s">
        <v>1047</v>
      </c>
      <c r="E456" s="19">
        <v>45593</v>
      </c>
    </row>
    <row r="457" spans="1:5">
      <c r="A457" s="61" t="s">
        <v>1048</v>
      </c>
      <c r="B457" s="62"/>
      <c r="C457" s="18" t="s">
        <v>337</v>
      </c>
      <c r="D457" s="18" t="s">
        <v>1049</v>
      </c>
      <c r="E457" s="19">
        <v>45593</v>
      </c>
    </row>
    <row r="458" spans="1:5">
      <c r="A458" s="61" t="s">
        <v>1050</v>
      </c>
      <c r="B458" s="62"/>
      <c r="C458" s="18" t="s">
        <v>337</v>
      </c>
      <c r="D458" s="18" t="s">
        <v>1051</v>
      </c>
      <c r="E458" s="19">
        <v>45593</v>
      </c>
    </row>
    <row r="459" spans="1:5">
      <c r="A459" s="61" t="s">
        <v>1052</v>
      </c>
      <c r="B459" s="62"/>
      <c r="C459" s="18" t="s">
        <v>337</v>
      </c>
      <c r="D459" s="18" t="s">
        <v>1053</v>
      </c>
      <c r="E459" s="19">
        <v>45593</v>
      </c>
    </row>
    <row r="460" spans="1:5">
      <c r="A460" s="61" t="s">
        <v>1054</v>
      </c>
      <c r="B460" s="62"/>
      <c r="C460" s="18" t="s">
        <v>337</v>
      </c>
      <c r="D460" s="18" t="s">
        <v>489</v>
      </c>
      <c r="E460" s="19">
        <v>45593</v>
      </c>
    </row>
    <row r="461" spans="1:5">
      <c r="A461" s="61" t="s">
        <v>1055</v>
      </c>
      <c r="B461" s="62"/>
      <c r="C461" s="18" t="s">
        <v>337</v>
      </c>
      <c r="D461" s="18" t="s">
        <v>1056</v>
      </c>
      <c r="E461" s="19">
        <v>45593</v>
      </c>
    </row>
    <row r="462" spans="1:5">
      <c r="A462" s="61" t="s">
        <v>1057</v>
      </c>
      <c r="B462" s="62"/>
      <c r="C462" s="18" t="s">
        <v>337</v>
      </c>
      <c r="D462" s="18" t="s">
        <v>1058</v>
      </c>
      <c r="E462" s="19">
        <v>45593</v>
      </c>
    </row>
    <row r="463" spans="1:5">
      <c r="A463" s="61" t="s">
        <v>1059</v>
      </c>
      <c r="B463" s="62"/>
      <c r="C463" s="18" t="s">
        <v>347</v>
      </c>
      <c r="D463" s="18" t="s">
        <v>1060</v>
      </c>
      <c r="E463" s="19">
        <v>45593</v>
      </c>
    </row>
    <row r="464" spans="1:5">
      <c r="A464" s="61" t="s">
        <v>1061</v>
      </c>
      <c r="B464" s="62"/>
      <c r="C464" s="18" t="s">
        <v>347</v>
      </c>
      <c r="D464" s="18" t="s">
        <v>1062</v>
      </c>
      <c r="E464" s="19">
        <v>45593</v>
      </c>
    </row>
    <row r="465" spans="1:5">
      <c r="A465" s="61" t="s">
        <v>1063</v>
      </c>
      <c r="B465" s="62"/>
      <c r="C465" s="18" t="s">
        <v>347</v>
      </c>
      <c r="D465" s="18" t="s">
        <v>1064</v>
      </c>
      <c r="E465" s="19">
        <v>45593</v>
      </c>
    </row>
    <row r="466" spans="1:5">
      <c r="A466" s="61" t="s">
        <v>1065</v>
      </c>
      <c r="B466" s="62"/>
      <c r="C466" s="18" t="s">
        <v>347</v>
      </c>
      <c r="D466" s="18" t="s">
        <v>1066</v>
      </c>
      <c r="E466" s="19">
        <v>45593</v>
      </c>
    </row>
    <row r="467" spans="1:5">
      <c r="A467" s="61" t="s">
        <v>1067</v>
      </c>
      <c r="B467" s="62"/>
      <c r="C467" s="18" t="s">
        <v>337</v>
      </c>
      <c r="D467" s="18" t="s">
        <v>1013</v>
      </c>
      <c r="E467" s="19">
        <v>45593</v>
      </c>
    </row>
    <row r="468" spans="1:5">
      <c r="A468" s="61" t="s">
        <v>1068</v>
      </c>
      <c r="B468" s="62"/>
      <c r="C468" s="18" t="s">
        <v>347</v>
      </c>
      <c r="D468" s="18" t="s">
        <v>1069</v>
      </c>
      <c r="E468" s="19">
        <v>45593</v>
      </c>
    </row>
    <row r="469" spans="1:5">
      <c r="A469" s="61" t="s">
        <v>1070</v>
      </c>
      <c r="B469" s="62"/>
      <c r="C469" s="18" t="s">
        <v>337</v>
      </c>
      <c r="D469" s="18" t="s">
        <v>1071</v>
      </c>
      <c r="E469" s="19">
        <v>45593</v>
      </c>
    </row>
    <row r="470" spans="1:5">
      <c r="A470" s="61" t="s">
        <v>1072</v>
      </c>
      <c r="B470" s="62"/>
      <c r="C470" s="18" t="s">
        <v>337</v>
      </c>
      <c r="D470" s="18" t="s">
        <v>1073</v>
      </c>
      <c r="E470" s="19">
        <v>45593</v>
      </c>
    </row>
    <row r="471" spans="1:5">
      <c r="A471" s="61" t="s">
        <v>1074</v>
      </c>
      <c r="B471" s="62"/>
      <c r="C471" s="18" t="s">
        <v>337</v>
      </c>
      <c r="D471" s="18" t="s">
        <v>344</v>
      </c>
      <c r="E471" s="19">
        <v>45593</v>
      </c>
    </row>
    <row r="472" spans="1:5">
      <c r="A472" s="61" t="s">
        <v>1075</v>
      </c>
      <c r="B472" s="62"/>
      <c r="C472" s="18" t="s">
        <v>337</v>
      </c>
      <c r="D472" s="18" t="s">
        <v>1025</v>
      </c>
      <c r="E472" s="19">
        <v>45593</v>
      </c>
    </row>
    <row r="473" spans="1:5">
      <c r="A473" s="61" t="s">
        <v>1011</v>
      </c>
      <c r="B473" s="62"/>
      <c r="C473" s="18" t="s">
        <v>337</v>
      </c>
      <c r="D473" s="18" t="s">
        <v>1011</v>
      </c>
      <c r="E473" s="19">
        <v>45593</v>
      </c>
    </row>
    <row r="474" spans="1:5">
      <c r="A474" s="61" t="s">
        <v>1019</v>
      </c>
      <c r="B474" s="62"/>
      <c r="C474" s="18" t="s">
        <v>337</v>
      </c>
      <c r="D474" s="18" t="s">
        <v>1020</v>
      </c>
      <c r="E474" s="19">
        <v>45593</v>
      </c>
    </row>
    <row r="475" spans="1:5">
      <c r="A475" s="61" t="s">
        <v>1076</v>
      </c>
      <c r="B475" s="62"/>
      <c r="C475" s="18" t="s">
        <v>337</v>
      </c>
      <c r="D475" s="18" t="s">
        <v>1077</v>
      </c>
      <c r="E475" s="19">
        <v>45593</v>
      </c>
    </row>
    <row r="476" spans="1:5">
      <c r="A476" s="61" t="s">
        <v>1078</v>
      </c>
      <c r="B476" s="62"/>
      <c r="C476" s="18" t="s">
        <v>337</v>
      </c>
      <c r="D476" s="18" t="s">
        <v>344</v>
      </c>
      <c r="E476" s="19">
        <v>45593</v>
      </c>
    </row>
    <row r="477" spans="1:5">
      <c r="A477" s="61" t="s">
        <v>1079</v>
      </c>
      <c r="B477" s="62"/>
      <c r="C477" s="18" t="s">
        <v>337</v>
      </c>
      <c r="D477" s="18" t="s">
        <v>344</v>
      </c>
      <c r="E477" s="19">
        <v>45593</v>
      </c>
    </row>
    <row r="478" spans="1:5">
      <c r="A478" s="61" t="s">
        <v>1080</v>
      </c>
      <c r="B478" s="62"/>
      <c r="C478" s="18" t="s">
        <v>337</v>
      </c>
      <c r="D478" s="18" t="s">
        <v>1001</v>
      </c>
      <c r="E478" s="19">
        <v>45593</v>
      </c>
    </row>
    <row r="479" spans="1:5">
      <c r="A479" s="61" t="s">
        <v>1081</v>
      </c>
      <c r="B479" s="62"/>
      <c r="C479" s="18" t="s">
        <v>347</v>
      </c>
      <c r="D479" s="18" t="s">
        <v>1060</v>
      </c>
      <c r="E479" s="19">
        <v>45593</v>
      </c>
    </row>
    <row r="480" spans="1:5">
      <c r="A480" s="61" t="s">
        <v>1082</v>
      </c>
      <c r="B480" s="62"/>
      <c r="C480" s="18" t="s">
        <v>347</v>
      </c>
      <c r="D480" s="18" t="s">
        <v>999</v>
      </c>
      <c r="E480" s="19">
        <v>45593</v>
      </c>
    </row>
    <row r="481" spans="1:5">
      <c r="A481" s="61" t="s">
        <v>1083</v>
      </c>
      <c r="B481" s="62"/>
      <c r="C481" s="18" t="s">
        <v>347</v>
      </c>
      <c r="D481" s="18" t="s">
        <v>351</v>
      </c>
      <c r="E481" s="19">
        <v>45593</v>
      </c>
    </row>
    <row r="482" spans="1:5">
      <c r="A482" s="61" t="s">
        <v>1084</v>
      </c>
      <c r="B482" s="62"/>
      <c r="C482" s="18" t="s">
        <v>337</v>
      </c>
      <c r="D482" s="18" t="s">
        <v>499</v>
      </c>
      <c r="E482" s="19">
        <v>45593</v>
      </c>
    </row>
    <row r="483" spans="1:5">
      <c r="A483" s="61" t="s">
        <v>1085</v>
      </c>
      <c r="B483" s="62"/>
      <c r="C483" s="18" t="s">
        <v>347</v>
      </c>
      <c r="D483" s="18" t="s">
        <v>993</v>
      </c>
      <c r="E483" s="19">
        <v>45593</v>
      </c>
    </row>
    <row r="484" spans="1:5">
      <c r="A484" s="61" t="s">
        <v>1086</v>
      </c>
      <c r="B484" s="62"/>
      <c r="C484" s="18" t="s">
        <v>337</v>
      </c>
      <c r="D484" s="18" t="s">
        <v>1087</v>
      </c>
      <c r="E484" s="19">
        <v>45593</v>
      </c>
    </row>
    <row r="485" spans="1:5">
      <c r="A485" s="61" t="s">
        <v>1088</v>
      </c>
      <c r="B485" s="62"/>
      <c r="C485" s="18" t="s">
        <v>337</v>
      </c>
      <c r="D485" s="18" t="s">
        <v>1015</v>
      </c>
      <c r="E485" s="19">
        <v>45593</v>
      </c>
    </row>
    <row r="486" spans="1:5">
      <c r="A486" s="61" t="s">
        <v>1089</v>
      </c>
      <c r="B486" s="62"/>
      <c r="C486" s="18" t="s">
        <v>337</v>
      </c>
      <c r="D486" s="18" t="s">
        <v>338</v>
      </c>
      <c r="E486" s="19">
        <v>45593</v>
      </c>
    </row>
    <row r="487" spans="1:5">
      <c r="A487" s="61" t="s">
        <v>1089</v>
      </c>
      <c r="B487" s="62"/>
      <c r="C487" s="18" t="s">
        <v>337</v>
      </c>
      <c r="D487" s="18" t="s">
        <v>338</v>
      </c>
      <c r="E487" s="19">
        <v>45593</v>
      </c>
    </row>
    <row r="488" spans="1:5">
      <c r="A488" s="61" t="s">
        <v>1090</v>
      </c>
      <c r="B488" s="62"/>
      <c r="C488" s="18" t="s">
        <v>347</v>
      </c>
      <c r="D488" s="18" t="s">
        <v>1091</v>
      </c>
      <c r="E488" s="19">
        <v>45593</v>
      </c>
    </row>
    <row r="489" spans="1:5">
      <c r="A489" s="61" t="s">
        <v>1092</v>
      </c>
      <c r="B489" s="62"/>
      <c r="C489" s="18" t="s">
        <v>337</v>
      </c>
      <c r="D489" s="18" t="s">
        <v>338</v>
      </c>
      <c r="E489" s="19">
        <v>45593</v>
      </c>
    </row>
    <row r="490" spans="1:5">
      <c r="A490" s="61" t="s">
        <v>1093</v>
      </c>
      <c r="B490" s="62"/>
      <c r="C490" s="18" t="s">
        <v>347</v>
      </c>
      <c r="D490" s="18" t="s">
        <v>1094</v>
      </c>
      <c r="E490" s="19">
        <v>45593</v>
      </c>
    </row>
    <row r="491" spans="1:5">
      <c r="A491" s="61" t="s">
        <v>1095</v>
      </c>
      <c r="B491" s="62"/>
      <c r="C491" s="18" t="s">
        <v>337</v>
      </c>
      <c r="D491" s="18" t="s">
        <v>1096</v>
      </c>
      <c r="E491" s="19">
        <v>45593</v>
      </c>
    </row>
    <row r="492" spans="1:5">
      <c r="A492" s="61" t="s">
        <v>1097</v>
      </c>
      <c r="B492" s="62"/>
      <c r="C492" s="18" t="s">
        <v>347</v>
      </c>
      <c r="D492" s="18" t="s">
        <v>1098</v>
      </c>
      <c r="E492" s="19">
        <v>45593</v>
      </c>
    </row>
    <row r="493" spans="1:5">
      <c r="A493" s="61" t="s">
        <v>1099</v>
      </c>
      <c r="B493" s="62"/>
      <c r="C493" s="18" t="s">
        <v>337</v>
      </c>
      <c r="D493" s="18" t="s">
        <v>1100</v>
      </c>
      <c r="E493" s="19">
        <v>45593</v>
      </c>
    </row>
    <row r="494" spans="1:5">
      <c r="A494" s="61" t="s">
        <v>1101</v>
      </c>
      <c r="B494" s="62"/>
      <c r="C494" s="18" t="s">
        <v>337</v>
      </c>
      <c r="D494" s="18" t="s">
        <v>1102</v>
      </c>
      <c r="E494" s="19">
        <v>45593</v>
      </c>
    </row>
    <row r="495" spans="1:5">
      <c r="A495" s="61" t="s">
        <v>1103</v>
      </c>
      <c r="B495" s="62"/>
      <c r="C495" s="18" t="s">
        <v>337</v>
      </c>
      <c r="D495" s="18" t="s">
        <v>1104</v>
      </c>
      <c r="E495" s="19">
        <v>45593</v>
      </c>
    </row>
    <row r="496" spans="1:5">
      <c r="A496" s="61" t="s">
        <v>1105</v>
      </c>
      <c r="B496" s="62"/>
      <c r="C496" s="18" t="s">
        <v>337</v>
      </c>
      <c r="D496" s="18" t="s">
        <v>1106</v>
      </c>
      <c r="E496" s="19">
        <v>45593</v>
      </c>
    </row>
    <row r="497" spans="1:5">
      <c r="A497" s="61" t="s">
        <v>1107</v>
      </c>
      <c r="B497" s="62"/>
      <c r="C497" s="18" t="s">
        <v>337</v>
      </c>
      <c r="D497" s="18" t="s">
        <v>995</v>
      </c>
      <c r="E497" s="19">
        <v>45593</v>
      </c>
    </row>
    <row r="498" spans="1:5">
      <c r="A498" s="61" t="s">
        <v>1108</v>
      </c>
      <c r="B498" s="62"/>
      <c r="C498" s="18" t="s">
        <v>347</v>
      </c>
      <c r="D498" s="18" t="s">
        <v>348</v>
      </c>
      <c r="E498" s="19">
        <v>45593</v>
      </c>
    </row>
    <row r="499" spans="1:5">
      <c r="A499" s="61" t="s">
        <v>1109</v>
      </c>
      <c r="B499" s="62"/>
      <c r="C499" s="18" t="s">
        <v>337</v>
      </c>
      <c r="D499" s="18" t="s">
        <v>498</v>
      </c>
      <c r="E499" s="19">
        <v>45593</v>
      </c>
    </row>
    <row r="500" spans="1:5">
      <c r="A500" s="61" t="s">
        <v>1110</v>
      </c>
      <c r="B500" s="62"/>
      <c r="C500" s="18" t="s">
        <v>337</v>
      </c>
      <c r="D500" s="18" t="s">
        <v>1111</v>
      </c>
      <c r="E500" s="19">
        <v>45593</v>
      </c>
    </row>
    <row r="501" spans="1:5">
      <c r="A501" s="61" t="s">
        <v>1112</v>
      </c>
      <c r="B501" s="62"/>
      <c r="C501" s="18" t="s">
        <v>337</v>
      </c>
      <c r="D501" s="18" t="s">
        <v>412</v>
      </c>
      <c r="E501" s="19">
        <v>45593</v>
      </c>
    </row>
    <row r="502" spans="1:5">
      <c r="A502" s="61" t="s">
        <v>1113</v>
      </c>
      <c r="B502" s="62"/>
      <c r="C502" s="18" t="s">
        <v>347</v>
      </c>
      <c r="D502" s="18" t="s">
        <v>1114</v>
      </c>
      <c r="E502" s="19">
        <v>45593</v>
      </c>
    </row>
    <row r="503" spans="1:5">
      <c r="A503" s="61" t="s">
        <v>1115</v>
      </c>
      <c r="B503" s="62"/>
      <c r="C503" s="18" t="s">
        <v>337</v>
      </c>
      <c r="D503" s="18" t="s">
        <v>1115</v>
      </c>
      <c r="E503" s="19">
        <v>45593</v>
      </c>
    </row>
    <row r="504" spans="1:5">
      <c r="A504" s="61" t="s">
        <v>1116</v>
      </c>
      <c r="B504" s="62"/>
      <c r="C504" s="18" t="s">
        <v>337</v>
      </c>
      <c r="D504" s="18" t="s">
        <v>1116</v>
      </c>
      <c r="E504" s="19">
        <v>45593</v>
      </c>
    </row>
    <row r="505" spans="1:5">
      <c r="A505" s="61" t="s">
        <v>1117</v>
      </c>
      <c r="B505" s="62"/>
      <c r="C505" s="18" t="s">
        <v>337</v>
      </c>
      <c r="D505" s="18" t="s">
        <v>1118</v>
      </c>
      <c r="E505" s="19">
        <v>45593</v>
      </c>
    </row>
    <row r="506" spans="1:5">
      <c r="A506" s="61" t="s">
        <v>1119</v>
      </c>
      <c r="B506" s="62"/>
      <c r="C506" s="18" t="s">
        <v>337</v>
      </c>
      <c r="D506" s="18" t="s">
        <v>499</v>
      </c>
      <c r="E506" s="19">
        <v>45593</v>
      </c>
    </row>
    <row r="507" spans="1:5">
      <c r="A507" s="61" t="s">
        <v>1120</v>
      </c>
      <c r="B507" s="62"/>
      <c r="C507" s="18" t="s">
        <v>337</v>
      </c>
      <c r="D507" s="18" t="s">
        <v>412</v>
      </c>
      <c r="E507" s="19">
        <v>45593</v>
      </c>
    </row>
    <row r="508" spans="1:5">
      <c r="A508" s="61" t="s">
        <v>1121</v>
      </c>
      <c r="B508" s="62"/>
      <c r="C508" s="18" t="s">
        <v>337</v>
      </c>
      <c r="D508" s="18" t="s">
        <v>340</v>
      </c>
      <c r="E508" s="19">
        <v>45593</v>
      </c>
    </row>
    <row r="509" spans="1:5">
      <c r="A509" s="61" t="s">
        <v>1122</v>
      </c>
      <c r="B509" s="62"/>
      <c r="C509" s="18" t="s">
        <v>337</v>
      </c>
      <c r="D509" s="18" t="s">
        <v>1123</v>
      </c>
      <c r="E509" s="19">
        <v>45593</v>
      </c>
    </row>
    <row r="510" spans="1:5">
      <c r="A510" s="61" t="s">
        <v>1124</v>
      </c>
      <c r="B510" s="62"/>
      <c r="C510" s="18" t="s">
        <v>337</v>
      </c>
      <c r="D510" s="18" t="s">
        <v>1018</v>
      </c>
      <c r="E510" s="19">
        <v>45593</v>
      </c>
    </row>
    <row r="511" spans="1:5">
      <c r="A511" s="61" t="s">
        <v>1125</v>
      </c>
      <c r="B511" s="62"/>
      <c r="C511" s="18" t="s">
        <v>337</v>
      </c>
      <c r="D511" s="18" t="s">
        <v>412</v>
      </c>
      <c r="E511" s="19">
        <v>45593</v>
      </c>
    </row>
    <row r="512" spans="1:5">
      <c r="A512" s="61" t="s">
        <v>1126</v>
      </c>
      <c r="B512" s="62"/>
      <c r="C512" s="18" t="s">
        <v>347</v>
      </c>
      <c r="D512" s="18" t="s">
        <v>1127</v>
      </c>
      <c r="E512" s="19">
        <v>45593</v>
      </c>
    </row>
    <row r="513" spans="1:5">
      <c r="A513" s="61" t="s">
        <v>1128</v>
      </c>
      <c r="B513" s="62"/>
      <c r="C513" s="18" t="s">
        <v>337</v>
      </c>
      <c r="D513" s="18" t="s">
        <v>1129</v>
      </c>
      <c r="E513" s="19">
        <v>45593</v>
      </c>
    </row>
    <row r="514" spans="1:5">
      <c r="A514" s="61" t="s">
        <v>1130</v>
      </c>
      <c r="B514" s="62"/>
      <c r="C514" s="18" t="s">
        <v>337</v>
      </c>
      <c r="D514" s="18" t="s">
        <v>1033</v>
      </c>
      <c r="E514" s="19">
        <v>45593</v>
      </c>
    </row>
    <row r="515" spans="1:5">
      <c r="A515" s="61" t="s">
        <v>1131</v>
      </c>
      <c r="B515" s="62"/>
      <c r="C515" s="18" t="s">
        <v>337</v>
      </c>
      <c r="D515" s="18" t="s">
        <v>412</v>
      </c>
      <c r="E515" s="19">
        <v>45593</v>
      </c>
    </row>
    <row r="516" spans="1:5">
      <c r="A516" s="61" t="s">
        <v>1132</v>
      </c>
      <c r="B516" s="62"/>
      <c r="C516" s="18" t="s">
        <v>337</v>
      </c>
      <c r="D516" s="18" t="s">
        <v>500</v>
      </c>
      <c r="E516" s="19">
        <v>45593</v>
      </c>
    </row>
    <row r="517" spans="1:5">
      <c r="A517" s="61" t="s">
        <v>1133</v>
      </c>
      <c r="B517" s="62"/>
      <c r="C517" s="18" t="s">
        <v>337</v>
      </c>
      <c r="D517" s="18" t="s">
        <v>1134</v>
      </c>
      <c r="E517" s="19">
        <v>45593</v>
      </c>
    </row>
    <row r="518" spans="1:5">
      <c r="A518" s="61" t="s">
        <v>1135</v>
      </c>
      <c r="B518" s="62"/>
      <c r="C518" s="18" t="s">
        <v>347</v>
      </c>
      <c r="D518" s="18" t="s">
        <v>1136</v>
      </c>
      <c r="E518" s="19">
        <v>45593</v>
      </c>
    </row>
    <row r="519" spans="1:5">
      <c r="A519" s="61" t="s">
        <v>1137</v>
      </c>
      <c r="B519" s="62"/>
      <c r="C519" s="18" t="s">
        <v>337</v>
      </c>
      <c r="D519" s="18" t="s">
        <v>1138</v>
      </c>
      <c r="E519" s="19">
        <v>45593</v>
      </c>
    </row>
    <row r="520" spans="1:5">
      <c r="A520" s="61" t="s">
        <v>1139</v>
      </c>
      <c r="B520" s="62"/>
      <c r="C520" s="18" t="s">
        <v>347</v>
      </c>
      <c r="D520" s="18" t="s">
        <v>1140</v>
      </c>
      <c r="E520" s="19">
        <v>45593</v>
      </c>
    </row>
    <row r="521" spans="1:5">
      <c r="A521" s="61" t="s">
        <v>1141</v>
      </c>
      <c r="B521" s="62"/>
      <c r="C521" s="18" t="s">
        <v>337</v>
      </c>
      <c r="D521" s="18" t="s">
        <v>1142</v>
      </c>
      <c r="E521" s="19">
        <v>45593</v>
      </c>
    </row>
    <row r="522" spans="1:5">
      <c r="A522" s="61" t="s">
        <v>1143</v>
      </c>
      <c r="B522" s="62"/>
      <c r="C522" s="18" t="s">
        <v>337</v>
      </c>
      <c r="D522" s="18" t="s">
        <v>1144</v>
      </c>
      <c r="E522" s="19">
        <v>45593</v>
      </c>
    </row>
    <row r="523" spans="1:5">
      <c r="A523" s="61" t="s">
        <v>1145</v>
      </c>
      <c r="B523" s="62"/>
      <c r="C523" s="18" t="s">
        <v>337</v>
      </c>
      <c r="D523" s="18" t="s">
        <v>1146</v>
      </c>
      <c r="E523" s="19">
        <v>45593</v>
      </c>
    </row>
    <row r="524" spans="1:5">
      <c r="A524" s="61" t="s">
        <v>1147</v>
      </c>
      <c r="B524" s="62"/>
      <c r="C524" s="18" t="s">
        <v>337</v>
      </c>
      <c r="D524" s="18" t="s">
        <v>1148</v>
      </c>
      <c r="E524" s="19">
        <v>45593</v>
      </c>
    </row>
    <row r="525" spans="1:5">
      <c r="A525" s="61" t="s">
        <v>1149</v>
      </c>
      <c r="B525" s="62"/>
      <c r="C525" s="18" t="s">
        <v>302</v>
      </c>
      <c r="D525" s="18" t="s">
        <v>416</v>
      </c>
      <c r="E525" s="19">
        <v>45595</v>
      </c>
    </row>
    <row r="526" spans="1:5">
      <c r="A526" s="61" t="s">
        <v>1150</v>
      </c>
      <c r="B526" s="62"/>
      <c r="C526" s="18" t="s">
        <v>302</v>
      </c>
      <c r="D526" s="18" t="s">
        <v>1151</v>
      </c>
      <c r="E526" s="19">
        <v>45597</v>
      </c>
    </row>
    <row r="527" spans="1:5">
      <c r="A527" s="61" t="s">
        <v>1152</v>
      </c>
      <c r="B527" s="62"/>
      <c r="C527" s="18" t="s">
        <v>302</v>
      </c>
      <c r="D527" s="18" t="s">
        <v>327</v>
      </c>
      <c r="E527" s="19">
        <v>45598</v>
      </c>
    </row>
    <row r="528" spans="1:5">
      <c r="A528" s="61" t="s">
        <v>1153</v>
      </c>
      <c r="B528" s="62"/>
      <c r="C528" s="18" t="s">
        <v>313</v>
      </c>
      <c r="D528" s="18" t="s">
        <v>1154</v>
      </c>
      <c r="E528" s="19">
        <v>45600</v>
      </c>
    </row>
    <row r="529" spans="1:5">
      <c r="A529" s="61" t="s">
        <v>1155</v>
      </c>
      <c r="B529" s="62"/>
      <c r="C529" s="18" t="s">
        <v>491</v>
      </c>
      <c r="D529" s="18" t="s">
        <v>1156</v>
      </c>
      <c r="E529" s="19">
        <v>45601</v>
      </c>
    </row>
    <row r="530" spans="1:5">
      <c r="A530" s="61" t="s">
        <v>1157</v>
      </c>
      <c r="B530" s="62"/>
      <c r="C530" s="18" t="s">
        <v>491</v>
      </c>
      <c r="D530" s="18" t="s">
        <v>1104</v>
      </c>
      <c r="E530" s="19">
        <v>45601</v>
      </c>
    </row>
    <row r="531" spans="1:5">
      <c r="A531" s="61" t="s">
        <v>1158</v>
      </c>
      <c r="B531" s="62"/>
      <c r="C531" s="18" t="s">
        <v>1159</v>
      </c>
      <c r="D531" s="18" t="s">
        <v>1160</v>
      </c>
      <c r="E531" s="19">
        <v>45604</v>
      </c>
    </row>
    <row r="532" spans="1:5">
      <c r="A532" s="61" t="s">
        <v>1161</v>
      </c>
      <c r="B532" s="62"/>
      <c r="C532" s="18" t="s">
        <v>302</v>
      </c>
      <c r="D532" s="18" t="s">
        <v>1162</v>
      </c>
      <c r="E532" s="19">
        <v>45604</v>
      </c>
    </row>
    <row r="533" spans="1:5">
      <c r="A533" s="61" t="s">
        <v>1163</v>
      </c>
      <c r="B533" s="62"/>
      <c r="C533" s="18" t="s">
        <v>302</v>
      </c>
      <c r="D533" s="18" t="s">
        <v>1164</v>
      </c>
      <c r="E533" s="19">
        <v>45604</v>
      </c>
    </row>
    <row r="534" spans="1:5">
      <c r="A534" s="61" t="s">
        <v>1165</v>
      </c>
      <c r="B534" s="62"/>
      <c r="C534" s="18" t="s">
        <v>302</v>
      </c>
      <c r="D534" s="18" t="s">
        <v>307</v>
      </c>
      <c r="E534" s="19">
        <v>45606</v>
      </c>
    </row>
    <row r="535" spans="1:5">
      <c r="A535" s="61" t="s">
        <v>1166</v>
      </c>
      <c r="B535" s="62"/>
      <c r="C535" s="18" t="s">
        <v>302</v>
      </c>
      <c r="D535" s="18" t="s">
        <v>1167</v>
      </c>
      <c r="E535" s="19">
        <v>45607</v>
      </c>
    </row>
    <row r="536" spans="1:5">
      <c r="A536" s="61" t="s">
        <v>1168</v>
      </c>
      <c r="B536" s="62"/>
      <c r="C536" s="18" t="s">
        <v>302</v>
      </c>
      <c r="D536" s="18" t="s">
        <v>1169</v>
      </c>
      <c r="E536" s="19">
        <v>45607</v>
      </c>
    </row>
    <row r="537" spans="1:5">
      <c r="A537" s="61" t="s">
        <v>1170</v>
      </c>
      <c r="B537" s="62"/>
      <c r="C537" s="18" t="s">
        <v>302</v>
      </c>
      <c r="D537" s="18" t="s">
        <v>327</v>
      </c>
      <c r="E537" s="19">
        <v>45607</v>
      </c>
    </row>
    <row r="538" spans="1:5">
      <c r="A538" s="61" t="s">
        <v>1171</v>
      </c>
      <c r="B538" s="62"/>
      <c r="C538" s="18" t="s">
        <v>302</v>
      </c>
      <c r="D538" s="18" t="s">
        <v>467</v>
      </c>
      <c r="E538" s="19">
        <v>45607</v>
      </c>
    </row>
    <row r="539" spans="1:5">
      <c r="A539" s="61" t="s">
        <v>1172</v>
      </c>
      <c r="B539" s="62"/>
      <c r="C539" s="18" t="s">
        <v>302</v>
      </c>
      <c r="D539" s="18" t="s">
        <v>1173</v>
      </c>
      <c r="E539" s="19">
        <v>45607</v>
      </c>
    </row>
    <row r="540" spans="1:5">
      <c r="A540" s="61" t="s">
        <v>1174</v>
      </c>
      <c r="B540" s="62"/>
      <c r="C540" s="18" t="s">
        <v>313</v>
      </c>
      <c r="D540" s="18" t="s">
        <v>1175</v>
      </c>
      <c r="E540" s="19">
        <v>45607</v>
      </c>
    </row>
    <row r="541" spans="1:5">
      <c r="A541" s="61" t="s">
        <v>1176</v>
      </c>
      <c r="B541" s="62"/>
      <c r="C541" s="18" t="s">
        <v>302</v>
      </c>
      <c r="D541" s="18" t="s">
        <v>503</v>
      </c>
      <c r="E541" s="19">
        <v>45608</v>
      </c>
    </row>
    <row r="542" spans="1:5">
      <c r="A542" s="61" t="s">
        <v>1177</v>
      </c>
      <c r="B542" s="62"/>
      <c r="C542" s="18" t="s">
        <v>302</v>
      </c>
      <c r="D542" s="18" t="s">
        <v>1178</v>
      </c>
      <c r="E542" s="19">
        <v>45611</v>
      </c>
    </row>
    <row r="543" spans="1:5">
      <c r="A543" s="61" t="s">
        <v>1179</v>
      </c>
      <c r="B543" s="62"/>
      <c r="C543" s="18" t="s">
        <v>302</v>
      </c>
      <c r="D543" s="18" t="s">
        <v>584</v>
      </c>
      <c r="E543" s="19">
        <v>45612</v>
      </c>
    </row>
    <row r="544" spans="1:5">
      <c r="A544" s="61" t="s">
        <v>1180</v>
      </c>
      <c r="B544" s="62"/>
      <c r="C544" s="18" t="s">
        <v>302</v>
      </c>
      <c r="D544" s="18" t="s">
        <v>1181</v>
      </c>
      <c r="E544" s="19">
        <v>45614</v>
      </c>
    </row>
    <row r="545" spans="1:5">
      <c r="A545" s="61" t="s">
        <v>1182</v>
      </c>
      <c r="B545" s="62"/>
      <c r="C545" s="18" t="s">
        <v>313</v>
      </c>
      <c r="D545" s="18" t="s">
        <v>620</v>
      </c>
      <c r="E545" s="19">
        <v>45615</v>
      </c>
    </row>
    <row r="546" spans="1:5">
      <c r="A546" s="61" t="s">
        <v>1183</v>
      </c>
      <c r="B546" s="62"/>
      <c r="C546" s="18" t="s">
        <v>302</v>
      </c>
      <c r="D546" s="18" t="s">
        <v>475</v>
      </c>
      <c r="E546" s="19">
        <v>45615</v>
      </c>
    </row>
    <row r="547" spans="1:5">
      <c r="A547" s="61" t="s">
        <v>1184</v>
      </c>
      <c r="B547" s="62"/>
      <c r="C547" s="18" t="s">
        <v>302</v>
      </c>
      <c r="D547" s="18" t="s">
        <v>359</v>
      </c>
      <c r="E547" s="19">
        <v>45620</v>
      </c>
    </row>
    <row r="548" spans="1:5">
      <c r="A548" s="61" t="s">
        <v>1185</v>
      </c>
      <c r="B548" s="62"/>
      <c r="C548" s="18" t="s">
        <v>302</v>
      </c>
      <c r="D548" s="18" t="s">
        <v>427</v>
      </c>
      <c r="E548" s="19">
        <v>45620</v>
      </c>
    </row>
    <row r="549" spans="1:5">
      <c r="A549" s="61" t="s">
        <v>1186</v>
      </c>
      <c r="B549" s="62"/>
      <c r="C549" s="18" t="s">
        <v>302</v>
      </c>
      <c r="D549" s="18" t="s">
        <v>1187</v>
      </c>
      <c r="E549" s="19">
        <v>45621</v>
      </c>
    </row>
    <row r="550" spans="1:5">
      <c r="A550" s="61" t="s">
        <v>1188</v>
      </c>
      <c r="B550" s="62"/>
      <c r="C550" s="18" t="s">
        <v>302</v>
      </c>
      <c r="D550" s="18" t="s">
        <v>303</v>
      </c>
      <c r="E550" s="19">
        <v>45621</v>
      </c>
    </row>
    <row r="551" spans="1:5">
      <c r="A551" s="61" t="s">
        <v>1189</v>
      </c>
      <c r="B551" s="62"/>
      <c r="C551" s="18" t="s">
        <v>313</v>
      </c>
      <c r="D551" s="18" t="s">
        <v>1190</v>
      </c>
      <c r="E551" s="19">
        <v>45622</v>
      </c>
    </row>
    <row r="552" spans="1:5">
      <c r="A552" s="61" t="s">
        <v>1191</v>
      </c>
      <c r="B552" s="62"/>
      <c r="C552" s="18" t="s">
        <v>302</v>
      </c>
      <c r="D552" s="18" t="s">
        <v>329</v>
      </c>
      <c r="E552" s="19">
        <v>45622</v>
      </c>
    </row>
    <row r="553" spans="1:5">
      <c r="A553" s="61" t="s">
        <v>1192</v>
      </c>
      <c r="B553" s="62"/>
      <c r="C553" s="18" t="s">
        <v>302</v>
      </c>
      <c r="D553" s="18" t="s">
        <v>631</v>
      </c>
      <c r="E553" s="19">
        <v>45623</v>
      </c>
    </row>
    <row r="554" spans="1:5">
      <c r="A554" s="61" t="s">
        <v>1193</v>
      </c>
      <c r="B554" s="62"/>
      <c r="C554" s="18" t="s">
        <v>302</v>
      </c>
      <c r="D554" s="18" t="s">
        <v>1194</v>
      </c>
      <c r="E554" s="19">
        <v>45623</v>
      </c>
    </row>
    <row r="555" spans="1:5">
      <c r="A555" s="61" t="s">
        <v>1195</v>
      </c>
      <c r="B555" s="62"/>
      <c r="C555" s="18" t="s">
        <v>313</v>
      </c>
      <c r="D555" s="18" t="s">
        <v>1196</v>
      </c>
      <c r="E555" s="19">
        <v>45623</v>
      </c>
    </row>
    <row r="556" spans="1:5">
      <c r="A556" s="61" t="s">
        <v>1197</v>
      </c>
      <c r="B556" s="62"/>
      <c r="C556" s="18" t="s">
        <v>313</v>
      </c>
      <c r="D556" s="18" t="s">
        <v>1198</v>
      </c>
      <c r="E556" s="19">
        <v>45623</v>
      </c>
    </row>
    <row r="557" spans="1:5">
      <c r="A557" s="61" t="s">
        <v>1199</v>
      </c>
      <c r="B557" s="62"/>
      <c r="C557" s="18" t="s">
        <v>313</v>
      </c>
      <c r="D557" s="18" t="s">
        <v>363</v>
      </c>
      <c r="E557" s="19">
        <v>45624</v>
      </c>
    </row>
    <row r="558" spans="1:5">
      <c r="A558" s="61" t="s">
        <v>1064</v>
      </c>
      <c r="B558" s="62"/>
      <c r="C558" s="18" t="s">
        <v>347</v>
      </c>
      <c r="D558" s="18" t="s">
        <v>1064</v>
      </c>
      <c r="E558" s="19">
        <v>45624</v>
      </c>
    </row>
    <row r="559" spans="1:5">
      <c r="A559" s="61" t="s">
        <v>1098</v>
      </c>
      <c r="B559" s="62"/>
      <c r="C559" s="18" t="s">
        <v>347</v>
      </c>
      <c r="D559" s="18" t="s">
        <v>1098</v>
      </c>
      <c r="E559" s="19">
        <v>45624</v>
      </c>
    </row>
    <row r="560" spans="1:5">
      <c r="A560" s="61" t="s">
        <v>1200</v>
      </c>
      <c r="B560" s="62"/>
      <c r="C560" s="18" t="s">
        <v>302</v>
      </c>
      <c r="D560" s="18" t="s">
        <v>513</v>
      </c>
      <c r="E560" s="19">
        <v>45624</v>
      </c>
    </row>
    <row r="561" spans="1:5">
      <c r="A561" s="61" t="s">
        <v>1201</v>
      </c>
      <c r="B561" s="62"/>
      <c r="C561" s="18" t="s">
        <v>302</v>
      </c>
      <c r="D561" s="18" t="s">
        <v>513</v>
      </c>
      <c r="E561" s="19">
        <v>45624</v>
      </c>
    </row>
    <row r="562" spans="1:5">
      <c r="A562" s="61" t="s">
        <v>1202</v>
      </c>
      <c r="B562" s="62"/>
      <c r="C562" s="18" t="s">
        <v>337</v>
      </c>
      <c r="D562" s="18" t="s">
        <v>1203</v>
      </c>
      <c r="E562" s="19">
        <v>45625</v>
      </c>
    </row>
    <row r="563" spans="1:5">
      <c r="A563" s="61" t="s">
        <v>1141</v>
      </c>
      <c r="B563" s="62"/>
      <c r="C563" s="18" t="s">
        <v>337</v>
      </c>
      <c r="D563" s="18" t="s">
        <v>1204</v>
      </c>
      <c r="E563" s="19">
        <v>45625</v>
      </c>
    </row>
    <row r="564" spans="1:5">
      <c r="A564" s="61" t="s">
        <v>1141</v>
      </c>
      <c r="B564" s="62"/>
      <c r="C564" s="18" t="s">
        <v>337</v>
      </c>
      <c r="D564" s="18" t="s">
        <v>1205</v>
      </c>
      <c r="E564" s="19">
        <v>45625</v>
      </c>
    </row>
    <row r="565" spans="1:5">
      <c r="A565" s="61" t="s">
        <v>1206</v>
      </c>
      <c r="B565" s="62"/>
      <c r="C565" s="18" t="s">
        <v>347</v>
      </c>
      <c r="D565" s="18" t="s">
        <v>1206</v>
      </c>
      <c r="E565" s="19">
        <v>45625</v>
      </c>
    </row>
    <row r="566" spans="1:5">
      <c r="A566" s="61" t="s">
        <v>1207</v>
      </c>
      <c r="B566" s="62"/>
      <c r="C566" s="18" t="s">
        <v>302</v>
      </c>
      <c r="D566" s="18" t="s">
        <v>422</v>
      </c>
      <c r="E566" s="19">
        <v>45625</v>
      </c>
    </row>
    <row r="567" spans="1:5">
      <c r="A567" s="61" t="s">
        <v>1208</v>
      </c>
      <c r="B567" s="62"/>
      <c r="C567" s="18" t="s">
        <v>302</v>
      </c>
      <c r="D567" s="18" t="s">
        <v>1209</v>
      </c>
      <c r="E567" s="19">
        <v>45626</v>
      </c>
    </row>
    <row r="568" spans="1:5">
      <c r="A568" s="61" t="s">
        <v>1210</v>
      </c>
      <c r="B568" s="62"/>
      <c r="C568" s="18" t="s">
        <v>302</v>
      </c>
      <c r="D568" s="18" t="s">
        <v>1211</v>
      </c>
      <c r="E568" s="19">
        <v>45627</v>
      </c>
    </row>
    <row r="569" spans="1:5">
      <c r="A569" s="61" t="s">
        <v>1212</v>
      </c>
      <c r="B569" s="62"/>
      <c r="C569" s="18" t="s">
        <v>302</v>
      </c>
      <c r="D569" s="18" t="s">
        <v>327</v>
      </c>
      <c r="E569" s="19">
        <v>45628</v>
      </c>
    </row>
    <row r="570" spans="1:5">
      <c r="A570" s="61" t="s">
        <v>1213</v>
      </c>
      <c r="B570" s="62"/>
      <c r="C570" s="18" t="s">
        <v>302</v>
      </c>
      <c r="D570" s="18" t="s">
        <v>1214</v>
      </c>
      <c r="E570" s="19">
        <v>45629</v>
      </c>
    </row>
    <row r="571" spans="1:5">
      <c r="A571" s="61" t="s">
        <v>1215</v>
      </c>
      <c r="B571" s="62"/>
      <c r="C571" s="18" t="s">
        <v>302</v>
      </c>
      <c r="D571" s="18" t="s">
        <v>1216</v>
      </c>
      <c r="E571" s="19">
        <v>45630</v>
      </c>
    </row>
    <row r="572" spans="1:5">
      <c r="A572" s="61" t="s">
        <v>1217</v>
      </c>
      <c r="B572" s="62"/>
      <c r="C572" s="18" t="s">
        <v>302</v>
      </c>
      <c r="D572" s="18" t="s">
        <v>475</v>
      </c>
      <c r="E572" s="19">
        <v>45630</v>
      </c>
    </row>
    <row r="573" spans="1:5">
      <c r="A573" s="61" t="s">
        <v>1218</v>
      </c>
      <c r="B573" s="62"/>
      <c r="C573" s="18" t="s">
        <v>302</v>
      </c>
      <c r="D573" s="18" t="s">
        <v>475</v>
      </c>
      <c r="E573" s="19">
        <v>45630</v>
      </c>
    </row>
    <row r="574" spans="1:5">
      <c r="A574" s="61" t="s">
        <v>1219</v>
      </c>
      <c r="B574" s="62"/>
      <c r="C574" s="18" t="s">
        <v>302</v>
      </c>
      <c r="D574" s="18" t="s">
        <v>1220</v>
      </c>
      <c r="E574" s="19">
        <v>45631</v>
      </c>
    </row>
    <row r="575" spans="1:5">
      <c r="A575" s="61" t="s">
        <v>1221</v>
      </c>
      <c r="B575" s="62"/>
      <c r="C575" s="18" t="s">
        <v>302</v>
      </c>
      <c r="D575" s="18" t="s">
        <v>1222</v>
      </c>
      <c r="E575" s="19">
        <v>45632</v>
      </c>
    </row>
    <row r="576" spans="1:5">
      <c r="A576" s="61" t="s">
        <v>1223</v>
      </c>
      <c r="B576" s="62"/>
      <c r="C576" s="18" t="s">
        <v>302</v>
      </c>
      <c r="D576" s="18" t="s">
        <v>1224</v>
      </c>
      <c r="E576" s="19">
        <v>45632</v>
      </c>
    </row>
    <row r="577" spans="1:5">
      <c r="A577" s="61" t="s">
        <v>1225</v>
      </c>
      <c r="B577" s="62"/>
      <c r="C577" s="18" t="s">
        <v>313</v>
      </c>
      <c r="D577" s="18" t="s">
        <v>1226</v>
      </c>
      <c r="E577" s="19">
        <v>45632</v>
      </c>
    </row>
    <row r="578" spans="1:5">
      <c r="A578" s="61" t="s">
        <v>1227</v>
      </c>
      <c r="B578" s="62"/>
      <c r="C578" s="18" t="s">
        <v>302</v>
      </c>
      <c r="D578" s="18" t="s">
        <v>303</v>
      </c>
      <c r="E578" s="19">
        <v>45632</v>
      </c>
    </row>
    <row r="579" spans="1:5">
      <c r="A579" s="61" t="s">
        <v>1228</v>
      </c>
      <c r="B579" s="62"/>
      <c r="C579" s="18" t="s">
        <v>302</v>
      </c>
      <c r="D579" s="18" t="s">
        <v>1229</v>
      </c>
      <c r="E579" s="19">
        <v>45632</v>
      </c>
    </row>
    <row r="580" spans="1:5">
      <c r="A580" s="61" t="s">
        <v>1230</v>
      </c>
      <c r="B580" s="62"/>
      <c r="C580" s="18" t="s">
        <v>302</v>
      </c>
      <c r="D580" s="18" t="s">
        <v>475</v>
      </c>
      <c r="E580" s="19">
        <v>45636</v>
      </c>
    </row>
    <row r="581" spans="1:5">
      <c r="A581" s="61" t="s">
        <v>1231</v>
      </c>
      <c r="B581" s="62"/>
      <c r="C581" s="18" t="s">
        <v>302</v>
      </c>
      <c r="D581" s="18" t="s">
        <v>371</v>
      </c>
      <c r="E581" s="19">
        <v>45636</v>
      </c>
    </row>
    <row r="582" spans="1:5">
      <c r="A582" s="61" t="s">
        <v>1232</v>
      </c>
      <c r="B582" s="62"/>
      <c r="C582" s="18" t="s">
        <v>302</v>
      </c>
      <c r="D582" s="18" t="s">
        <v>1233</v>
      </c>
      <c r="E582" s="19">
        <v>45637</v>
      </c>
    </row>
    <row r="583" spans="1:5">
      <c r="A583" s="61" t="s">
        <v>1234</v>
      </c>
      <c r="B583" s="62"/>
      <c r="C583" s="18" t="s">
        <v>302</v>
      </c>
      <c r="D583" s="18" t="s">
        <v>576</v>
      </c>
      <c r="E583" s="19">
        <v>45637</v>
      </c>
    </row>
    <row r="584" spans="1:5">
      <c r="A584" s="61" t="s">
        <v>1235</v>
      </c>
      <c r="B584" s="62"/>
      <c r="C584" s="18" t="s">
        <v>313</v>
      </c>
      <c r="D584" s="18" t="s">
        <v>1236</v>
      </c>
      <c r="E584" s="19">
        <v>45638</v>
      </c>
    </row>
    <row r="585" spans="1:5">
      <c r="A585" s="61" t="s">
        <v>1237</v>
      </c>
      <c r="B585" s="62"/>
      <c r="C585" s="18" t="s">
        <v>441</v>
      </c>
      <c r="D585" s="18" t="s">
        <v>1238</v>
      </c>
      <c r="E585" s="19">
        <v>45638</v>
      </c>
    </row>
    <row r="586" spans="1:5">
      <c r="A586" s="61" t="s">
        <v>1239</v>
      </c>
      <c r="B586" s="62"/>
      <c r="C586" s="18" t="s">
        <v>441</v>
      </c>
      <c r="D586" s="18" t="s">
        <v>1239</v>
      </c>
      <c r="E586" s="19">
        <v>45638</v>
      </c>
    </row>
    <row r="587" spans="1:5">
      <c r="A587" s="61" t="s">
        <v>1240</v>
      </c>
      <c r="B587" s="62"/>
      <c r="C587" s="18" t="s">
        <v>302</v>
      </c>
      <c r="D587" s="18" t="s">
        <v>327</v>
      </c>
      <c r="E587" s="19">
        <v>45642</v>
      </c>
    </row>
    <row r="588" spans="1:5">
      <c r="A588" s="61" t="s">
        <v>1241</v>
      </c>
      <c r="B588" s="62"/>
      <c r="C588" s="18" t="s">
        <v>302</v>
      </c>
      <c r="D588" s="18" t="s">
        <v>578</v>
      </c>
      <c r="E588" s="19">
        <v>45642</v>
      </c>
    </row>
    <row r="589" spans="1:5">
      <c r="A589" s="61" t="s">
        <v>1242</v>
      </c>
      <c r="B589" s="62"/>
      <c r="C589" s="18" t="s">
        <v>313</v>
      </c>
      <c r="D589" s="18" t="s">
        <v>1243</v>
      </c>
      <c r="E589" s="19">
        <v>45643</v>
      </c>
    </row>
    <row r="590" spans="1:5">
      <c r="A590" s="61" t="s">
        <v>1244</v>
      </c>
      <c r="B590" s="62"/>
      <c r="C590" s="18" t="s">
        <v>313</v>
      </c>
      <c r="D590" s="18" t="s">
        <v>1245</v>
      </c>
      <c r="E590" s="19">
        <v>45643</v>
      </c>
    </row>
    <row r="591" spans="1:5">
      <c r="A591" s="61" t="s">
        <v>1246</v>
      </c>
      <c r="B591" s="62"/>
      <c r="C591" s="18" t="s">
        <v>302</v>
      </c>
      <c r="D591" s="18" t="s">
        <v>1247</v>
      </c>
      <c r="E591" s="19">
        <v>45644</v>
      </c>
    </row>
    <row r="592" spans="1:5">
      <c r="A592" s="61" t="s">
        <v>1248</v>
      </c>
      <c r="B592" s="62"/>
      <c r="C592" s="18" t="s">
        <v>302</v>
      </c>
      <c r="D592" s="18" t="s">
        <v>422</v>
      </c>
      <c r="E592" s="19">
        <v>45645</v>
      </c>
    </row>
    <row r="593" spans="1:5">
      <c r="A593" s="61" t="s">
        <v>1249</v>
      </c>
      <c r="B593" s="62"/>
      <c r="C593" s="18" t="s">
        <v>302</v>
      </c>
      <c r="D593" s="18" t="s">
        <v>1250</v>
      </c>
      <c r="E593" s="19">
        <v>45652</v>
      </c>
    </row>
    <row r="594" spans="1:5">
      <c r="A594" s="61" t="s">
        <v>1251</v>
      </c>
      <c r="B594" s="62"/>
      <c r="C594" s="18" t="s">
        <v>302</v>
      </c>
      <c r="D594" s="18" t="s">
        <v>387</v>
      </c>
      <c r="E594" s="19">
        <v>45653</v>
      </c>
    </row>
    <row r="595" spans="1:5">
      <c r="A595" s="61" t="s">
        <v>1252</v>
      </c>
      <c r="B595" s="62"/>
      <c r="C595" s="18" t="s">
        <v>302</v>
      </c>
      <c r="D595" s="18" t="s">
        <v>457</v>
      </c>
      <c r="E595" s="19">
        <v>45653</v>
      </c>
    </row>
    <row r="596" spans="1:5">
      <c r="A596" s="61" t="s">
        <v>1253</v>
      </c>
      <c r="B596" s="62"/>
      <c r="C596" s="18" t="s">
        <v>302</v>
      </c>
      <c r="D596" s="18" t="s">
        <v>303</v>
      </c>
      <c r="E596" s="19">
        <v>45653</v>
      </c>
    </row>
    <row r="597" spans="1:5">
      <c r="A597" s="61" t="s">
        <v>1254</v>
      </c>
      <c r="B597" s="62"/>
      <c r="C597" s="18" t="s">
        <v>302</v>
      </c>
      <c r="D597" s="18" t="s">
        <v>309</v>
      </c>
      <c r="E597" s="19">
        <v>45653</v>
      </c>
    </row>
    <row r="598" spans="1:5">
      <c r="A598" s="61" t="s">
        <v>1255</v>
      </c>
      <c r="B598" s="62"/>
      <c r="C598" s="18" t="s">
        <v>313</v>
      </c>
      <c r="D598" s="18" t="s">
        <v>571</v>
      </c>
      <c r="E598" s="19">
        <v>45653</v>
      </c>
    </row>
    <row r="599" spans="1:5">
      <c r="A599" s="61" t="s">
        <v>1256</v>
      </c>
      <c r="B599" s="62"/>
      <c r="C599" s="18" t="s">
        <v>302</v>
      </c>
      <c r="D599" s="18" t="s">
        <v>387</v>
      </c>
      <c r="E599" s="19">
        <v>45665</v>
      </c>
    </row>
    <row r="600" spans="1:5">
      <c r="A600" s="61" t="s">
        <v>1257</v>
      </c>
      <c r="B600" s="62"/>
      <c r="C600" s="18" t="s">
        <v>302</v>
      </c>
      <c r="D600" s="18" t="s">
        <v>710</v>
      </c>
      <c r="E600" s="19">
        <v>45666</v>
      </c>
    </row>
    <row r="601" spans="1:5">
      <c r="A601" s="61" t="s">
        <v>1258</v>
      </c>
      <c r="B601" s="62"/>
      <c r="C601" s="18" t="s">
        <v>302</v>
      </c>
      <c r="D601" s="18" t="s">
        <v>329</v>
      </c>
      <c r="E601" s="19">
        <v>45666</v>
      </c>
    </row>
    <row r="602" spans="1:5">
      <c r="A602" s="61" t="s">
        <v>1259</v>
      </c>
      <c r="B602" s="62"/>
      <c r="C602" s="18" t="s">
        <v>302</v>
      </c>
      <c r="D602" s="18" t="s">
        <v>1260</v>
      </c>
      <c r="E602" s="19">
        <v>45666</v>
      </c>
    </row>
    <row r="603" spans="1:5">
      <c r="A603" s="61" t="s">
        <v>1261</v>
      </c>
      <c r="B603" s="62"/>
      <c r="C603" s="18" t="s">
        <v>313</v>
      </c>
      <c r="D603" s="18" t="s">
        <v>387</v>
      </c>
      <c r="E603" s="19">
        <v>45667</v>
      </c>
    </row>
    <row r="604" spans="1:5">
      <c r="A604" s="61" t="s">
        <v>1208</v>
      </c>
      <c r="B604" s="62"/>
      <c r="C604" s="18" t="s">
        <v>302</v>
      </c>
      <c r="D604" s="18" t="s">
        <v>1262</v>
      </c>
      <c r="E604" s="19">
        <v>45667</v>
      </c>
    </row>
    <row r="605" spans="1:5">
      <c r="A605" s="61" t="s">
        <v>1263</v>
      </c>
      <c r="B605" s="62"/>
      <c r="C605" s="18" t="s">
        <v>302</v>
      </c>
      <c r="D605" s="18" t="s">
        <v>495</v>
      </c>
      <c r="E605" s="19">
        <v>45668</v>
      </c>
    </row>
    <row r="606" spans="1:5">
      <c r="A606" s="61" t="s">
        <v>1264</v>
      </c>
      <c r="B606" s="62"/>
      <c r="C606" s="18" t="s">
        <v>313</v>
      </c>
      <c r="D606" s="18" t="s">
        <v>1265</v>
      </c>
      <c r="E606" s="19">
        <v>45673</v>
      </c>
    </row>
    <row r="607" spans="1:5">
      <c r="A607" s="61" t="s">
        <v>1266</v>
      </c>
      <c r="B607" s="62"/>
      <c r="C607" s="18" t="s">
        <v>302</v>
      </c>
      <c r="D607" s="18" t="s">
        <v>515</v>
      </c>
      <c r="E607" s="19">
        <v>45674</v>
      </c>
    </row>
    <row r="608" spans="1:5">
      <c r="A608" s="61" t="s">
        <v>1267</v>
      </c>
      <c r="B608" s="62"/>
      <c r="C608" s="18" t="s">
        <v>313</v>
      </c>
      <c r="D608" s="18" t="s">
        <v>1268</v>
      </c>
      <c r="E608" s="19">
        <v>45677</v>
      </c>
    </row>
    <row r="609" spans="1:5">
      <c r="A609" s="61" t="s">
        <v>1269</v>
      </c>
      <c r="B609" s="62"/>
      <c r="C609" s="18" t="s">
        <v>302</v>
      </c>
      <c r="D609" s="18" t="s">
        <v>475</v>
      </c>
      <c r="E609" s="19">
        <v>45677</v>
      </c>
    </row>
    <row r="610" spans="1:5">
      <c r="A610" s="61" t="s">
        <v>1270</v>
      </c>
      <c r="B610" s="62"/>
      <c r="C610" s="18" t="s">
        <v>313</v>
      </c>
      <c r="D610" s="18" t="s">
        <v>1271</v>
      </c>
      <c r="E610" s="19">
        <v>45677</v>
      </c>
    </row>
    <row r="611" spans="1:5">
      <c r="A611" s="61" t="s">
        <v>1272</v>
      </c>
      <c r="B611" s="62"/>
      <c r="C611" s="18" t="s">
        <v>302</v>
      </c>
      <c r="D611" s="18" t="s">
        <v>327</v>
      </c>
      <c r="E611" s="19">
        <v>45679</v>
      </c>
    </row>
    <row r="612" spans="1:5">
      <c r="A612" s="61" t="s">
        <v>1273</v>
      </c>
      <c r="B612" s="62"/>
      <c r="C612" s="18" t="s">
        <v>302</v>
      </c>
      <c r="D612" s="18" t="s">
        <v>307</v>
      </c>
      <c r="E612" s="19">
        <v>45681</v>
      </c>
    </row>
    <row r="613" spans="1:5">
      <c r="A613" s="61" t="s">
        <v>1274</v>
      </c>
      <c r="B613" s="62"/>
      <c r="C613" s="18" t="s">
        <v>302</v>
      </c>
      <c r="D613" s="18" t="s">
        <v>357</v>
      </c>
      <c r="E613" s="19">
        <v>45682</v>
      </c>
    </row>
    <row r="614" spans="1:5">
      <c r="A614" s="61" t="s">
        <v>609</v>
      </c>
      <c r="B614" s="62"/>
      <c r="C614" s="18" t="s">
        <v>302</v>
      </c>
      <c r="D614" s="18" t="s">
        <v>1275</v>
      </c>
      <c r="E614" s="19">
        <v>45682</v>
      </c>
    </row>
    <row r="615" spans="1:5">
      <c r="A615" s="61" t="s">
        <v>1276</v>
      </c>
      <c r="B615" s="62"/>
      <c r="C615" s="18" t="s">
        <v>302</v>
      </c>
      <c r="D615" s="18" t="s">
        <v>1277</v>
      </c>
      <c r="E615" s="19">
        <v>45684</v>
      </c>
    </row>
    <row r="616" spans="1:5">
      <c r="A616" s="61" t="s">
        <v>1278</v>
      </c>
      <c r="B616" s="62"/>
      <c r="C616" s="18" t="s">
        <v>302</v>
      </c>
      <c r="D616" s="18" t="s">
        <v>1279</v>
      </c>
      <c r="E616" s="19">
        <v>45686</v>
      </c>
    </row>
    <row r="617" spans="1:5">
      <c r="A617" s="61" t="s">
        <v>1280</v>
      </c>
      <c r="B617" s="62"/>
      <c r="C617" s="18" t="s">
        <v>302</v>
      </c>
      <c r="D617" s="18" t="s">
        <v>607</v>
      </c>
      <c r="E617" s="19">
        <v>45688</v>
      </c>
    </row>
    <row r="618" spans="1:5">
      <c r="A618" s="61" t="s">
        <v>1281</v>
      </c>
      <c r="B618" s="62"/>
      <c r="C618" s="18" t="s">
        <v>313</v>
      </c>
      <c r="D618" s="18" t="s">
        <v>740</v>
      </c>
      <c r="E618" s="19">
        <v>45688</v>
      </c>
    </row>
    <row r="619" spans="1:5">
      <c r="A619" s="61" t="s">
        <v>1282</v>
      </c>
      <c r="B619" s="62"/>
      <c r="C619" s="18" t="s">
        <v>313</v>
      </c>
      <c r="D619" s="18" t="s">
        <v>1283</v>
      </c>
      <c r="E619" s="19">
        <v>45688</v>
      </c>
    </row>
    <row r="620" spans="1:5">
      <c r="A620" s="61" t="s">
        <v>1284</v>
      </c>
      <c r="B620" s="62"/>
      <c r="C620" s="18" t="s">
        <v>302</v>
      </c>
      <c r="D620" s="18" t="s">
        <v>1285</v>
      </c>
      <c r="E620" s="19">
        <v>45691</v>
      </c>
    </row>
    <row r="621" spans="1:5">
      <c r="A621" s="61" t="s">
        <v>1286</v>
      </c>
      <c r="B621" s="62"/>
      <c r="C621" s="18" t="s">
        <v>302</v>
      </c>
      <c r="D621" s="18" t="s">
        <v>422</v>
      </c>
      <c r="E621" s="19">
        <v>45691</v>
      </c>
    </row>
    <row r="622" spans="1:5">
      <c r="A622" s="61" t="s">
        <v>1287</v>
      </c>
      <c r="B622" s="62"/>
      <c r="C622" s="18" t="s">
        <v>441</v>
      </c>
      <c r="D622" s="18" t="s">
        <v>1288</v>
      </c>
      <c r="E622" s="19">
        <v>45692</v>
      </c>
    </row>
    <row r="623" spans="1:5">
      <c r="A623" s="61" t="s">
        <v>1289</v>
      </c>
      <c r="B623" s="62"/>
      <c r="C623" s="18" t="s">
        <v>302</v>
      </c>
      <c r="D623" s="18" t="s">
        <v>495</v>
      </c>
      <c r="E623" s="19">
        <v>45694</v>
      </c>
    </row>
    <row r="624" spans="1:5">
      <c r="A624" s="61" t="s">
        <v>1290</v>
      </c>
      <c r="B624" s="62"/>
      <c r="C624" s="18" t="s">
        <v>302</v>
      </c>
      <c r="D624" s="18" t="s">
        <v>475</v>
      </c>
      <c r="E624" s="19">
        <v>45695</v>
      </c>
    </row>
    <row r="625" spans="1:5">
      <c r="A625" s="61" t="s">
        <v>1291</v>
      </c>
      <c r="B625" s="62"/>
      <c r="C625" s="18" t="s">
        <v>347</v>
      </c>
      <c r="D625" s="18" t="s">
        <v>357</v>
      </c>
      <c r="E625" s="19">
        <v>45695</v>
      </c>
    </row>
    <row r="626" spans="1:5">
      <c r="A626" s="61" t="s">
        <v>1292</v>
      </c>
      <c r="B626" s="62"/>
      <c r="C626" s="18" t="s">
        <v>302</v>
      </c>
      <c r="D626" s="18" t="s">
        <v>571</v>
      </c>
      <c r="E626" s="19">
        <v>45701</v>
      </c>
    </row>
    <row r="627" spans="1:5">
      <c r="A627" s="61" t="s">
        <v>1293</v>
      </c>
      <c r="B627" s="62"/>
      <c r="C627" s="18" t="s">
        <v>302</v>
      </c>
      <c r="D627" s="18" t="s">
        <v>1294</v>
      </c>
      <c r="E627" s="19">
        <v>45702</v>
      </c>
    </row>
    <row r="628" spans="1:5">
      <c r="A628" s="61" t="s">
        <v>1295</v>
      </c>
      <c r="B628" s="62"/>
      <c r="C628" s="18" t="s">
        <v>302</v>
      </c>
      <c r="D628" s="18" t="s">
        <v>432</v>
      </c>
      <c r="E628" s="19">
        <v>45702</v>
      </c>
    </row>
    <row r="629" spans="1:5">
      <c r="A629" s="61" t="s">
        <v>1296</v>
      </c>
      <c r="B629" s="62"/>
      <c r="C629" s="18" t="s">
        <v>302</v>
      </c>
      <c r="D629" s="18" t="s">
        <v>327</v>
      </c>
      <c r="E629" s="19">
        <v>45702</v>
      </c>
    </row>
    <row r="630" spans="1:5">
      <c r="A630" s="61" t="s">
        <v>1208</v>
      </c>
      <c r="B630" s="62"/>
      <c r="C630" s="18" t="s">
        <v>302</v>
      </c>
      <c r="D630" s="18" t="s">
        <v>559</v>
      </c>
      <c r="E630" s="19">
        <v>45703</v>
      </c>
    </row>
    <row r="631" spans="1:5">
      <c r="A631" s="61" t="s">
        <v>1297</v>
      </c>
      <c r="B631" s="62"/>
      <c r="C631" s="18" t="s">
        <v>302</v>
      </c>
      <c r="D631" s="18" t="s">
        <v>1285</v>
      </c>
      <c r="E631" s="19">
        <v>45705</v>
      </c>
    </row>
    <row r="632" spans="1:5">
      <c r="A632" s="61" t="s">
        <v>1298</v>
      </c>
      <c r="B632" s="62"/>
      <c r="C632" s="18" t="s">
        <v>302</v>
      </c>
      <c r="D632" s="18" t="s">
        <v>1299</v>
      </c>
      <c r="E632" s="19">
        <v>45706</v>
      </c>
    </row>
    <row r="633" spans="1:5">
      <c r="A633" s="61" t="s">
        <v>1300</v>
      </c>
      <c r="B633" s="62"/>
      <c r="C633" s="18" t="s">
        <v>302</v>
      </c>
      <c r="D633" s="18" t="s">
        <v>1301</v>
      </c>
      <c r="E633" s="19">
        <v>45708</v>
      </c>
    </row>
    <row r="634" spans="1:5">
      <c r="A634" s="61" t="s">
        <v>1302</v>
      </c>
      <c r="B634" s="62"/>
      <c r="C634" s="18" t="s">
        <v>302</v>
      </c>
      <c r="D634" s="18" t="s">
        <v>1303</v>
      </c>
      <c r="E634" s="19">
        <v>45712</v>
      </c>
    </row>
    <row r="635" spans="1:5">
      <c r="A635" s="61" t="s">
        <v>1304</v>
      </c>
      <c r="B635" s="62"/>
      <c r="C635" s="18" t="s">
        <v>302</v>
      </c>
      <c r="D635" s="18" t="s">
        <v>359</v>
      </c>
      <c r="E635" s="19">
        <v>45712</v>
      </c>
    </row>
    <row r="636" spans="1:5">
      <c r="A636" s="61" t="s">
        <v>1305</v>
      </c>
      <c r="B636" s="62"/>
      <c r="C636" s="18" t="s">
        <v>302</v>
      </c>
      <c r="D636" s="18" t="s">
        <v>327</v>
      </c>
      <c r="E636" s="19">
        <v>45712</v>
      </c>
    </row>
    <row r="637" spans="1:5">
      <c r="A637" s="61" t="s">
        <v>1306</v>
      </c>
      <c r="B637" s="62"/>
      <c r="C637" s="18" t="s">
        <v>302</v>
      </c>
      <c r="D637" s="18" t="s">
        <v>1307</v>
      </c>
      <c r="E637" s="19">
        <v>45713</v>
      </c>
    </row>
    <row r="638" spans="1:5">
      <c r="A638" s="61" t="s">
        <v>1308</v>
      </c>
      <c r="B638" s="62"/>
      <c r="C638" s="18" t="s">
        <v>302</v>
      </c>
      <c r="D638" s="18" t="s">
        <v>1309</v>
      </c>
      <c r="E638" s="19">
        <v>45715</v>
      </c>
    </row>
    <row r="639" spans="1:5">
      <c r="A639" s="61" t="s">
        <v>1310</v>
      </c>
      <c r="B639" s="62"/>
      <c r="C639" s="18" t="s">
        <v>302</v>
      </c>
      <c r="D639" s="18" t="s">
        <v>1311</v>
      </c>
      <c r="E639" s="19">
        <v>45715</v>
      </c>
    </row>
    <row r="640" spans="1:5">
      <c r="A640" s="61" t="s">
        <v>1312</v>
      </c>
      <c r="B640" s="62"/>
      <c r="C640" s="18" t="s">
        <v>302</v>
      </c>
      <c r="D640" s="18" t="s">
        <v>1313</v>
      </c>
      <c r="E640" s="19">
        <v>45715</v>
      </c>
    </row>
    <row r="641" spans="1:5">
      <c r="A641" s="61" t="s">
        <v>1314</v>
      </c>
      <c r="B641" s="62"/>
      <c r="C641" s="18" t="s">
        <v>302</v>
      </c>
      <c r="D641" s="18" t="s">
        <v>387</v>
      </c>
      <c r="E641" s="19">
        <v>45716</v>
      </c>
    </row>
    <row r="642" spans="1:5">
      <c r="A642" s="61" t="s">
        <v>1315</v>
      </c>
      <c r="B642" s="62"/>
      <c r="C642" s="18" t="s">
        <v>302</v>
      </c>
      <c r="D642" s="18" t="s">
        <v>578</v>
      </c>
      <c r="E642" s="19">
        <v>45722</v>
      </c>
    </row>
    <row r="643" spans="1:5">
      <c r="A643" s="61" t="s">
        <v>1316</v>
      </c>
      <c r="B643" s="62"/>
      <c r="C643" s="18" t="s">
        <v>313</v>
      </c>
      <c r="D643" s="18" t="s">
        <v>675</v>
      </c>
      <c r="E643" s="19">
        <v>45723</v>
      </c>
    </row>
    <row r="644" spans="1:5">
      <c r="A644" s="61" t="s">
        <v>1317</v>
      </c>
      <c r="B644" s="62"/>
      <c r="C644" s="18" t="s">
        <v>302</v>
      </c>
      <c r="D644" s="18" t="s">
        <v>1318</v>
      </c>
      <c r="E644" s="19">
        <v>45723</v>
      </c>
    </row>
    <row r="645" spans="1:5">
      <c r="A645" s="61" t="s">
        <v>1319</v>
      </c>
      <c r="B645" s="62"/>
      <c r="C645" s="18" t="s">
        <v>302</v>
      </c>
      <c r="D645" s="18" t="s">
        <v>1320</v>
      </c>
      <c r="E645" s="19">
        <v>45724</v>
      </c>
    </row>
    <row r="646" spans="1:5">
      <c r="A646" s="61" t="s">
        <v>1321</v>
      </c>
      <c r="B646" s="62"/>
      <c r="C646" s="18" t="s">
        <v>302</v>
      </c>
      <c r="D646" s="18" t="s">
        <v>692</v>
      </c>
      <c r="E646" s="19">
        <v>45726</v>
      </c>
    </row>
    <row r="647" spans="1:5">
      <c r="A647" s="61" t="s">
        <v>1322</v>
      </c>
      <c r="B647" s="62"/>
      <c r="C647" s="18" t="s">
        <v>302</v>
      </c>
      <c r="D647" s="18" t="s">
        <v>359</v>
      </c>
      <c r="E647" s="19">
        <v>45727</v>
      </c>
    </row>
    <row r="648" spans="1:5">
      <c r="A648" s="61" t="s">
        <v>1323</v>
      </c>
      <c r="B648" s="62"/>
      <c r="C648" s="18" t="s">
        <v>302</v>
      </c>
      <c r="D648" s="18" t="s">
        <v>1324</v>
      </c>
      <c r="E648" s="19">
        <v>45727</v>
      </c>
    </row>
    <row r="649" spans="1:5">
      <c r="A649" s="61" t="s">
        <v>1325</v>
      </c>
      <c r="B649" s="62"/>
      <c r="C649" s="18" t="s">
        <v>302</v>
      </c>
      <c r="D649" s="18" t="s">
        <v>1324</v>
      </c>
      <c r="E649" s="19">
        <v>45727</v>
      </c>
    </row>
    <row r="650" spans="1:5">
      <c r="A650" s="61" t="s">
        <v>1326</v>
      </c>
      <c r="B650" s="62"/>
      <c r="C650" s="18" t="s">
        <v>1159</v>
      </c>
      <c r="D650" s="18" t="s">
        <v>1327</v>
      </c>
      <c r="E650" s="19">
        <v>45728</v>
      </c>
    </row>
    <row r="651" spans="1:5">
      <c r="A651" s="61" t="s">
        <v>1328</v>
      </c>
      <c r="B651" s="62"/>
      <c r="C651" s="18" t="s">
        <v>302</v>
      </c>
      <c r="D651" s="18" t="s">
        <v>1220</v>
      </c>
      <c r="E651" s="19">
        <v>45730</v>
      </c>
    </row>
    <row r="652" spans="1:5">
      <c r="A652" s="61" t="s">
        <v>1329</v>
      </c>
      <c r="B652" s="62"/>
      <c r="C652" s="18" t="s">
        <v>302</v>
      </c>
      <c r="D652" s="18" t="s">
        <v>1330</v>
      </c>
      <c r="E652" s="19">
        <v>45730</v>
      </c>
    </row>
    <row r="653" spans="1:5">
      <c r="A653" s="61" t="s">
        <v>1331</v>
      </c>
      <c r="B653" s="62"/>
      <c r="C653" s="18" t="s">
        <v>302</v>
      </c>
      <c r="D653" s="18" t="s">
        <v>1332</v>
      </c>
      <c r="E653" s="19">
        <v>45733</v>
      </c>
    </row>
    <row r="654" spans="1:5">
      <c r="A654" s="61" t="s">
        <v>1333</v>
      </c>
      <c r="B654" s="62"/>
      <c r="C654" s="18" t="s">
        <v>441</v>
      </c>
      <c r="D654" s="18" t="s">
        <v>1334</v>
      </c>
      <c r="E654" s="19">
        <v>45734</v>
      </c>
    </row>
    <row r="655" spans="1:5">
      <c r="A655" s="61" t="s">
        <v>1335</v>
      </c>
      <c r="B655" s="62"/>
      <c r="C655" s="18" t="s">
        <v>441</v>
      </c>
      <c r="D655" s="18" t="s">
        <v>1336</v>
      </c>
      <c r="E655" s="19">
        <v>45734</v>
      </c>
    </row>
    <row r="656" spans="1:5">
      <c r="A656" s="61" t="s">
        <v>1337</v>
      </c>
      <c r="B656" s="62"/>
      <c r="C656" s="18" t="s">
        <v>441</v>
      </c>
      <c r="D656" s="18" t="s">
        <v>1338</v>
      </c>
      <c r="E656" s="19">
        <v>45734</v>
      </c>
    </row>
    <row r="657" spans="1:5">
      <c r="A657" s="61" t="s">
        <v>1339</v>
      </c>
      <c r="B657" s="62"/>
      <c r="C657" s="18" t="s">
        <v>441</v>
      </c>
      <c r="D657" s="18" t="s">
        <v>1340</v>
      </c>
      <c r="E657" s="19">
        <v>45734</v>
      </c>
    </row>
    <row r="658" spans="1:5">
      <c r="A658" s="61" t="s">
        <v>1341</v>
      </c>
      <c r="B658" s="62"/>
      <c r="C658" s="18" t="s">
        <v>302</v>
      </c>
      <c r="D658" s="18" t="s">
        <v>387</v>
      </c>
      <c r="E658" s="19">
        <v>45737</v>
      </c>
    </row>
    <row r="659" spans="1:5">
      <c r="A659" s="61" t="s">
        <v>1342</v>
      </c>
      <c r="B659" s="62"/>
      <c r="C659" s="18" t="s">
        <v>313</v>
      </c>
      <c r="D659" s="18" t="s">
        <v>1343</v>
      </c>
      <c r="E659" s="19">
        <v>45737</v>
      </c>
    </row>
    <row r="660" spans="1:5">
      <c r="A660" s="61" t="s">
        <v>1344</v>
      </c>
      <c r="B660" s="62"/>
      <c r="C660" s="18" t="s">
        <v>302</v>
      </c>
      <c r="D660" s="18" t="s">
        <v>327</v>
      </c>
      <c r="E660" s="19">
        <v>45737</v>
      </c>
    </row>
    <row r="661" spans="1:5">
      <c r="A661" s="61" t="s">
        <v>1345</v>
      </c>
      <c r="B661" s="62"/>
      <c r="C661" s="18" t="s">
        <v>302</v>
      </c>
      <c r="D661" s="18" t="s">
        <v>327</v>
      </c>
      <c r="E661" s="19">
        <v>45740</v>
      </c>
    </row>
    <row r="662" spans="1:5">
      <c r="A662" s="61" t="s">
        <v>1346</v>
      </c>
      <c r="B662" s="62"/>
      <c r="C662" s="18" t="s">
        <v>302</v>
      </c>
      <c r="D662" s="18" t="s">
        <v>475</v>
      </c>
      <c r="E662" s="19">
        <v>45741</v>
      </c>
    </row>
    <row r="663" spans="1:5">
      <c r="A663" s="61" t="s">
        <v>1347</v>
      </c>
      <c r="B663" s="62"/>
      <c r="C663" s="18" t="s">
        <v>302</v>
      </c>
      <c r="D663" s="18" t="s">
        <v>495</v>
      </c>
      <c r="E663" s="19">
        <v>45742</v>
      </c>
    </row>
    <row r="664" spans="1:5">
      <c r="A664" s="61" t="s">
        <v>1348</v>
      </c>
      <c r="B664" s="62"/>
      <c r="C664" s="18" t="s">
        <v>302</v>
      </c>
      <c r="D664" s="18" t="s">
        <v>303</v>
      </c>
      <c r="E664" s="19">
        <v>45743</v>
      </c>
    </row>
    <row r="665" spans="1:5">
      <c r="A665" s="61" t="s">
        <v>1349</v>
      </c>
      <c r="B665" s="62"/>
      <c r="C665" s="18" t="s">
        <v>302</v>
      </c>
      <c r="D665" s="18" t="s">
        <v>1151</v>
      </c>
      <c r="E665" s="19">
        <v>45744</v>
      </c>
    </row>
    <row r="666" spans="1:5">
      <c r="A666" s="61" t="s">
        <v>1350</v>
      </c>
      <c r="B666" s="62"/>
      <c r="C666" s="18" t="s">
        <v>302</v>
      </c>
      <c r="D666" s="18" t="s">
        <v>607</v>
      </c>
      <c r="E666" s="19">
        <v>45744</v>
      </c>
    </row>
    <row r="667" spans="1:5">
      <c r="A667" s="61" t="s">
        <v>1351</v>
      </c>
      <c r="B667" s="62"/>
      <c r="C667" s="18" t="s">
        <v>302</v>
      </c>
      <c r="D667" s="18" t="s">
        <v>1352</v>
      </c>
      <c r="E667" s="19">
        <v>45751</v>
      </c>
    </row>
    <row r="668" spans="1:5">
      <c r="A668" s="61" t="s">
        <v>1353</v>
      </c>
      <c r="B668" s="62"/>
      <c r="C668" s="18" t="s">
        <v>302</v>
      </c>
      <c r="D668" s="18" t="s">
        <v>1352</v>
      </c>
      <c r="E668" s="19">
        <v>45751</v>
      </c>
    </row>
    <row r="669" spans="1:5">
      <c r="A669" s="61" t="s">
        <v>1354</v>
      </c>
      <c r="B669" s="62"/>
      <c r="C669" s="18" t="s">
        <v>302</v>
      </c>
      <c r="D669" s="18" t="s">
        <v>495</v>
      </c>
      <c r="E669" s="19">
        <v>45753</v>
      </c>
    </row>
    <row r="670" spans="1:5">
      <c r="A670" s="61" t="s">
        <v>1355</v>
      </c>
      <c r="B670" s="62"/>
      <c r="C670" s="18" t="s">
        <v>313</v>
      </c>
      <c r="D670" s="18" t="s">
        <v>327</v>
      </c>
      <c r="E670" s="19">
        <v>45755</v>
      </c>
    </row>
    <row r="671" spans="1:5">
      <c r="A671" s="61" t="s">
        <v>1356</v>
      </c>
      <c r="B671" s="62"/>
      <c r="C671" s="18" t="s">
        <v>302</v>
      </c>
      <c r="D671" s="18" t="s">
        <v>1357</v>
      </c>
      <c r="E671" s="19">
        <v>45756</v>
      </c>
    </row>
    <row r="672" spans="1:5">
      <c r="A672" s="61" t="s">
        <v>1358</v>
      </c>
      <c r="B672" s="62"/>
      <c r="C672" s="18" t="s">
        <v>302</v>
      </c>
      <c r="D672" s="18" t="s">
        <v>1359</v>
      </c>
      <c r="E672" s="19">
        <v>45756</v>
      </c>
    </row>
    <row r="673" spans="1:5">
      <c r="A673" s="61" t="s">
        <v>1360</v>
      </c>
      <c r="B673" s="62"/>
      <c r="C673" s="18" t="s">
        <v>302</v>
      </c>
      <c r="D673" s="18" t="s">
        <v>1361</v>
      </c>
      <c r="E673" s="19">
        <v>45758</v>
      </c>
    </row>
    <row r="674" spans="1:5">
      <c r="A674" s="61" t="s">
        <v>1362</v>
      </c>
      <c r="B674" s="62"/>
      <c r="C674" s="18" t="s">
        <v>313</v>
      </c>
      <c r="D674" s="18" t="s">
        <v>1363</v>
      </c>
      <c r="E674" s="19">
        <v>45762</v>
      </c>
    </row>
    <row r="675" spans="1:5">
      <c r="A675" s="61" t="s">
        <v>1364</v>
      </c>
      <c r="B675" s="62"/>
      <c r="C675" s="18" t="s">
        <v>302</v>
      </c>
      <c r="D675" s="18" t="s">
        <v>1365</v>
      </c>
      <c r="E675" s="19">
        <v>45765</v>
      </c>
    </row>
    <row r="676" spans="1:5">
      <c r="A676" s="61" t="s">
        <v>1366</v>
      </c>
      <c r="B676" s="62"/>
      <c r="C676" s="18" t="s">
        <v>302</v>
      </c>
      <c r="D676" s="18" t="s">
        <v>1367</v>
      </c>
      <c r="E676" s="19">
        <v>45765</v>
      </c>
    </row>
    <row r="677" spans="1:5">
      <c r="A677" s="61" t="s">
        <v>1368</v>
      </c>
      <c r="B677" s="62"/>
      <c r="C677" s="18" t="s">
        <v>302</v>
      </c>
      <c r="D677" s="18" t="s">
        <v>600</v>
      </c>
      <c r="E677" s="19">
        <v>45770</v>
      </c>
    </row>
    <row r="678" spans="1:5">
      <c r="A678" s="61" t="s">
        <v>1369</v>
      </c>
      <c r="B678" s="62"/>
      <c r="C678" s="18" t="s">
        <v>313</v>
      </c>
      <c r="D678" s="18" t="s">
        <v>1370</v>
      </c>
      <c r="E678" s="19">
        <v>45771</v>
      </c>
    </row>
    <row r="679" spans="1:5">
      <c r="A679" s="61" t="s">
        <v>1362</v>
      </c>
      <c r="B679" s="62"/>
      <c r="C679" s="18" t="s">
        <v>313</v>
      </c>
      <c r="D679" s="18" t="s">
        <v>1371</v>
      </c>
      <c r="E679" s="19">
        <v>45771</v>
      </c>
    </row>
    <row r="680" spans="1:5">
      <c r="A680" s="61" t="s">
        <v>1372</v>
      </c>
      <c r="B680" s="62"/>
      <c r="C680" s="18" t="s">
        <v>302</v>
      </c>
      <c r="D680" s="18" t="s">
        <v>1373</v>
      </c>
      <c r="E680" s="19">
        <v>45772</v>
      </c>
    </row>
    <row r="681" spans="1:5">
      <c r="A681" s="61" t="s">
        <v>1374</v>
      </c>
      <c r="B681" s="62"/>
      <c r="C681" s="18" t="s">
        <v>302</v>
      </c>
      <c r="D681" s="18" t="s">
        <v>1373</v>
      </c>
      <c r="E681" s="19">
        <v>45772</v>
      </c>
    </row>
    <row r="682" spans="1:5">
      <c r="A682" s="61" t="s">
        <v>1375</v>
      </c>
      <c r="B682" s="62"/>
      <c r="C682" s="18" t="s">
        <v>302</v>
      </c>
      <c r="D682" s="18" t="s">
        <v>1376</v>
      </c>
      <c r="E682" s="19">
        <v>45772</v>
      </c>
    </row>
    <row r="683" spans="1:5">
      <c r="A683" s="61" t="s">
        <v>1377</v>
      </c>
      <c r="B683" s="62"/>
      <c r="C683" s="18" t="s">
        <v>302</v>
      </c>
      <c r="D683" s="18" t="s">
        <v>359</v>
      </c>
      <c r="E683" s="19">
        <v>45773</v>
      </c>
    </row>
    <row r="684" spans="1:5">
      <c r="A684" s="61" t="s">
        <v>1378</v>
      </c>
      <c r="B684" s="62"/>
      <c r="C684" s="18" t="s">
        <v>302</v>
      </c>
      <c r="D684" s="18" t="s">
        <v>576</v>
      </c>
      <c r="E684" s="19">
        <v>45773</v>
      </c>
    </row>
    <row r="685" spans="1:5">
      <c r="A685" s="61" t="s">
        <v>1379</v>
      </c>
      <c r="B685" s="62"/>
      <c r="C685" s="18" t="s">
        <v>302</v>
      </c>
      <c r="D685" s="18" t="s">
        <v>1380</v>
      </c>
      <c r="E685" s="19">
        <v>45777</v>
      </c>
    </row>
    <row r="686" spans="1:5">
      <c r="A686" s="61" t="s">
        <v>1381</v>
      </c>
      <c r="B686" s="62"/>
      <c r="C686" s="18" t="s">
        <v>302</v>
      </c>
      <c r="D686" s="18" t="s">
        <v>1247</v>
      </c>
      <c r="E686" s="19">
        <v>45778</v>
      </c>
    </row>
    <row r="687" spans="1:5">
      <c r="A687" s="61" t="s">
        <v>1382</v>
      </c>
      <c r="B687" s="62"/>
      <c r="C687" s="18" t="s">
        <v>302</v>
      </c>
      <c r="D687" s="18" t="s">
        <v>445</v>
      </c>
      <c r="E687" s="19">
        <v>45778</v>
      </c>
    </row>
    <row r="688" spans="1:5">
      <c r="A688" s="61" t="s">
        <v>1383</v>
      </c>
      <c r="B688" s="62"/>
      <c r="C688" s="18" t="s">
        <v>302</v>
      </c>
      <c r="D688" s="18" t="s">
        <v>1367</v>
      </c>
      <c r="E688" s="19">
        <v>45778</v>
      </c>
    </row>
    <row r="689" spans="1:5">
      <c r="A689" s="61" t="s">
        <v>1384</v>
      </c>
      <c r="B689" s="62"/>
      <c r="C689" s="18" t="s">
        <v>302</v>
      </c>
      <c r="D689" s="18" t="s">
        <v>626</v>
      </c>
      <c r="E689" s="19">
        <v>45778</v>
      </c>
    </row>
    <row r="690" spans="1:5">
      <c r="A690" s="61" t="s">
        <v>1385</v>
      </c>
      <c r="B690" s="62"/>
      <c r="C690" s="18" t="s">
        <v>302</v>
      </c>
      <c r="D690" s="18" t="s">
        <v>1386</v>
      </c>
      <c r="E690" s="19">
        <v>45778</v>
      </c>
    </row>
    <row r="691" spans="1:5">
      <c r="A691" s="61" t="s">
        <v>1387</v>
      </c>
      <c r="B691" s="62"/>
      <c r="C691" s="18" t="s">
        <v>302</v>
      </c>
      <c r="D691" s="18" t="s">
        <v>1380</v>
      </c>
      <c r="E691" s="19">
        <v>45778</v>
      </c>
    </row>
    <row r="692" spans="1:5">
      <c r="A692" s="61" t="s">
        <v>1388</v>
      </c>
      <c r="B692" s="62"/>
      <c r="C692" s="18" t="s">
        <v>302</v>
      </c>
      <c r="D692" s="18" t="s">
        <v>327</v>
      </c>
      <c r="E692" s="19">
        <v>45783</v>
      </c>
    </row>
    <row r="693" spans="1:5">
      <c r="A693" s="61" t="s">
        <v>1389</v>
      </c>
      <c r="B693" s="62"/>
      <c r="C693" s="18" t="s">
        <v>302</v>
      </c>
      <c r="D693" s="18" t="s">
        <v>327</v>
      </c>
      <c r="E693" s="19">
        <v>45783</v>
      </c>
    </row>
    <row r="694" spans="1:5">
      <c r="A694" s="61" t="s">
        <v>1390</v>
      </c>
      <c r="B694" s="62"/>
      <c r="C694" s="18" t="s">
        <v>302</v>
      </c>
      <c r="D694" s="18" t="s">
        <v>327</v>
      </c>
      <c r="E694" s="19">
        <v>45783</v>
      </c>
    </row>
    <row r="695" spans="1:5">
      <c r="A695" s="61" t="s">
        <v>1391</v>
      </c>
      <c r="B695" s="62"/>
      <c r="C695" s="18" t="s">
        <v>313</v>
      </c>
      <c r="D695" s="18" t="s">
        <v>1392</v>
      </c>
      <c r="E695" s="19">
        <v>45784</v>
      </c>
    </row>
    <row r="696" spans="1:5">
      <c r="A696" s="61" t="s">
        <v>1393</v>
      </c>
      <c r="B696" s="62"/>
      <c r="C696" s="18" t="s">
        <v>302</v>
      </c>
      <c r="D696" s="18" t="s">
        <v>710</v>
      </c>
      <c r="E696" s="19">
        <v>45784</v>
      </c>
    </row>
    <row r="697" spans="1:5">
      <c r="A697" s="61" t="s">
        <v>1394</v>
      </c>
      <c r="B697" s="62"/>
      <c r="C697" s="18" t="s">
        <v>302</v>
      </c>
      <c r="D697" s="18" t="s">
        <v>335</v>
      </c>
      <c r="E697" s="19">
        <v>45786</v>
      </c>
    </row>
    <row r="698" spans="1:5">
      <c r="A698" s="61" t="s">
        <v>1395</v>
      </c>
      <c r="B698" s="62"/>
      <c r="C698" s="18" t="s">
        <v>302</v>
      </c>
      <c r="D698" s="18" t="s">
        <v>1361</v>
      </c>
      <c r="E698" s="19">
        <v>45786</v>
      </c>
    </row>
    <row r="699" spans="1:5">
      <c r="A699" s="61" t="s">
        <v>1396</v>
      </c>
      <c r="B699" s="62"/>
      <c r="C699" s="18" t="s">
        <v>302</v>
      </c>
      <c r="D699" s="18" t="s">
        <v>628</v>
      </c>
      <c r="E699" s="19">
        <v>45789</v>
      </c>
    </row>
    <row r="700" spans="1:5">
      <c r="A700" s="61" t="s">
        <v>1397</v>
      </c>
      <c r="B700" s="62"/>
      <c r="C700" s="18" t="s">
        <v>302</v>
      </c>
      <c r="D700" s="18" t="s">
        <v>687</v>
      </c>
      <c r="E700" s="19">
        <v>45789</v>
      </c>
    </row>
    <row r="701" spans="1:5">
      <c r="A701" s="61" t="s">
        <v>1398</v>
      </c>
      <c r="B701" s="62"/>
      <c r="C701" s="18" t="s">
        <v>302</v>
      </c>
      <c r="D701" s="18" t="s">
        <v>1399</v>
      </c>
      <c r="E701" s="19">
        <v>45790</v>
      </c>
    </row>
    <row r="702" spans="1:5">
      <c r="A702" s="61" t="s">
        <v>1400</v>
      </c>
      <c r="B702" s="62"/>
      <c r="C702" s="18" t="s">
        <v>438</v>
      </c>
      <c r="D702" s="18" t="s">
        <v>1401</v>
      </c>
      <c r="E702" s="19">
        <v>45791</v>
      </c>
    </row>
    <row r="703" spans="1:5">
      <c r="A703" s="61" t="s">
        <v>1402</v>
      </c>
      <c r="B703" s="62"/>
      <c r="C703" s="18" t="s">
        <v>302</v>
      </c>
      <c r="D703" s="18" t="s">
        <v>600</v>
      </c>
      <c r="E703" s="19">
        <v>45792</v>
      </c>
    </row>
    <row r="704" spans="1:5">
      <c r="A704" s="61" t="s">
        <v>1403</v>
      </c>
      <c r="B704" s="62"/>
      <c r="C704" s="18" t="s">
        <v>302</v>
      </c>
      <c r="D704" s="18" t="s">
        <v>600</v>
      </c>
      <c r="E704" s="19">
        <v>45792</v>
      </c>
    </row>
    <row r="705" spans="1:5">
      <c r="A705" s="61" t="s">
        <v>1404</v>
      </c>
      <c r="B705" s="62"/>
      <c r="C705" s="18" t="s">
        <v>302</v>
      </c>
      <c r="D705" s="18" t="s">
        <v>1405</v>
      </c>
      <c r="E705" s="19">
        <v>45792</v>
      </c>
    </row>
    <row r="706" spans="1:5">
      <c r="A706" s="61" t="s">
        <v>1406</v>
      </c>
      <c r="B706" s="62"/>
      <c r="C706" s="18" t="s">
        <v>302</v>
      </c>
      <c r="D706" s="18" t="s">
        <v>393</v>
      </c>
      <c r="E706" s="19">
        <v>45793</v>
      </c>
    </row>
    <row r="707" spans="1:5">
      <c r="A707" s="61" t="s">
        <v>1407</v>
      </c>
      <c r="B707" s="62"/>
      <c r="C707" s="18" t="s">
        <v>1408</v>
      </c>
      <c r="D707" s="18" t="s">
        <v>1409</v>
      </c>
      <c r="E707" s="19">
        <v>45796</v>
      </c>
    </row>
    <row r="708" spans="1:5">
      <c r="A708" s="61" t="s">
        <v>1410</v>
      </c>
      <c r="B708" s="62"/>
      <c r="C708" s="18" t="s">
        <v>313</v>
      </c>
      <c r="D708" s="18" t="s">
        <v>798</v>
      </c>
      <c r="E708" s="19">
        <v>45796</v>
      </c>
    </row>
    <row r="709" spans="1:5">
      <c r="A709" s="61" t="s">
        <v>1411</v>
      </c>
      <c r="B709" s="62"/>
      <c r="C709" s="18" t="s">
        <v>1408</v>
      </c>
      <c r="D709" s="18" t="s">
        <v>1412</v>
      </c>
      <c r="E709" s="19">
        <v>45796</v>
      </c>
    </row>
    <row r="710" spans="1:5">
      <c r="A710" s="61" t="s">
        <v>1413</v>
      </c>
      <c r="B710" s="62"/>
      <c r="C710" s="18" t="s">
        <v>1408</v>
      </c>
      <c r="D710" s="18" t="s">
        <v>1414</v>
      </c>
      <c r="E710" s="19">
        <v>45796</v>
      </c>
    </row>
    <row r="711" spans="1:5">
      <c r="A711" s="61" t="s">
        <v>1415</v>
      </c>
      <c r="B711" s="62"/>
      <c r="C711" s="18" t="s">
        <v>1408</v>
      </c>
      <c r="D711" s="18" t="s">
        <v>1414</v>
      </c>
      <c r="E711" s="19">
        <v>45796</v>
      </c>
    </row>
    <row r="712" spans="1:5">
      <c r="A712" s="61" t="s">
        <v>1416</v>
      </c>
      <c r="B712" s="62"/>
      <c r="C712" s="18" t="s">
        <v>1408</v>
      </c>
      <c r="D712" s="18" t="s">
        <v>1412</v>
      </c>
      <c r="E712" s="19">
        <v>45796</v>
      </c>
    </row>
    <row r="713" spans="1:5">
      <c r="A713" s="61" t="s">
        <v>1417</v>
      </c>
      <c r="B713" s="62"/>
      <c r="C713" s="18" t="s">
        <v>302</v>
      </c>
      <c r="D713" s="18" t="s">
        <v>457</v>
      </c>
      <c r="E713" s="19">
        <v>45797</v>
      </c>
    </row>
    <row r="714" spans="1:5">
      <c r="A714" s="61" t="s">
        <v>1418</v>
      </c>
      <c r="B714" s="62"/>
      <c r="C714" s="18" t="s">
        <v>302</v>
      </c>
      <c r="D714" s="18" t="s">
        <v>1419</v>
      </c>
      <c r="E714" s="19">
        <v>45797</v>
      </c>
    </row>
    <row r="715" spans="1:5">
      <c r="A715" s="61" t="s">
        <v>1420</v>
      </c>
      <c r="B715" s="62"/>
      <c r="C715" s="18" t="s">
        <v>302</v>
      </c>
      <c r="D715" s="18" t="s">
        <v>1421</v>
      </c>
      <c r="E715" s="19">
        <v>45798</v>
      </c>
    </row>
    <row r="716" spans="1:5">
      <c r="A716" s="61" t="s">
        <v>1422</v>
      </c>
      <c r="B716" s="62"/>
      <c r="C716" s="18" t="s">
        <v>302</v>
      </c>
      <c r="D716" s="18" t="s">
        <v>359</v>
      </c>
      <c r="E716" s="19">
        <v>45800</v>
      </c>
    </row>
    <row r="717" spans="1:5">
      <c r="A717" s="61" t="s">
        <v>1423</v>
      </c>
      <c r="B717" s="62"/>
      <c r="C717" s="18" t="s">
        <v>302</v>
      </c>
      <c r="D717" s="18" t="s">
        <v>1309</v>
      </c>
      <c r="E717" s="19">
        <v>45804</v>
      </c>
    </row>
    <row r="718" spans="1:5">
      <c r="A718" s="61" t="s">
        <v>1424</v>
      </c>
      <c r="B718" s="62"/>
      <c r="C718" s="18" t="s">
        <v>1408</v>
      </c>
      <c r="D718" s="18" t="s">
        <v>1414</v>
      </c>
      <c r="E718" s="19">
        <v>45805</v>
      </c>
    </row>
    <row r="719" spans="1:5">
      <c r="A719" s="61" t="s">
        <v>1425</v>
      </c>
      <c r="B719" s="62"/>
      <c r="C719" s="18" t="s">
        <v>1408</v>
      </c>
      <c r="D719" s="18" t="s">
        <v>1426</v>
      </c>
      <c r="E719" s="19">
        <v>45805</v>
      </c>
    </row>
    <row r="720" spans="1:5">
      <c r="A720" s="61" t="s">
        <v>1427</v>
      </c>
      <c r="B720" s="62"/>
      <c r="C720" s="18" t="s">
        <v>1408</v>
      </c>
      <c r="D720" s="18" t="s">
        <v>1412</v>
      </c>
      <c r="E720" s="19">
        <v>45805</v>
      </c>
    </row>
    <row r="721" spans="1:5">
      <c r="A721" s="61" t="s">
        <v>1428</v>
      </c>
      <c r="B721" s="62"/>
      <c r="C721" s="18" t="s">
        <v>302</v>
      </c>
      <c r="D721" s="18" t="s">
        <v>303</v>
      </c>
      <c r="E721" s="19">
        <v>45806</v>
      </c>
    </row>
    <row r="722" spans="1:5">
      <c r="A722" s="61" t="s">
        <v>1429</v>
      </c>
      <c r="B722" s="62"/>
      <c r="C722" s="18" t="s">
        <v>313</v>
      </c>
      <c r="D722" s="18" t="s">
        <v>1430</v>
      </c>
      <c r="E722" s="19">
        <v>45806</v>
      </c>
    </row>
    <row r="723" spans="1:5">
      <c r="A723" s="61" t="s">
        <v>1431</v>
      </c>
      <c r="B723" s="62"/>
      <c r="C723" s="18" t="s">
        <v>302</v>
      </c>
      <c r="D723" s="18" t="s">
        <v>475</v>
      </c>
      <c r="E723" s="19">
        <v>45806</v>
      </c>
    </row>
    <row r="724" spans="1:5">
      <c r="A724" s="61" t="s">
        <v>1432</v>
      </c>
      <c r="B724" s="62"/>
      <c r="C724" s="18" t="s">
        <v>302</v>
      </c>
      <c r="D724" s="18" t="s">
        <v>1433</v>
      </c>
      <c r="E724" s="19">
        <v>45807</v>
      </c>
    </row>
    <row r="725" spans="1:5">
      <c r="A725" s="61" t="s">
        <v>1434</v>
      </c>
      <c r="B725" s="62"/>
      <c r="C725" s="18" t="s">
        <v>302</v>
      </c>
      <c r="D725" s="18" t="s">
        <v>1435</v>
      </c>
      <c r="E725" s="19">
        <v>45807</v>
      </c>
    </row>
    <row r="726" spans="1:5">
      <c r="A726" s="61" t="s">
        <v>1436</v>
      </c>
      <c r="B726" s="62"/>
      <c r="C726" s="18" t="s">
        <v>302</v>
      </c>
      <c r="D726" s="18" t="s">
        <v>1303</v>
      </c>
      <c r="E726" s="19">
        <v>45807</v>
      </c>
    </row>
    <row r="727" spans="1:5">
      <c r="A727" s="61" t="s">
        <v>1437</v>
      </c>
      <c r="B727" s="62"/>
      <c r="C727" s="18" t="s">
        <v>302</v>
      </c>
      <c r="D727" s="18" t="s">
        <v>327</v>
      </c>
      <c r="E727" s="19">
        <v>45809</v>
      </c>
    </row>
    <row r="728" spans="1:5">
      <c r="A728" s="61" t="s">
        <v>1438</v>
      </c>
      <c r="B728" s="62"/>
      <c r="C728" s="18" t="s">
        <v>302</v>
      </c>
      <c r="D728" s="18" t="s">
        <v>329</v>
      </c>
      <c r="E728" s="19">
        <v>45809</v>
      </c>
    </row>
    <row r="729" spans="1:5">
      <c r="A729" s="61" t="s">
        <v>1439</v>
      </c>
      <c r="B729" s="62"/>
      <c r="C729" s="18" t="s">
        <v>302</v>
      </c>
      <c r="D729" s="18" t="s">
        <v>1440</v>
      </c>
      <c r="E729" s="19">
        <v>45810</v>
      </c>
    </row>
    <row r="730" spans="1:5">
      <c r="A730" s="61" t="s">
        <v>1441</v>
      </c>
      <c r="B730" s="62"/>
      <c r="C730" s="18" t="s">
        <v>1408</v>
      </c>
      <c r="D730" s="18" t="s">
        <v>1442</v>
      </c>
      <c r="E730" s="19">
        <v>45810</v>
      </c>
    </row>
    <row r="731" spans="1:5">
      <c r="A731" s="61" t="s">
        <v>1443</v>
      </c>
      <c r="B731" s="62"/>
      <c r="C731" s="18" t="s">
        <v>302</v>
      </c>
      <c r="D731" s="18" t="s">
        <v>1444</v>
      </c>
      <c r="E731" s="19">
        <v>45810</v>
      </c>
    </row>
    <row r="732" spans="1:5">
      <c r="A732" s="61" t="s">
        <v>1445</v>
      </c>
      <c r="B732" s="62"/>
      <c r="C732" s="18" t="s">
        <v>302</v>
      </c>
      <c r="D732" s="18" t="s">
        <v>414</v>
      </c>
      <c r="E732" s="19">
        <v>45810</v>
      </c>
    </row>
    <row r="733" spans="1:5">
      <c r="A733" s="61" t="s">
        <v>1446</v>
      </c>
      <c r="B733" s="62"/>
      <c r="C733" s="18" t="s">
        <v>302</v>
      </c>
      <c r="D733" s="18" t="s">
        <v>633</v>
      </c>
      <c r="E733" s="19">
        <v>45810</v>
      </c>
    </row>
    <row r="734" spans="1:5">
      <c r="A734" s="61" t="s">
        <v>1447</v>
      </c>
      <c r="B734" s="62"/>
      <c r="C734" s="18" t="s">
        <v>302</v>
      </c>
      <c r="D734" s="18" t="s">
        <v>1299</v>
      </c>
      <c r="E734" s="19">
        <v>45810</v>
      </c>
    </row>
    <row r="735" spans="1:5">
      <c r="A735" s="61" t="s">
        <v>1448</v>
      </c>
      <c r="B735" s="62"/>
      <c r="C735" s="18" t="s">
        <v>313</v>
      </c>
      <c r="D735" s="18" t="s">
        <v>607</v>
      </c>
      <c r="E735" s="19">
        <v>45811</v>
      </c>
    </row>
    <row r="736" spans="1:5">
      <c r="A736" s="61" t="s">
        <v>1449</v>
      </c>
      <c r="B736" s="62"/>
      <c r="C736" s="18" t="s">
        <v>1408</v>
      </c>
      <c r="D736" s="18" t="s">
        <v>1412</v>
      </c>
      <c r="E736" s="19">
        <v>45812</v>
      </c>
    </row>
    <row r="737" spans="1:5">
      <c r="A737" s="61" t="s">
        <v>1450</v>
      </c>
      <c r="B737" s="62"/>
      <c r="C737" s="18" t="s">
        <v>1408</v>
      </c>
      <c r="D737" s="18" t="s">
        <v>1451</v>
      </c>
      <c r="E737" s="19">
        <v>45812</v>
      </c>
    </row>
    <row r="738" spans="1:5">
      <c r="A738" s="61" t="s">
        <v>1452</v>
      </c>
      <c r="B738" s="62"/>
      <c r="C738" s="18" t="s">
        <v>1408</v>
      </c>
      <c r="D738" s="18" t="s">
        <v>1451</v>
      </c>
      <c r="E738" s="19">
        <v>45812</v>
      </c>
    </row>
    <row r="739" spans="1:5">
      <c r="A739" s="61" t="s">
        <v>1453</v>
      </c>
      <c r="B739" s="62"/>
      <c r="C739" s="18" t="s">
        <v>1408</v>
      </c>
      <c r="D739" s="18" t="s">
        <v>1412</v>
      </c>
      <c r="E739" s="19">
        <v>45812</v>
      </c>
    </row>
    <row r="740" spans="1:5">
      <c r="A740" s="61" t="s">
        <v>1454</v>
      </c>
      <c r="B740" s="62"/>
      <c r="C740" s="18" t="s">
        <v>1408</v>
      </c>
      <c r="D740" s="18" t="s">
        <v>1412</v>
      </c>
      <c r="E740" s="19">
        <v>45812</v>
      </c>
    </row>
    <row r="741" spans="1:5">
      <c r="A741" s="61" t="s">
        <v>1455</v>
      </c>
      <c r="B741" s="62"/>
      <c r="C741" s="18" t="s">
        <v>1408</v>
      </c>
      <c r="D741" s="18" t="s">
        <v>1412</v>
      </c>
      <c r="E741" s="19">
        <v>45812</v>
      </c>
    </row>
    <row r="742" spans="1:5">
      <c r="A742" s="61" t="s">
        <v>1456</v>
      </c>
      <c r="B742" s="62"/>
      <c r="C742" s="18" t="s">
        <v>1408</v>
      </c>
      <c r="D742" s="18" t="s">
        <v>1457</v>
      </c>
      <c r="E742" s="19">
        <v>45812</v>
      </c>
    </row>
    <row r="743" spans="1:5">
      <c r="A743" s="61" t="s">
        <v>1458</v>
      </c>
      <c r="B743" s="62"/>
      <c r="C743" s="18" t="s">
        <v>1408</v>
      </c>
      <c r="D743" s="18" t="s">
        <v>1412</v>
      </c>
      <c r="E743" s="19">
        <v>45813</v>
      </c>
    </row>
    <row r="744" spans="1:5">
      <c r="A744" s="61" t="s">
        <v>1459</v>
      </c>
      <c r="B744" s="62"/>
      <c r="C744" s="18" t="s">
        <v>1408</v>
      </c>
      <c r="D744" s="18" t="s">
        <v>1412</v>
      </c>
      <c r="E744" s="19">
        <v>45813</v>
      </c>
    </row>
    <row r="745" spans="1:5">
      <c r="A745" s="61" t="s">
        <v>1460</v>
      </c>
      <c r="B745" s="62"/>
      <c r="C745" s="18" t="s">
        <v>1408</v>
      </c>
      <c r="D745" s="18" t="s">
        <v>1461</v>
      </c>
      <c r="E745" s="19">
        <v>45813</v>
      </c>
    </row>
    <row r="746" spans="1:5">
      <c r="A746" s="61" t="s">
        <v>1462</v>
      </c>
      <c r="B746" s="62"/>
      <c r="C746" s="18" t="s">
        <v>1408</v>
      </c>
      <c r="D746" s="18" t="s">
        <v>1461</v>
      </c>
      <c r="E746" s="19">
        <v>45813</v>
      </c>
    </row>
    <row r="747" spans="1:5">
      <c r="A747" s="61" t="s">
        <v>1463</v>
      </c>
      <c r="B747" s="62"/>
      <c r="C747" s="18" t="s">
        <v>302</v>
      </c>
      <c r="D747" s="18" t="s">
        <v>307</v>
      </c>
      <c r="E747" s="19">
        <v>45813</v>
      </c>
    </row>
    <row r="748" spans="1:5">
      <c r="A748" s="61" t="s">
        <v>1464</v>
      </c>
      <c r="B748" s="62"/>
      <c r="C748" s="18" t="s">
        <v>302</v>
      </c>
      <c r="D748" s="18" t="s">
        <v>303</v>
      </c>
      <c r="E748" s="19">
        <v>45813</v>
      </c>
    </row>
    <row r="749" spans="1:5">
      <c r="A749" s="61" t="s">
        <v>1465</v>
      </c>
      <c r="B749" s="62"/>
      <c r="C749" s="18" t="s">
        <v>1408</v>
      </c>
      <c r="D749" s="18" t="s">
        <v>1412</v>
      </c>
      <c r="E749" s="19">
        <v>45813</v>
      </c>
    </row>
    <row r="750" spans="1:5">
      <c r="A750" s="61" t="s">
        <v>1466</v>
      </c>
      <c r="B750" s="62"/>
      <c r="C750" s="18" t="s">
        <v>1408</v>
      </c>
      <c r="D750" s="18" t="s">
        <v>1412</v>
      </c>
      <c r="E750" s="19">
        <v>45814</v>
      </c>
    </row>
    <row r="751" spans="1:5">
      <c r="A751" s="61" t="s">
        <v>1467</v>
      </c>
      <c r="B751" s="62"/>
      <c r="C751" s="18" t="s">
        <v>1408</v>
      </c>
      <c r="D751" s="18" t="s">
        <v>1412</v>
      </c>
      <c r="E751" s="19">
        <v>45814</v>
      </c>
    </row>
    <row r="752" spans="1:5">
      <c r="A752" s="61" t="s">
        <v>1468</v>
      </c>
      <c r="B752" s="62"/>
      <c r="C752" s="18" t="s">
        <v>302</v>
      </c>
      <c r="D752" s="18" t="s">
        <v>422</v>
      </c>
      <c r="E752" s="19">
        <v>45814</v>
      </c>
    </row>
    <row r="753" spans="1:5">
      <c r="A753" s="61" t="s">
        <v>1469</v>
      </c>
      <c r="B753" s="62"/>
      <c r="C753" s="18" t="s">
        <v>302</v>
      </c>
      <c r="D753" s="18" t="s">
        <v>422</v>
      </c>
      <c r="E753" s="19">
        <v>45814</v>
      </c>
    </row>
    <row r="754" spans="1:5">
      <c r="A754" s="61" t="s">
        <v>1470</v>
      </c>
      <c r="B754" s="62"/>
      <c r="C754" s="18" t="s">
        <v>1408</v>
      </c>
      <c r="D754" s="18" t="s">
        <v>1471</v>
      </c>
      <c r="E754" s="19">
        <v>45814</v>
      </c>
    </row>
    <row r="755" spans="1:5">
      <c r="A755" s="61" t="s">
        <v>1472</v>
      </c>
      <c r="B755" s="62"/>
      <c r="C755" s="18" t="s">
        <v>313</v>
      </c>
      <c r="D755" s="18" t="s">
        <v>1473</v>
      </c>
      <c r="E755" s="19">
        <v>45814</v>
      </c>
    </row>
    <row r="756" spans="1:5">
      <c r="A756" s="61" t="s">
        <v>1474</v>
      </c>
      <c r="B756" s="62"/>
      <c r="C756" s="18" t="s">
        <v>302</v>
      </c>
      <c r="D756" s="18" t="s">
        <v>1475</v>
      </c>
      <c r="E756" s="19">
        <v>45816</v>
      </c>
    </row>
    <row r="757" spans="1:5">
      <c r="A757" s="61" t="s">
        <v>1476</v>
      </c>
      <c r="B757" s="62"/>
      <c r="C757" s="18" t="s">
        <v>365</v>
      </c>
      <c r="D757" s="18" t="s">
        <v>1412</v>
      </c>
      <c r="E757" s="19">
        <v>45817</v>
      </c>
    </row>
    <row r="758" spans="1:5">
      <c r="A758" s="61" t="s">
        <v>1477</v>
      </c>
      <c r="B758" s="62"/>
      <c r="C758" s="18" t="s">
        <v>1408</v>
      </c>
      <c r="D758" s="18" t="s">
        <v>1457</v>
      </c>
      <c r="E758" s="19">
        <v>45817</v>
      </c>
    </row>
    <row r="759" spans="1:5">
      <c r="A759" s="61" t="s">
        <v>1478</v>
      </c>
      <c r="B759" s="62"/>
      <c r="C759" s="18" t="s">
        <v>1408</v>
      </c>
      <c r="D759" s="18" t="s">
        <v>1479</v>
      </c>
      <c r="E759" s="19">
        <v>45817</v>
      </c>
    </row>
    <row r="760" spans="1:5">
      <c r="A760" s="61" t="s">
        <v>1480</v>
      </c>
      <c r="B760" s="62"/>
      <c r="C760" s="18" t="s">
        <v>302</v>
      </c>
      <c r="D760" s="18" t="s">
        <v>1481</v>
      </c>
      <c r="E760" s="19">
        <v>45817</v>
      </c>
    </row>
    <row r="761" spans="1:5">
      <c r="A761" s="61" t="s">
        <v>1482</v>
      </c>
      <c r="B761" s="62"/>
      <c r="C761" s="18" t="s">
        <v>302</v>
      </c>
      <c r="D761" s="18" t="s">
        <v>325</v>
      </c>
      <c r="E761" s="19">
        <v>45817</v>
      </c>
    </row>
    <row r="762" spans="1:5">
      <c r="A762" s="61" t="s">
        <v>1483</v>
      </c>
      <c r="B762" s="62"/>
      <c r="C762" s="18" t="s">
        <v>1408</v>
      </c>
      <c r="D762" s="18" t="s">
        <v>1442</v>
      </c>
      <c r="E762" s="19">
        <v>45819</v>
      </c>
    </row>
    <row r="763" spans="1:5">
      <c r="A763" s="61" t="s">
        <v>1484</v>
      </c>
      <c r="B763" s="62"/>
      <c r="C763" s="18" t="s">
        <v>1408</v>
      </c>
      <c r="D763" s="18" t="s">
        <v>1412</v>
      </c>
      <c r="E763" s="19">
        <v>45819</v>
      </c>
    </row>
    <row r="764" spans="1:5">
      <c r="A764" s="61" t="s">
        <v>1485</v>
      </c>
      <c r="B764" s="62"/>
      <c r="C764" s="18" t="s">
        <v>1408</v>
      </c>
      <c r="D764" s="18" t="s">
        <v>1412</v>
      </c>
      <c r="E764" s="19">
        <v>45819</v>
      </c>
    </row>
    <row r="765" spans="1:5">
      <c r="A765" s="61" t="s">
        <v>1486</v>
      </c>
      <c r="B765" s="62"/>
      <c r="C765" s="18" t="s">
        <v>1408</v>
      </c>
      <c r="D765" s="18" t="s">
        <v>1426</v>
      </c>
      <c r="E765" s="19">
        <v>45819</v>
      </c>
    </row>
    <row r="766" spans="1:5">
      <c r="A766" s="61" t="s">
        <v>1487</v>
      </c>
      <c r="B766" s="62"/>
      <c r="C766" s="18" t="s">
        <v>302</v>
      </c>
      <c r="D766" s="18" t="s">
        <v>475</v>
      </c>
      <c r="E766" s="19">
        <v>45819</v>
      </c>
    </row>
    <row r="767" spans="1:5">
      <c r="A767" s="61" t="s">
        <v>1488</v>
      </c>
      <c r="B767" s="62"/>
      <c r="C767" s="18" t="s">
        <v>313</v>
      </c>
      <c r="D767" s="18" t="s">
        <v>1489</v>
      </c>
      <c r="E767" s="19">
        <v>45820</v>
      </c>
    </row>
    <row r="768" spans="1:5">
      <c r="A768" s="61" t="s">
        <v>1490</v>
      </c>
      <c r="B768" s="62"/>
      <c r="C768" s="18" t="s">
        <v>302</v>
      </c>
      <c r="D768" s="18" t="s">
        <v>1491</v>
      </c>
      <c r="E768" s="19">
        <v>45820</v>
      </c>
    </row>
    <row r="769" spans="1:5">
      <c r="A769" s="61" t="s">
        <v>1492</v>
      </c>
      <c r="B769" s="62"/>
      <c r="C769" s="18" t="s">
        <v>302</v>
      </c>
      <c r="D769" s="18" t="s">
        <v>1493</v>
      </c>
      <c r="E769" s="19">
        <v>45820</v>
      </c>
    </row>
    <row r="770" spans="1:5">
      <c r="A770" s="61" t="s">
        <v>1494</v>
      </c>
      <c r="B770" s="62"/>
      <c r="C770" s="18" t="s">
        <v>302</v>
      </c>
      <c r="D770" s="18" t="s">
        <v>1495</v>
      </c>
      <c r="E770" s="19">
        <v>45821</v>
      </c>
    </row>
    <row r="771" spans="1:5">
      <c r="A771" s="61" t="s">
        <v>1496</v>
      </c>
      <c r="B771" s="62"/>
      <c r="C771" s="18" t="s">
        <v>1408</v>
      </c>
      <c r="D771" s="18" t="s">
        <v>1412</v>
      </c>
      <c r="E771" s="19">
        <v>45822</v>
      </c>
    </row>
    <row r="772" spans="1:5">
      <c r="A772" s="61" t="s">
        <v>1497</v>
      </c>
      <c r="B772" s="62"/>
      <c r="C772" s="18" t="s">
        <v>1408</v>
      </c>
      <c r="D772" s="18" t="s">
        <v>1498</v>
      </c>
      <c r="E772" s="19">
        <v>45822</v>
      </c>
    </row>
    <row r="773" spans="1:5">
      <c r="A773" s="61" t="s">
        <v>1499</v>
      </c>
      <c r="B773" s="62"/>
      <c r="C773" s="18" t="s">
        <v>1408</v>
      </c>
      <c r="D773" s="18" t="s">
        <v>1412</v>
      </c>
      <c r="E773" s="19">
        <v>45826</v>
      </c>
    </row>
    <row r="774" spans="1:5">
      <c r="A774" s="61" t="s">
        <v>1500</v>
      </c>
      <c r="B774" s="62"/>
      <c r="C774" s="18" t="s">
        <v>1408</v>
      </c>
      <c r="D774" s="18" t="s">
        <v>1412</v>
      </c>
      <c r="E774" s="19">
        <v>45826</v>
      </c>
    </row>
    <row r="775" spans="1:5">
      <c r="A775" s="61" t="s">
        <v>1449</v>
      </c>
      <c r="B775" s="62"/>
      <c r="C775" s="18" t="s">
        <v>1408</v>
      </c>
      <c r="D775" s="18" t="s">
        <v>1412</v>
      </c>
      <c r="E775" s="19">
        <v>45826</v>
      </c>
    </row>
    <row r="776" spans="1:5">
      <c r="A776" s="61" t="s">
        <v>1501</v>
      </c>
      <c r="B776" s="62"/>
      <c r="C776" s="18" t="s">
        <v>441</v>
      </c>
      <c r="D776" s="18" t="s">
        <v>1502</v>
      </c>
      <c r="E776" s="19">
        <v>45826</v>
      </c>
    </row>
    <row r="777" spans="1:5">
      <c r="A777" s="61" t="s">
        <v>1503</v>
      </c>
      <c r="B777" s="62"/>
      <c r="C777" s="18" t="s">
        <v>441</v>
      </c>
      <c r="D777" s="18" t="s">
        <v>1504</v>
      </c>
      <c r="E777" s="19">
        <v>45826</v>
      </c>
    </row>
    <row r="778" spans="1:5">
      <c r="A778" s="61" t="s">
        <v>1505</v>
      </c>
      <c r="B778" s="62"/>
      <c r="C778" s="18" t="s">
        <v>441</v>
      </c>
      <c r="D778" s="18" t="s">
        <v>1506</v>
      </c>
      <c r="E778" s="19">
        <v>45826</v>
      </c>
    </row>
    <row r="779" spans="1:5">
      <c r="A779" s="61" t="s">
        <v>1505</v>
      </c>
      <c r="B779" s="62"/>
      <c r="C779" s="18" t="s">
        <v>441</v>
      </c>
      <c r="D779" s="18" t="s">
        <v>1507</v>
      </c>
      <c r="E779" s="19">
        <v>45826</v>
      </c>
    </row>
    <row r="780" spans="1:5">
      <c r="A780" s="61" t="s">
        <v>1508</v>
      </c>
      <c r="B780" s="62"/>
      <c r="C780" s="18" t="s">
        <v>1408</v>
      </c>
      <c r="D780" s="18" t="s">
        <v>1412</v>
      </c>
      <c r="E780" s="19">
        <v>45827</v>
      </c>
    </row>
    <row r="781" spans="1:5">
      <c r="A781" s="61" t="s">
        <v>1509</v>
      </c>
      <c r="B781" s="62"/>
      <c r="C781" s="18" t="s">
        <v>1408</v>
      </c>
      <c r="D781" s="18" t="s">
        <v>1442</v>
      </c>
      <c r="E781" s="19">
        <v>45827</v>
      </c>
    </row>
    <row r="782" spans="1:5">
      <c r="A782" s="61" t="s">
        <v>1510</v>
      </c>
      <c r="B782" s="62"/>
      <c r="C782" s="18" t="s">
        <v>1408</v>
      </c>
      <c r="D782" s="18" t="s">
        <v>1412</v>
      </c>
      <c r="E782" s="19">
        <v>45827</v>
      </c>
    </row>
    <row r="783" spans="1:5">
      <c r="A783" s="61" t="s">
        <v>1453</v>
      </c>
      <c r="B783" s="62"/>
      <c r="C783" s="18" t="s">
        <v>1408</v>
      </c>
      <c r="D783" s="18" t="s">
        <v>1412</v>
      </c>
      <c r="E783" s="19">
        <v>45827</v>
      </c>
    </row>
    <row r="784" spans="1:5">
      <c r="A784" s="61" t="s">
        <v>1511</v>
      </c>
      <c r="B784" s="62"/>
      <c r="C784" s="18" t="s">
        <v>1408</v>
      </c>
      <c r="D784" s="18" t="s">
        <v>1457</v>
      </c>
      <c r="E784" s="19">
        <v>45827</v>
      </c>
    </row>
    <row r="785" spans="1:5">
      <c r="A785" s="61" t="s">
        <v>1512</v>
      </c>
      <c r="B785" s="62"/>
      <c r="C785" s="18" t="s">
        <v>1408</v>
      </c>
      <c r="D785" s="18" t="s">
        <v>1412</v>
      </c>
      <c r="E785" s="19">
        <v>45827</v>
      </c>
    </row>
    <row r="786" spans="1:5">
      <c r="A786" s="61" t="s">
        <v>1513</v>
      </c>
      <c r="B786" s="62"/>
      <c r="C786" s="18" t="s">
        <v>1408</v>
      </c>
      <c r="D786" s="18" t="s">
        <v>1461</v>
      </c>
      <c r="E786" s="19">
        <v>45828</v>
      </c>
    </row>
    <row r="787" spans="1:5">
      <c r="A787" s="61" t="s">
        <v>1514</v>
      </c>
      <c r="B787" s="62"/>
      <c r="C787" s="18" t="s">
        <v>1408</v>
      </c>
      <c r="D787" s="18" t="s">
        <v>1412</v>
      </c>
      <c r="E787" s="19">
        <v>45832</v>
      </c>
    </row>
    <row r="788" spans="1:5">
      <c r="A788" s="61" t="s">
        <v>1515</v>
      </c>
      <c r="B788" s="62"/>
      <c r="C788" s="18" t="s">
        <v>1159</v>
      </c>
      <c r="D788" s="18" t="s">
        <v>1409</v>
      </c>
      <c r="E788" s="19">
        <v>45834</v>
      </c>
    </row>
    <row r="789" spans="1:5">
      <c r="A789" s="61" t="s">
        <v>1516</v>
      </c>
      <c r="B789" s="62"/>
      <c r="C789" s="18" t="s">
        <v>313</v>
      </c>
      <c r="D789" s="18" t="s">
        <v>1409</v>
      </c>
      <c r="E789" s="19">
        <v>45834</v>
      </c>
    </row>
    <row r="790" spans="1:5">
      <c r="A790" s="61" t="s">
        <v>1517</v>
      </c>
      <c r="B790" s="62"/>
      <c r="C790" s="18" t="s">
        <v>313</v>
      </c>
      <c r="D790" s="18" t="s">
        <v>1518</v>
      </c>
      <c r="E790" s="19">
        <v>45834</v>
      </c>
    </row>
    <row r="791" spans="1:5">
      <c r="A791" s="61" t="s">
        <v>1519</v>
      </c>
      <c r="B791" s="62"/>
      <c r="C791" s="18" t="s">
        <v>302</v>
      </c>
      <c r="D791" s="18" t="s">
        <v>475</v>
      </c>
      <c r="E791" s="19">
        <v>45838</v>
      </c>
    </row>
    <row r="792" spans="1:5">
      <c r="A792" s="61" t="s">
        <v>1520</v>
      </c>
      <c r="B792" s="62"/>
      <c r="C792" s="18" t="s">
        <v>1408</v>
      </c>
      <c r="D792" s="18" t="s">
        <v>1520</v>
      </c>
      <c r="E792" s="19">
        <v>45838</v>
      </c>
    </row>
    <row r="793" spans="1:5">
      <c r="A793" s="61" t="s">
        <v>1521</v>
      </c>
      <c r="B793" s="62"/>
      <c r="C793" s="18" t="s">
        <v>302</v>
      </c>
      <c r="D793" s="18" t="s">
        <v>327</v>
      </c>
      <c r="E793" s="19">
        <v>45838</v>
      </c>
    </row>
    <row r="794" spans="1:5">
      <c r="A794" s="61" t="s">
        <v>1522</v>
      </c>
      <c r="B794" s="62"/>
      <c r="C794" s="18" t="s">
        <v>302</v>
      </c>
      <c r="D794" s="18" t="s">
        <v>327</v>
      </c>
      <c r="E794" s="19">
        <v>45838</v>
      </c>
    </row>
    <row r="795" spans="1:5">
      <c r="A795" s="61" t="s">
        <v>1523</v>
      </c>
      <c r="B795" s="62"/>
      <c r="C795" s="18" t="s">
        <v>302</v>
      </c>
      <c r="D795" s="18" t="s">
        <v>327</v>
      </c>
      <c r="E795" s="19">
        <v>45838</v>
      </c>
    </row>
    <row r="796" spans="1:5">
      <c r="A796" s="61" t="s">
        <v>1524</v>
      </c>
      <c r="B796" s="62"/>
      <c r="C796" s="18" t="s">
        <v>302</v>
      </c>
      <c r="D796" s="18" t="s">
        <v>327</v>
      </c>
      <c r="E796" s="19">
        <v>45838</v>
      </c>
    </row>
    <row r="797" spans="1:5">
      <c r="A797" s="61" t="s">
        <v>1525</v>
      </c>
      <c r="B797" s="62"/>
      <c r="C797" s="18" t="s">
        <v>302</v>
      </c>
      <c r="D797" s="18" t="s">
        <v>327</v>
      </c>
      <c r="E797" s="19">
        <v>45838</v>
      </c>
    </row>
    <row r="798" spans="1:5">
      <c r="A798" s="61" t="s">
        <v>1526</v>
      </c>
      <c r="B798" s="62"/>
      <c r="C798" s="18" t="s">
        <v>313</v>
      </c>
      <c r="D798" s="18" t="s">
        <v>1527</v>
      </c>
      <c r="E798" s="19">
        <v>45838</v>
      </c>
    </row>
    <row r="799" spans="1:5">
      <c r="A799" s="61" t="s">
        <v>1528</v>
      </c>
      <c r="B799" s="62"/>
      <c r="C799" s="18" t="s">
        <v>302</v>
      </c>
      <c r="D799" s="18" t="s">
        <v>303</v>
      </c>
      <c r="E799" s="19">
        <v>45839</v>
      </c>
    </row>
    <row r="800" spans="1:5">
      <c r="A800" s="61" t="s">
        <v>1529</v>
      </c>
      <c r="B800" s="62"/>
      <c r="C800" s="18" t="s">
        <v>302</v>
      </c>
      <c r="D800" s="18" t="s">
        <v>1224</v>
      </c>
      <c r="E800" s="19">
        <v>45840</v>
      </c>
    </row>
    <row r="801" spans="1:5">
      <c r="A801" s="61" t="s">
        <v>1530</v>
      </c>
      <c r="B801" s="62"/>
      <c r="C801" s="18" t="s">
        <v>1408</v>
      </c>
      <c r="D801" s="18" t="s">
        <v>1531</v>
      </c>
      <c r="E801" s="19">
        <v>45840</v>
      </c>
    </row>
    <row r="802" spans="1:5">
      <c r="A802" s="61" t="s">
        <v>1532</v>
      </c>
      <c r="B802" s="62"/>
      <c r="C802" s="18" t="s">
        <v>302</v>
      </c>
      <c r="D802" s="18" t="s">
        <v>1533</v>
      </c>
      <c r="E802" s="19">
        <v>45840</v>
      </c>
    </row>
    <row r="803" spans="1:5">
      <c r="A803" s="61" t="s">
        <v>1534</v>
      </c>
      <c r="B803" s="62"/>
      <c r="C803" s="18" t="s">
        <v>1408</v>
      </c>
      <c r="D803" s="18" t="s">
        <v>1412</v>
      </c>
      <c r="E803" s="19">
        <v>45845</v>
      </c>
    </row>
    <row r="804" spans="1:5">
      <c r="A804" s="61" t="s">
        <v>1535</v>
      </c>
      <c r="B804" s="62"/>
      <c r="C804" s="18" t="s">
        <v>313</v>
      </c>
      <c r="D804" s="18" t="s">
        <v>1536</v>
      </c>
      <c r="E804" s="19">
        <v>45846</v>
      </c>
    </row>
    <row r="805" spans="1:5">
      <c r="A805" s="61" t="s">
        <v>1537</v>
      </c>
      <c r="B805" s="62"/>
      <c r="C805" s="18" t="s">
        <v>313</v>
      </c>
      <c r="D805" s="18" t="s">
        <v>1538</v>
      </c>
      <c r="E805" s="19">
        <v>45848</v>
      </c>
    </row>
    <row r="806" spans="1:5">
      <c r="A806" s="61" t="s">
        <v>1539</v>
      </c>
      <c r="B806" s="62"/>
      <c r="C806" s="18" t="s">
        <v>302</v>
      </c>
      <c r="D806" s="18" t="s">
        <v>1540</v>
      </c>
      <c r="E806" s="19">
        <v>45848</v>
      </c>
    </row>
    <row r="807" spans="1:5">
      <c r="A807" s="61" t="s">
        <v>1541</v>
      </c>
      <c r="B807" s="62"/>
      <c r="C807" s="18" t="s">
        <v>302</v>
      </c>
      <c r="D807" s="18" t="s">
        <v>430</v>
      </c>
      <c r="E807" s="19">
        <v>45849</v>
      </c>
    </row>
    <row r="808" spans="1:5">
      <c r="A808" s="61" t="s">
        <v>1542</v>
      </c>
      <c r="B808" s="62"/>
      <c r="C808" s="18" t="s">
        <v>302</v>
      </c>
      <c r="D808" s="18" t="s">
        <v>692</v>
      </c>
      <c r="E808" s="19">
        <v>45852</v>
      </c>
    </row>
    <row r="809" spans="1:5">
      <c r="A809" s="61" t="s">
        <v>1543</v>
      </c>
      <c r="B809" s="62"/>
      <c r="C809" s="18" t="s">
        <v>313</v>
      </c>
      <c r="D809" s="18" t="s">
        <v>329</v>
      </c>
      <c r="E809" s="19">
        <v>45852</v>
      </c>
    </row>
    <row r="810" spans="1:5">
      <c r="A810" s="61" t="s">
        <v>1544</v>
      </c>
      <c r="B810" s="62"/>
      <c r="C810" s="18" t="s">
        <v>313</v>
      </c>
      <c r="D810" s="18" t="s">
        <v>1545</v>
      </c>
      <c r="E810" s="19">
        <v>45853</v>
      </c>
    </row>
    <row r="811" spans="1:5">
      <c r="A811" s="61" t="s">
        <v>1477</v>
      </c>
      <c r="B811" s="62"/>
      <c r="C811" s="18" t="s">
        <v>1408</v>
      </c>
      <c r="D811" s="18" t="s">
        <v>1546</v>
      </c>
      <c r="E811" s="19">
        <v>45856</v>
      </c>
    </row>
    <row r="812" spans="1:5">
      <c r="A812" s="61" t="s">
        <v>1547</v>
      </c>
      <c r="B812" s="62"/>
      <c r="C812" s="18" t="s">
        <v>337</v>
      </c>
      <c r="D812" s="18" t="s">
        <v>1080</v>
      </c>
      <c r="E812" s="19">
        <v>45856</v>
      </c>
    </row>
    <row r="813" spans="1:5">
      <c r="A813" s="61" t="s">
        <v>1548</v>
      </c>
      <c r="B813" s="62"/>
      <c r="C813" s="18" t="s">
        <v>365</v>
      </c>
      <c r="D813" s="18" t="s">
        <v>1549</v>
      </c>
      <c r="E813" s="19">
        <v>45856</v>
      </c>
    </row>
    <row r="814" spans="1:5">
      <c r="A814" s="61" t="s">
        <v>1550</v>
      </c>
      <c r="B814" s="62"/>
      <c r="C814" s="18" t="s">
        <v>302</v>
      </c>
      <c r="D814" s="18" t="s">
        <v>432</v>
      </c>
      <c r="E814" s="19">
        <v>45856</v>
      </c>
    </row>
    <row r="815" spans="1:5">
      <c r="A815" s="61" t="s">
        <v>1551</v>
      </c>
      <c r="B815" s="62"/>
      <c r="C815" s="18" t="s">
        <v>302</v>
      </c>
      <c r="D815" s="18" t="s">
        <v>1493</v>
      </c>
      <c r="E815" s="19">
        <v>45856</v>
      </c>
    </row>
    <row r="816" spans="1:5">
      <c r="A816" s="61" t="s">
        <v>1552</v>
      </c>
      <c r="B816" s="62"/>
      <c r="C816" s="18" t="s">
        <v>302</v>
      </c>
      <c r="D816" s="18" t="s">
        <v>403</v>
      </c>
      <c r="E816" s="19">
        <v>45858</v>
      </c>
    </row>
    <row r="817" spans="1:5">
      <c r="A817" s="61" t="s">
        <v>1553</v>
      </c>
      <c r="B817" s="62"/>
      <c r="C817" s="18" t="s">
        <v>302</v>
      </c>
      <c r="D817" s="18" t="s">
        <v>1250</v>
      </c>
      <c r="E817" s="19">
        <v>45860</v>
      </c>
    </row>
    <row r="818" spans="1:5">
      <c r="A818" s="61" t="s">
        <v>1554</v>
      </c>
      <c r="B818" s="62"/>
      <c r="C818" s="18" t="s">
        <v>302</v>
      </c>
      <c r="D818" s="18" t="s">
        <v>387</v>
      </c>
      <c r="E818" s="19">
        <v>45860</v>
      </c>
    </row>
    <row r="819" spans="1:5">
      <c r="A819" s="61" t="s">
        <v>1555</v>
      </c>
      <c r="B819" s="62"/>
      <c r="C819" s="18" t="s">
        <v>302</v>
      </c>
      <c r="D819" s="18" t="s">
        <v>387</v>
      </c>
      <c r="E819" s="19">
        <v>45860</v>
      </c>
    </row>
    <row r="820" spans="1:5">
      <c r="A820" s="61" t="s">
        <v>1556</v>
      </c>
      <c r="B820" s="62"/>
      <c r="C820" s="18" t="s">
        <v>302</v>
      </c>
      <c r="D820" s="18" t="s">
        <v>503</v>
      </c>
      <c r="E820" s="19">
        <v>45860</v>
      </c>
    </row>
    <row r="821" spans="1:5">
      <c r="A821" s="61" t="s">
        <v>1557</v>
      </c>
      <c r="B821" s="62"/>
      <c r="C821" s="18" t="s">
        <v>302</v>
      </c>
      <c r="D821" s="18" t="s">
        <v>327</v>
      </c>
      <c r="E821" s="19">
        <v>45860</v>
      </c>
    </row>
    <row r="822" spans="1:5">
      <c r="A822" s="61" t="s">
        <v>1558</v>
      </c>
      <c r="B822" s="62"/>
      <c r="C822" s="18" t="s">
        <v>302</v>
      </c>
      <c r="D822" s="18" t="s">
        <v>327</v>
      </c>
      <c r="E822" s="19">
        <v>45860</v>
      </c>
    </row>
    <row r="823" spans="1:5">
      <c r="A823" s="61" t="s">
        <v>1559</v>
      </c>
      <c r="B823" s="62"/>
      <c r="C823" s="18" t="s">
        <v>302</v>
      </c>
      <c r="D823" s="18" t="s">
        <v>451</v>
      </c>
      <c r="E823" s="19">
        <v>45860</v>
      </c>
    </row>
    <row r="824" spans="1:5">
      <c r="A824" s="61" t="s">
        <v>1560</v>
      </c>
      <c r="B824" s="62"/>
      <c r="C824" s="18" t="s">
        <v>313</v>
      </c>
      <c r="D824" s="18" t="s">
        <v>1409</v>
      </c>
      <c r="E824" s="19">
        <v>45860</v>
      </c>
    </row>
    <row r="825" spans="1:5">
      <c r="A825" s="61" t="s">
        <v>1561</v>
      </c>
      <c r="B825" s="62"/>
      <c r="C825" s="18" t="s">
        <v>302</v>
      </c>
      <c r="D825" s="18" t="s">
        <v>1562</v>
      </c>
      <c r="E825" s="19">
        <v>45861</v>
      </c>
    </row>
    <row r="826" spans="1:5">
      <c r="A826" s="61" t="s">
        <v>1563</v>
      </c>
      <c r="B826" s="62"/>
      <c r="C826" s="18" t="s">
        <v>302</v>
      </c>
      <c r="D826" s="18" t="s">
        <v>1564</v>
      </c>
      <c r="E826" s="19">
        <v>45861</v>
      </c>
    </row>
    <row r="827" spans="1:5">
      <c r="A827" s="61" t="s">
        <v>1565</v>
      </c>
      <c r="B827" s="62"/>
      <c r="C827" s="18" t="s">
        <v>302</v>
      </c>
      <c r="D827" s="18" t="s">
        <v>1566</v>
      </c>
      <c r="E827" s="19">
        <v>45862</v>
      </c>
    </row>
    <row r="828" spans="1:5">
      <c r="A828" s="61" t="s">
        <v>1567</v>
      </c>
      <c r="B828" s="62"/>
      <c r="C828" s="18" t="s">
        <v>302</v>
      </c>
      <c r="D828" s="18" t="s">
        <v>359</v>
      </c>
      <c r="E828" s="19">
        <v>45863</v>
      </c>
    </row>
    <row r="829" spans="1:5">
      <c r="A829" s="61" t="s">
        <v>1568</v>
      </c>
      <c r="B829" s="62"/>
      <c r="C829" s="18" t="s">
        <v>302</v>
      </c>
      <c r="D829" s="18" t="s">
        <v>610</v>
      </c>
      <c r="E829" s="19">
        <v>45863</v>
      </c>
    </row>
    <row r="830" spans="1:5">
      <c r="A830" s="61" t="s">
        <v>1569</v>
      </c>
      <c r="B830" s="62"/>
      <c r="C830" s="18" t="s">
        <v>302</v>
      </c>
      <c r="D830" s="18" t="s">
        <v>515</v>
      </c>
      <c r="E830" s="19">
        <v>45863</v>
      </c>
    </row>
    <row r="831" spans="1:5">
      <c r="A831" s="61" t="s">
        <v>1570</v>
      </c>
      <c r="B831" s="62"/>
      <c r="C831" s="18" t="s">
        <v>302</v>
      </c>
      <c r="D831" s="18" t="s">
        <v>331</v>
      </c>
      <c r="E831" s="19">
        <v>45863</v>
      </c>
    </row>
    <row r="832" spans="1:5">
      <c r="A832" s="61" t="s">
        <v>1478</v>
      </c>
      <c r="B832" s="62"/>
      <c r="C832" s="18" t="s">
        <v>1408</v>
      </c>
      <c r="D832" s="18" t="s">
        <v>1571</v>
      </c>
      <c r="E832" s="19">
        <v>45863</v>
      </c>
    </row>
    <row r="833" spans="1:5">
      <c r="A833" s="61" t="s">
        <v>1572</v>
      </c>
      <c r="B833" s="62"/>
      <c r="C833" s="18" t="s">
        <v>302</v>
      </c>
      <c r="D833" s="18" t="s">
        <v>1573</v>
      </c>
      <c r="E833" s="19">
        <v>45866</v>
      </c>
    </row>
    <row r="834" spans="1:5">
      <c r="A834" s="61" t="s">
        <v>1574</v>
      </c>
      <c r="B834" s="62"/>
      <c r="C834" s="18" t="s">
        <v>302</v>
      </c>
      <c r="D834" s="18" t="s">
        <v>309</v>
      </c>
      <c r="E834" s="19">
        <v>45866</v>
      </c>
    </row>
    <row r="835" spans="1:5">
      <c r="A835" s="61" t="s">
        <v>1575</v>
      </c>
      <c r="B835" s="62"/>
      <c r="C835" s="18" t="s">
        <v>1408</v>
      </c>
      <c r="D835" s="18" t="s">
        <v>1571</v>
      </c>
      <c r="E835" s="19">
        <v>45866</v>
      </c>
    </row>
    <row r="836" spans="1:5">
      <c r="A836" s="61" t="s">
        <v>1576</v>
      </c>
      <c r="B836" s="62"/>
      <c r="C836" s="18" t="s">
        <v>302</v>
      </c>
      <c r="D836" s="18" t="s">
        <v>1577</v>
      </c>
      <c r="E836" s="19">
        <v>45867</v>
      </c>
    </row>
    <row r="837" spans="1:5">
      <c r="A837" s="61" t="s">
        <v>1048</v>
      </c>
      <c r="B837" s="62"/>
      <c r="C837" s="18" t="s">
        <v>337</v>
      </c>
      <c r="D837" s="18" t="s">
        <v>1578</v>
      </c>
      <c r="E837" s="19">
        <v>45868</v>
      </c>
    </row>
    <row r="838" spans="1:5">
      <c r="A838" s="61" t="s">
        <v>1579</v>
      </c>
      <c r="B838" s="62"/>
      <c r="C838" s="18" t="s">
        <v>347</v>
      </c>
      <c r="D838" s="18" t="s">
        <v>1579</v>
      </c>
      <c r="E838" s="19">
        <v>45868</v>
      </c>
    </row>
    <row r="839" spans="1:5">
      <c r="A839" s="61" t="s">
        <v>1580</v>
      </c>
      <c r="B839" s="62"/>
      <c r="C839" s="18" t="s">
        <v>302</v>
      </c>
      <c r="D839" s="18" t="s">
        <v>327</v>
      </c>
      <c r="E839" s="19">
        <v>45869</v>
      </c>
    </row>
    <row r="840" spans="1:5">
      <c r="A840" s="61" t="s">
        <v>1581</v>
      </c>
      <c r="B840" s="62"/>
      <c r="C840" s="18" t="s">
        <v>302</v>
      </c>
      <c r="D840" s="18" t="s">
        <v>327</v>
      </c>
      <c r="E840" s="19">
        <v>45869</v>
      </c>
    </row>
    <row r="841" spans="1:5">
      <c r="A841" s="61" t="s">
        <v>1582</v>
      </c>
      <c r="B841" s="62"/>
      <c r="C841" s="18" t="s">
        <v>302</v>
      </c>
      <c r="D841" s="18" t="s">
        <v>449</v>
      </c>
      <c r="E841" s="19">
        <v>45869</v>
      </c>
    </row>
    <row r="842" spans="1:5">
      <c r="A842" s="61" t="s">
        <v>1583</v>
      </c>
      <c r="B842" s="62"/>
      <c r="C842" s="18" t="s">
        <v>302</v>
      </c>
      <c r="D842" s="18" t="s">
        <v>449</v>
      </c>
      <c r="E842" s="19">
        <v>45869</v>
      </c>
    </row>
    <row r="843" spans="1:5">
      <c r="A843" s="61" t="s">
        <v>1584</v>
      </c>
      <c r="B843" s="62"/>
      <c r="C843" s="18" t="s">
        <v>302</v>
      </c>
      <c r="D843" s="18" t="s">
        <v>1585</v>
      </c>
      <c r="E843" s="19">
        <v>45870</v>
      </c>
    </row>
    <row r="844" spans="1:5">
      <c r="A844" s="61" t="s">
        <v>1061</v>
      </c>
      <c r="B844" s="62"/>
      <c r="C844" s="18" t="s">
        <v>347</v>
      </c>
      <c r="D844" s="18" t="s">
        <v>1061</v>
      </c>
      <c r="E844" s="19">
        <v>45873</v>
      </c>
    </row>
    <row r="845" spans="1:5">
      <c r="A845" s="61" t="s">
        <v>1586</v>
      </c>
      <c r="B845" s="62"/>
      <c r="C845" s="18" t="s">
        <v>313</v>
      </c>
      <c r="D845" s="18" t="s">
        <v>1587</v>
      </c>
      <c r="E845" s="19">
        <v>45873</v>
      </c>
    </row>
    <row r="846" spans="1:5">
      <c r="A846" s="61" t="s">
        <v>1588</v>
      </c>
      <c r="B846" s="62"/>
      <c r="C846" s="18" t="s">
        <v>1408</v>
      </c>
      <c r="D846" s="18" t="s">
        <v>1589</v>
      </c>
      <c r="E846" s="19">
        <v>45873</v>
      </c>
    </row>
    <row r="847" spans="1:5">
      <c r="A847" s="61" t="s">
        <v>1590</v>
      </c>
      <c r="B847" s="62"/>
      <c r="C847" s="18" t="s">
        <v>302</v>
      </c>
      <c r="D847" s="18" t="s">
        <v>475</v>
      </c>
      <c r="E847" s="19">
        <v>45874</v>
      </c>
    </row>
    <row r="848" spans="1:5">
      <c r="A848" s="61" t="s">
        <v>1591</v>
      </c>
      <c r="B848" s="62"/>
      <c r="C848" s="18" t="s">
        <v>302</v>
      </c>
      <c r="D848" s="18" t="s">
        <v>495</v>
      </c>
      <c r="E848" s="19">
        <v>45875</v>
      </c>
    </row>
    <row r="849" spans="1:5">
      <c r="A849" s="61" t="s">
        <v>1592</v>
      </c>
      <c r="B849" s="62"/>
      <c r="C849" s="18" t="s">
        <v>302</v>
      </c>
      <c r="D849" s="18" t="s">
        <v>1593</v>
      </c>
      <c r="E849" s="19">
        <v>45875</v>
      </c>
    </row>
    <row r="850" spans="1:5">
      <c r="A850" s="61" t="s">
        <v>1594</v>
      </c>
      <c r="B850" s="62"/>
      <c r="C850" s="18" t="s">
        <v>302</v>
      </c>
      <c r="D850" s="18" t="s">
        <v>1595</v>
      </c>
      <c r="E850" s="19">
        <v>45876</v>
      </c>
    </row>
    <row r="851" spans="1:5">
      <c r="A851" s="61" t="s">
        <v>1596</v>
      </c>
      <c r="B851" s="62"/>
      <c r="C851" s="18" t="s">
        <v>302</v>
      </c>
      <c r="D851" s="18" t="s">
        <v>1597</v>
      </c>
      <c r="E851" s="19">
        <v>45877</v>
      </c>
    </row>
    <row r="852" spans="1:5">
      <c r="A852" s="61" t="s">
        <v>1598</v>
      </c>
      <c r="B852" s="62"/>
      <c r="C852" s="18" t="s">
        <v>302</v>
      </c>
      <c r="D852" s="18" t="s">
        <v>1597</v>
      </c>
      <c r="E852" s="19">
        <v>45877</v>
      </c>
    </row>
    <row r="853" spans="1:5">
      <c r="A853" s="61" t="s">
        <v>1599</v>
      </c>
      <c r="B853" s="62"/>
      <c r="C853" s="18" t="s">
        <v>302</v>
      </c>
      <c r="D853" s="18" t="s">
        <v>1600</v>
      </c>
      <c r="E853" s="19">
        <v>45877</v>
      </c>
    </row>
    <row r="854" spans="1:5">
      <c r="A854" s="61" t="s">
        <v>1601</v>
      </c>
      <c r="B854" s="62"/>
      <c r="C854" s="18" t="s">
        <v>313</v>
      </c>
      <c r="D854" s="18" t="s">
        <v>1602</v>
      </c>
      <c r="E854" s="19">
        <v>45881</v>
      </c>
    </row>
    <row r="855" spans="1:5">
      <c r="A855" s="61" t="s">
        <v>1603</v>
      </c>
      <c r="B855" s="62"/>
      <c r="C855" s="18" t="s">
        <v>313</v>
      </c>
      <c r="D855" s="18" t="s">
        <v>1604</v>
      </c>
      <c r="E855" s="19">
        <v>45881</v>
      </c>
    </row>
    <row r="856" spans="1:5">
      <c r="A856" s="61" t="s">
        <v>1605</v>
      </c>
      <c r="B856" s="62"/>
      <c r="C856" s="18" t="s">
        <v>1408</v>
      </c>
      <c r="D856" s="18" t="s">
        <v>1451</v>
      </c>
      <c r="E856" s="19">
        <v>45886</v>
      </c>
    </row>
    <row r="857" spans="1:5">
      <c r="A857" s="61" t="s">
        <v>1606</v>
      </c>
      <c r="B857" s="62"/>
      <c r="C857" s="18" t="s">
        <v>302</v>
      </c>
      <c r="D857" s="18" t="s">
        <v>576</v>
      </c>
      <c r="E857" s="19">
        <v>45889</v>
      </c>
    </row>
    <row r="858" spans="1:5">
      <c r="A858" s="61" t="s">
        <v>1607</v>
      </c>
      <c r="B858" s="62"/>
      <c r="C858" s="18" t="s">
        <v>302</v>
      </c>
      <c r="D858" s="18" t="s">
        <v>1164</v>
      </c>
      <c r="E858" s="19">
        <v>45889</v>
      </c>
    </row>
    <row r="859" spans="1:5">
      <c r="A859" s="61" t="s">
        <v>1456</v>
      </c>
      <c r="B859" s="62"/>
      <c r="C859" s="18" t="s">
        <v>1408</v>
      </c>
      <c r="D859" s="18" t="s">
        <v>1546</v>
      </c>
      <c r="E859" s="19">
        <v>45890</v>
      </c>
    </row>
    <row r="860" spans="1:5">
      <c r="A860" s="61" t="s">
        <v>1608</v>
      </c>
      <c r="B860" s="62"/>
      <c r="C860" s="18" t="s">
        <v>302</v>
      </c>
      <c r="D860" s="18" t="s">
        <v>1332</v>
      </c>
      <c r="E860" s="19">
        <v>45890</v>
      </c>
    </row>
    <row r="861" spans="1:5">
      <c r="A861" s="61" t="s">
        <v>1609</v>
      </c>
      <c r="B861" s="62"/>
      <c r="C861" s="18" t="s">
        <v>313</v>
      </c>
      <c r="D861" s="18" t="s">
        <v>620</v>
      </c>
      <c r="E861" s="19">
        <v>45890</v>
      </c>
    </row>
    <row r="862" spans="1:5">
      <c r="A862" s="61" t="s">
        <v>1610</v>
      </c>
      <c r="B862" s="62"/>
      <c r="C862" s="18" t="s">
        <v>313</v>
      </c>
      <c r="D862" s="18" t="s">
        <v>620</v>
      </c>
      <c r="E862" s="19">
        <v>45890</v>
      </c>
    </row>
    <row r="863" spans="1:5">
      <c r="A863" s="61" t="s">
        <v>1611</v>
      </c>
      <c r="B863" s="62"/>
      <c r="C863" s="18" t="s">
        <v>313</v>
      </c>
      <c r="D863" s="18" t="s">
        <v>620</v>
      </c>
      <c r="E863" s="19">
        <v>45890</v>
      </c>
    </row>
    <row r="864" spans="1:5">
      <c r="A864" s="61" t="s">
        <v>1612</v>
      </c>
      <c r="B864" s="62"/>
      <c r="C864" s="18" t="s">
        <v>302</v>
      </c>
      <c r="D864" s="18" t="s">
        <v>307</v>
      </c>
      <c r="E864" s="19">
        <v>45891</v>
      </c>
    </row>
    <row r="865" spans="1:5">
      <c r="A865" s="61" t="s">
        <v>1613</v>
      </c>
      <c r="B865" s="62"/>
      <c r="C865" s="18" t="s">
        <v>302</v>
      </c>
      <c r="D865" s="18" t="s">
        <v>1262</v>
      </c>
      <c r="E865" s="19">
        <v>45892</v>
      </c>
    </row>
    <row r="866" spans="1:5">
      <c r="A866" s="61" t="s">
        <v>1614</v>
      </c>
      <c r="B866" s="62"/>
      <c r="C866" s="18" t="s">
        <v>302</v>
      </c>
      <c r="D866" s="18" t="s">
        <v>303</v>
      </c>
      <c r="E866" s="19">
        <v>45894</v>
      </c>
    </row>
    <row r="867" spans="1:5">
      <c r="A867" s="61" t="s">
        <v>1615</v>
      </c>
      <c r="B867" s="62"/>
      <c r="C867" s="18" t="s">
        <v>302</v>
      </c>
      <c r="D867" s="18" t="s">
        <v>1616</v>
      </c>
      <c r="E867" s="19">
        <v>45894</v>
      </c>
    </row>
  </sheetData>
  <autoFilter ref="A1:E669" xr:uid="{6536372C-ED62-436C-8F81-8D11B93265BF}">
    <filterColumn colId="0" showButton="0"/>
  </autoFilter>
  <mergeCells count="867">
    <mergeCell ref="A861:B861"/>
    <mergeCell ref="A862:B862"/>
    <mergeCell ref="A863:B863"/>
    <mergeCell ref="A864:B864"/>
    <mergeCell ref="A865:B865"/>
    <mergeCell ref="A866:B866"/>
    <mergeCell ref="A867:B867"/>
    <mergeCell ref="A1:B1"/>
    <mergeCell ref="A2:B2"/>
    <mergeCell ref="A3:B3"/>
    <mergeCell ref="A4:B4"/>
    <mergeCell ref="A5:B5"/>
    <mergeCell ref="A6:B6"/>
    <mergeCell ref="A858:B858"/>
    <mergeCell ref="A859:B859"/>
    <mergeCell ref="A860:B860"/>
    <mergeCell ref="A13:B13"/>
    <mergeCell ref="A14:B14"/>
    <mergeCell ref="A15:B15"/>
    <mergeCell ref="A16:B16"/>
    <mergeCell ref="A17:B17"/>
    <mergeCell ref="A18:B18"/>
    <mergeCell ref="A7:B7"/>
    <mergeCell ref="A8:B8"/>
    <mergeCell ref="A9:B9"/>
    <mergeCell ref="A10:B10"/>
    <mergeCell ref="A11:B11"/>
    <mergeCell ref="A12:B12"/>
    <mergeCell ref="A25:B25"/>
    <mergeCell ref="A26:B26"/>
    <mergeCell ref="A27:B27"/>
    <mergeCell ref="A28:B28"/>
    <mergeCell ref="A29:B29"/>
    <mergeCell ref="A30:B30"/>
    <mergeCell ref="A19:B19"/>
    <mergeCell ref="A20:B20"/>
    <mergeCell ref="A21:B21"/>
    <mergeCell ref="A22:B22"/>
    <mergeCell ref="A23:B23"/>
    <mergeCell ref="A24:B24"/>
    <mergeCell ref="A37:B37"/>
    <mergeCell ref="A38:B38"/>
    <mergeCell ref="A39:B39"/>
    <mergeCell ref="A40:B40"/>
    <mergeCell ref="A41:B41"/>
    <mergeCell ref="A42:B42"/>
    <mergeCell ref="A31:B31"/>
    <mergeCell ref="A32:B32"/>
    <mergeCell ref="A33:B33"/>
    <mergeCell ref="A34:B34"/>
    <mergeCell ref="A35:B35"/>
    <mergeCell ref="A36:B36"/>
    <mergeCell ref="A49:B49"/>
    <mergeCell ref="A50:B50"/>
    <mergeCell ref="A51:B51"/>
    <mergeCell ref="A52:B52"/>
    <mergeCell ref="A53:B53"/>
    <mergeCell ref="A54:B54"/>
    <mergeCell ref="A43:B43"/>
    <mergeCell ref="A44:B44"/>
    <mergeCell ref="A45:B45"/>
    <mergeCell ref="A46:B46"/>
    <mergeCell ref="A47:B47"/>
    <mergeCell ref="A48:B48"/>
    <mergeCell ref="A61:B61"/>
    <mergeCell ref="A62:B62"/>
    <mergeCell ref="A63:B63"/>
    <mergeCell ref="A64:B64"/>
    <mergeCell ref="A65:B65"/>
    <mergeCell ref="A66:B66"/>
    <mergeCell ref="A55:B55"/>
    <mergeCell ref="A56:B56"/>
    <mergeCell ref="A57:B57"/>
    <mergeCell ref="A58:B58"/>
    <mergeCell ref="A59:B59"/>
    <mergeCell ref="A60:B60"/>
    <mergeCell ref="A73:B73"/>
    <mergeCell ref="A74:B74"/>
    <mergeCell ref="A75:B75"/>
    <mergeCell ref="A76:B76"/>
    <mergeCell ref="A77:B77"/>
    <mergeCell ref="A78:B78"/>
    <mergeCell ref="A67:B67"/>
    <mergeCell ref="A68:B68"/>
    <mergeCell ref="A69:B69"/>
    <mergeCell ref="A70:B70"/>
    <mergeCell ref="A71:B71"/>
    <mergeCell ref="A72:B72"/>
    <mergeCell ref="A85:B85"/>
    <mergeCell ref="A86:B86"/>
    <mergeCell ref="A87:B87"/>
    <mergeCell ref="A88:B88"/>
    <mergeCell ref="A89:B89"/>
    <mergeCell ref="A90:B90"/>
    <mergeCell ref="A79:B79"/>
    <mergeCell ref="A80:B80"/>
    <mergeCell ref="A81:B81"/>
    <mergeCell ref="A82:B82"/>
    <mergeCell ref="A83:B83"/>
    <mergeCell ref="A84:B84"/>
    <mergeCell ref="A97:B97"/>
    <mergeCell ref="A98:B98"/>
    <mergeCell ref="A99:B99"/>
    <mergeCell ref="A100:B100"/>
    <mergeCell ref="A101:B101"/>
    <mergeCell ref="A102:B102"/>
    <mergeCell ref="A91:B91"/>
    <mergeCell ref="A92:B92"/>
    <mergeCell ref="A93:B93"/>
    <mergeCell ref="A94:B94"/>
    <mergeCell ref="A95:B95"/>
    <mergeCell ref="A96:B96"/>
    <mergeCell ref="A109:B109"/>
    <mergeCell ref="A110:B110"/>
    <mergeCell ref="A111:B111"/>
    <mergeCell ref="A112:B112"/>
    <mergeCell ref="A113:B113"/>
    <mergeCell ref="A114:B114"/>
    <mergeCell ref="A103:B103"/>
    <mergeCell ref="A104:B104"/>
    <mergeCell ref="A105:B105"/>
    <mergeCell ref="A106:B106"/>
    <mergeCell ref="A107:B107"/>
    <mergeCell ref="A108:B108"/>
    <mergeCell ref="A121:B121"/>
    <mergeCell ref="A122:B122"/>
    <mergeCell ref="A123:B123"/>
    <mergeCell ref="A124:B124"/>
    <mergeCell ref="A125:B125"/>
    <mergeCell ref="A126:B126"/>
    <mergeCell ref="A115:B115"/>
    <mergeCell ref="A116:B116"/>
    <mergeCell ref="A117:B117"/>
    <mergeCell ref="A118:B118"/>
    <mergeCell ref="A119:B119"/>
    <mergeCell ref="A120:B120"/>
    <mergeCell ref="A133:B133"/>
    <mergeCell ref="A134:B134"/>
    <mergeCell ref="A135:B135"/>
    <mergeCell ref="A136:B136"/>
    <mergeCell ref="A137:B137"/>
    <mergeCell ref="A138:B138"/>
    <mergeCell ref="A127:B127"/>
    <mergeCell ref="A128:B128"/>
    <mergeCell ref="A129:B129"/>
    <mergeCell ref="A130:B130"/>
    <mergeCell ref="A131:B131"/>
    <mergeCell ref="A132:B132"/>
    <mergeCell ref="A145:B145"/>
    <mergeCell ref="A146:B146"/>
    <mergeCell ref="A147:B147"/>
    <mergeCell ref="A148:B148"/>
    <mergeCell ref="A149:B149"/>
    <mergeCell ref="A150:B150"/>
    <mergeCell ref="A139:B139"/>
    <mergeCell ref="A140:B140"/>
    <mergeCell ref="A141:B141"/>
    <mergeCell ref="A142:B142"/>
    <mergeCell ref="A143:B143"/>
    <mergeCell ref="A144:B144"/>
    <mergeCell ref="A157:B157"/>
    <mergeCell ref="A158:B158"/>
    <mergeCell ref="A159:B159"/>
    <mergeCell ref="A160:B160"/>
    <mergeCell ref="A161:B161"/>
    <mergeCell ref="A162:B162"/>
    <mergeCell ref="A151:B151"/>
    <mergeCell ref="A152:B152"/>
    <mergeCell ref="A153:B153"/>
    <mergeCell ref="A154:B154"/>
    <mergeCell ref="A155:B155"/>
    <mergeCell ref="A156:B156"/>
    <mergeCell ref="A169:B169"/>
    <mergeCell ref="A170:B170"/>
    <mergeCell ref="A171:B171"/>
    <mergeCell ref="A172:B172"/>
    <mergeCell ref="A173:B173"/>
    <mergeCell ref="A174:B174"/>
    <mergeCell ref="A163:B163"/>
    <mergeCell ref="A164:B164"/>
    <mergeCell ref="A165:B165"/>
    <mergeCell ref="A166:B166"/>
    <mergeCell ref="A167:B167"/>
    <mergeCell ref="A168:B168"/>
    <mergeCell ref="A181:B181"/>
    <mergeCell ref="A182:B182"/>
    <mergeCell ref="A183:B183"/>
    <mergeCell ref="A184:B184"/>
    <mergeCell ref="A185:B185"/>
    <mergeCell ref="A186:B186"/>
    <mergeCell ref="A175:B175"/>
    <mergeCell ref="A176:B176"/>
    <mergeCell ref="A177:B177"/>
    <mergeCell ref="A178:B178"/>
    <mergeCell ref="A179:B179"/>
    <mergeCell ref="A180:B180"/>
    <mergeCell ref="A193:B193"/>
    <mergeCell ref="A194:B194"/>
    <mergeCell ref="A195:B195"/>
    <mergeCell ref="A196:B196"/>
    <mergeCell ref="A197:B197"/>
    <mergeCell ref="A198:B198"/>
    <mergeCell ref="A187:B187"/>
    <mergeCell ref="A188:B188"/>
    <mergeCell ref="A189:B189"/>
    <mergeCell ref="A190:B190"/>
    <mergeCell ref="A191:B191"/>
    <mergeCell ref="A192:B192"/>
    <mergeCell ref="A205:B205"/>
    <mergeCell ref="A206:B206"/>
    <mergeCell ref="A207:B207"/>
    <mergeCell ref="A208:B208"/>
    <mergeCell ref="A209:B209"/>
    <mergeCell ref="A210:B210"/>
    <mergeCell ref="A199:B199"/>
    <mergeCell ref="A200:B200"/>
    <mergeCell ref="A201:B201"/>
    <mergeCell ref="A202:B202"/>
    <mergeCell ref="A203:B203"/>
    <mergeCell ref="A204:B204"/>
    <mergeCell ref="A217:B217"/>
    <mergeCell ref="A218:B218"/>
    <mergeCell ref="A219:B219"/>
    <mergeCell ref="A220:B220"/>
    <mergeCell ref="A221:B221"/>
    <mergeCell ref="A222:B222"/>
    <mergeCell ref="A211:B211"/>
    <mergeCell ref="A212:B212"/>
    <mergeCell ref="A213:B213"/>
    <mergeCell ref="A214:B214"/>
    <mergeCell ref="A215:B215"/>
    <mergeCell ref="A216:B216"/>
    <mergeCell ref="A229:B229"/>
    <mergeCell ref="A230:B230"/>
    <mergeCell ref="A231:B231"/>
    <mergeCell ref="A232:B232"/>
    <mergeCell ref="A233:B233"/>
    <mergeCell ref="A234:B234"/>
    <mergeCell ref="A223:B223"/>
    <mergeCell ref="A224:B224"/>
    <mergeCell ref="A225:B225"/>
    <mergeCell ref="A226:B226"/>
    <mergeCell ref="A227:B227"/>
    <mergeCell ref="A228:B228"/>
    <mergeCell ref="A241:B241"/>
    <mergeCell ref="A242:B242"/>
    <mergeCell ref="A243:B243"/>
    <mergeCell ref="A244:B244"/>
    <mergeCell ref="A245:B245"/>
    <mergeCell ref="A246:B246"/>
    <mergeCell ref="A235:B235"/>
    <mergeCell ref="A236:B236"/>
    <mergeCell ref="A237:B237"/>
    <mergeCell ref="A238:B238"/>
    <mergeCell ref="A239:B239"/>
    <mergeCell ref="A240:B240"/>
    <mergeCell ref="A253:B253"/>
    <mergeCell ref="A254:B254"/>
    <mergeCell ref="A255:B255"/>
    <mergeCell ref="A256:B256"/>
    <mergeCell ref="A257:B257"/>
    <mergeCell ref="A258:B258"/>
    <mergeCell ref="A247:B247"/>
    <mergeCell ref="A248:B248"/>
    <mergeCell ref="A249:B249"/>
    <mergeCell ref="A250:B250"/>
    <mergeCell ref="A251:B251"/>
    <mergeCell ref="A252:B252"/>
    <mergeCell ref="A265:B265"/>
    <mergeCell ref="A266:B266"/>
    <mergeCell ref="A267:B267"/>
    <mergeCell ref="A268:B268"/>
    <mergeCell ref="A269:B269"/>
    <mergeCell ref="A270:B270"/>
    <mergeCell ref="A259:B259"/>
    <mergeCell ref="A260:B260"/>
    <mergeCell ref="A261:B261"/>
    <mergeCell ref="A262:B262"/>
    <mergeCell ref="A263:B263"/>
    <mergeCell ref="A264:B264"/>
    <mergeCell ref="A277:B277"/>
    <mergeCell ref="A278:B278"/>
    <mergeCell ref="A279:B279"/>
    <mergeCell ref="A280:B280"/>
    <mergeCell ref="A281:B281"/>
    <mergeCell ref="A282:B282"/>
    <mergeCell ref="A271:B271"/>
    <mergeCell ref="A272:B272"/>
    <mergeCell ref="A273:B273"/>
    <mergeCell ref="A274:B274"/>
    <mergeCell ref="A275:B275"/>
    <mergeCell ref="A276:B276"/>
    <mergeCell ref="A289:B289"/>
    <mergeCell ref="A290:B290"/>
    <mergeCell ref="A291:B291"/>
    <mergeCell ref="A292:B292"/>
    <mergeCell ref="A293:B293"/>
    <mergeCell ref="A294:B294"/>
    <mergeCell ref="A283:B283"/>
    <mergeCell ref="A284:B284"/>
    <mergeCell ref="A285:B285"/>
    <mergeCell ref="A286:B286"/>
    <mergeCell ref="A287:B287"/>
    <mergeCell ref="A288:B288"/>
    <mergeCell ref="A301:B301"/>
    <mergeCell ref="A302:B302"/>
    <mergeCell ref="A303:B303"/>
    <mergeCell ref="A304:B304"/>
    <mergeCell ref="A305:B305"/>
    <mergeCell ref="A306:B306"/>
    <mergeCell ref="A295:B295"/>
    <mergeCell ref="A296:B296"/>
    <mergeCell ref="A297:B297"/>
    <mergeCell ref="A298:B298"/>
    <mergeCell ref="A299:B299"/>
    <mergeCell ref="A300:B300"/>
    <mergeCell ref="A313:B313"/>
    <mergeCell ref="A314:B314"/>
    <mergeCell ref="A315:B315"/>
    <mergeCell ref="A316:B316"/>
    <mergeCell ref="A317:B317"/>
    <mergeCell ref="A318:B318"/>
    <mergeCell ref="A307:B307"/>
    <mergeCell ref="A308:B308"/>
    <mergeCell ref="A309:B309"/>
    <mergeCell ref="A310:B310"/>
    <mergeCell ref="A311:B311"/>
    <mergeCell ref="A312:B312"/>
    <mergeCell ref="A325:B325"/>
    <mergeCell ref="A326:B326"/>
    <mergeCell ref="A327:B327"/>
    <mergeCell ref="A328:B328"/>
    <mergeCell ref="A329:B329"/>
    <mergeCell ref="A330:B330"/>
    <mergeCell ref="A319:B319"/>
    <mergeCell ref="A320:B320"/>
    <mergeCell ref="A321:B321"/>
    <mergeCell ref="A322:B322"/>
    <mergeCell ref="A323:B323"/>
    <mergeCell ref="A324:B324"/>
    <mergeCell ref="A337:B337"/>
    <mergeCell ref="A338:B338"/>
    <mergeCell ref="A339:B339"/>
    <mergeCell ref="A340:B340"/>
    <mergeCell ref="A341:B341"/>
    <mergeCell ref="A342:B342"/>
    <mergeCell ref="A331:B331"/>
    <mergeCell ref="A332:B332"/>
    <mergeCell ref="A333:B333"/>
    <mergeCell ref="A334:B334"/>
    <mergeCell ref="A335:B335"/>
    <mergeCell ref="A336:B336"/>
    <mergeCell ref="A349:B349"/>
    <mergeCell ref="A350:B350"/>
    <mergeCell ref="A351:B351"/>
    <mergeCell ref="A352:B352"/>
    <mergeCell ref="A353:B353"/>
    <mergeCell ref="A354:B354"/>
    <mergeCell ref="A343:B343"/>
    <mergeCell ref="A344:B344"/>
    <mergeCell ref="A345:B345"/>
    <mergeCell ref="A346:B346"/>
    <mergeCell ref="A347:B347"/>
    <mergeCell ref="A348:B348"/>
    <mergeCell ref="A361:B361"/>
    <mergeCell ref="A362:B362"/>
    <mergeCell ref="A363:B363"/>
    <mergeCell ref="A364:B364"/>
    <mergeCell ref="A365:B365"/>
    <mergeCell ref="A366:B366"/>
    <mergeCell ref="A355:B355"/>
    <mergeCell ref="A356:B356"/>
    <mergeCell ref="A357:B357"/>
    <mergeCell ref="A358:B358"/>
    <mergeCell ref="A359:B359"/>
    <mergeCell ref="A360:B360"/>
    <mergeCell ref="A373:B373"/>
    <mergeCell ref="A374:B374"/>
    <mergeCell ref="A375:B375"/>
    <mergeCell ref="A376:B376"/>
    <mergeCell ref="A377:B377"/>
    <mergeCell ref="A378:B378"/>
    <mergeCell ref="A367:B367"/>
    <mergeCell ref="A368:B368"/>
    <mergeCell ref="A369:B369"/>
    <mergeCell ref="A370:B370"/>
    <mergeCell ref="A371:B371"/>
    <mergeCell ref="A372:B372"/>
    <mergeCell ref="A385:B385"/>
    <mergeCell ref="A386:B386"/>
    <mergeCell ref="A387:B387"/>
    <mergeCell ref="A388:B388"/>
    <mergeCell ref="A389:B389"/>
    <mergeCell ref="A390:B390"/>
    <mergeCell ref="A379:B379"/>
    <mergeCell ref="A380:B380"/>
    <mergeCell ref="A381:B381"/>
    <mergeCell ref="A382:B382"/>
    <mergeCell ref="A383:B383"/>
    <mergeCell ref="A384:B384"/>
    <mergeCell ref="A397:B397"/>
    <mergeCell ref="A398:B398"/>
    <mergeCell ref="A399:B399"/>
    <mergeCell ref="A400:B400"/>
    <mergeCell ref="A401:B401"/>
    <mergeCell ref="A402:B402"/>
    <mergeCell ref="A391:B391"/>
    <mergeCell ref="A392:B392"/>
    <mergeCell ref="A393:B393"/>
    <mergeCell ref="A394:B394"/>
    <mergeCell ref="A395:B395"/>
    <mergeCell ref="A396:B396"/>
    <mergeCell ref="A409:B409"/>
    <mergeCell ref="A410:B410"/>
    <mergeCell ref="A411:B411"/>
    <mergeCell ref="A412:B412"/>
    <mergeCell ref="A413:B413"/>
    <mergeCell ref="A414:B414"/>
    <mergeCell ref="A403:B403"/>
    <mergeCell ref="A404:B404"/>
    <mergeCell ref="A405:B405"/>
    <mergeCell ref="A406:B406"/>
    <mergeCell ref="A407:B407"/>
    <mergeCell ref="A408:B408"/>
    <mergeCell ref="A421:B421"/>
    <mergeCell ref="A422:B422"/>
    <mergeCell ref="A423:B423"/>
    <mergeCell ref="A424:B424"/>
    <mergeCell ref="A425:B425"/>
    <mergeCell ref="A426:B426"/>
    <mergeCell ref="A415:B415"/>
    <mergeCell ref="A416:B416"/>
    <mergeCell ref="A417:B417"/>
    <mergeCell ref="A418:B418"/>
    <mergeCell ref="A419:B419"/>
    <mergeCell ref="A420:B420"/>
    <mergeCell ref="A433:B433"/>
    <mergeCell ref="A434:B434"/>
    <mergeCell ref="A435:B435"/>
    <mergeCell ref="A436:B436"/>
    <mergeCell ref="A437:B437"/>
    <mergeCell ref="A438:B438"/>
    <mergeCell ref="A427:B427"/>
    <mergeCell ref="A428:B428"/>
    <mergeCell ref="A429:B429"/>
    <mergeCell ref="A430:B430"/>
    <mergeCell ref="A431:B431"/>
    <mergeCell ref="A432:B432"/>
    <mergeCell ref="A445:B445"/>
    <mergeCell ref="A446:B446"/>
    <mergeCell ref="A447:B447"/>
    <mergeCell ref="A448:B448"/>
    <mergeCell ref="A449:B449"/>
    <mergeCell ref="A450:B450"/>
    <mergeCell ref="A439:B439"/>
    <mergeCell ref="A440:B440"/>
    <mergeCell ref="A441:B441"/>
    <mergeCell ref="A442:B442"/>
    <mergeCell ref="A443:B443"/>
    <mergeCell ref="A444:B444"/>
    <mergeCell ref="A457:B457"/>
    <mergeCell ref="A458:B458"/>
    <mergeCell ref="A459:B459"/>
    <mergeCell ref="A460:B460"/>
    <mergeCell ref="A461:B461"/>
    <mergeCell ref="A462:B462"/>
    <mergeCell ref="A451:B451"/>
    <mergeCell ref="A452:B452"/>
    <mergeCell ref="A453:B453"/>
    <mergeCell ref="A454:B454"/>
    <mergeCell ref="A455:B455"/>
    <mergeCell ref="A456:B456"/>
    <mergeCell ref="A469:B469"/>
    <mergeCell ref="A470:B470"/>
    <mergeCell ref="A471:B471"/>
    <mergeCell ref="A472:B472"/>
    <mergeCell ref="A473:B473"/>
    <mergeCell ref="A474:B474"/>
    <mergeCell ref="A463:B463"/>
    <mergeCell ref="A464:B464"/>
    <mergeCell ref="A465:B465"/>
    <mergeCell ref="A466:B466"/>
    <mergeCell ref="A467:B467"/>
    <mergeCell ref="A468:B468"/>
    <mergeCell ref="A481:B481"/>
    <mergeCell ref="A482:B482"/>
    <mergeCell ref="A483:B483"/>
    <mergeCell ref="A484:B484"/>
    <mergeCell ref="A485:B485"/>
    <mergeCell ref="A486:B486"/>
    <mergeCell ref="A475:B475"/>
    <mergeCell ref="A476:B476"/>
    <mergeCell ref="A477:B477"/>
    <mergeCell ref="A478:B478"/>
    <mergeCell ref="A479:B479"/>
    <mergeCell ref="A480:B480"/>
    <mergeCell ref="A493:B493"/>
    <mergeCell ref="A494:B494"/>
    <mergeCell ref="A495:B495"/>
    <mergeCell ref="A496:B496"/>
    <mergeCell ref="A497:B497"/>
    <mergeCell ref="A498:B498"/>
    <mergeCell ref="A487:B487"/>
    <mergeCell ref="A488:B488"/>
    <mergeCell ref="A489:B489"/>
    <mergeCell ref="A490:B490"/>
    <mergeCell ref="A491:B491"/>
    <mergeCell ref="A492:B492"/>
    <mergeCell ref="A505:B505"/>
    <mergeCell ref="A506:B506"/>
    <mergeCell ref="A507:B507"/>
    <mergeCell ref="A508:B508"/>
    <mergeCell ref="A509:B509"/>
    <mergeCell ref="A510:B510"/>
    <mergeCell ref="A499:B499"/>
    <mergeCell ref="A500:B500"/>
    <mergeCell ref="A501:B501"/>
    <mergeCell ref="A502:B502"/>
    <mergeCell ref="A503:B503"/>
    <mergeCell ref="A504:B504"/>
    <mergeCell ref="A517:B517"/>
    <mergeCell ref="A518:B518"/>
    <mergeCell ref="A519:B519"/>
    <mergeCell ref="A520:B520"/>
    <mergeCell ref="A521:B521"/>
    <mergeCell ref="A522:B522"/>
    <mergeCell ref="A511:B511"/>
    <mergeCell ref="A512:B512"/>
    <mergeCell ref="A513:B513"/>
    <mergeCell ref="A514:B514"/>
    <mergeCell ref="A515:B515"/>
    <mergeCell ref="A516:B516"/>
    <mergeCell ref="A529:B529"/>
    <mergeCell ref="A530:B530"/>
    <mergeCell ref="A531:B531"/>
    <mergeCell ref="A532:B532"/>
    <mergeCell ref="A533:B533"/>
    <mergeCell ref="A534:B534"/>
    <mergeCell ref="A523:B523"/>
    <mergeCell ref="A524:B524"/>
    <mergeCell ref="A525:B525"/>
    <mergeCell ref="A526:B526"/>
    <mergeCell ref="A527:B527"/>
    <mergeCell ref="A528:B528"/>
    <mergeCell ref="A541:B541"/>
    <mergeCell ref="A542:B542"/>
    <mergeCell ref="A543:B543"/>
    <mergeCell ref="A544:B544"/>
    <mergeCell ref="A545:B545"/>
    <mergeCell ref="A546:B546"/>
    <mergeCell ref="A535:B535"/>
    <mergeCell ref="A536:B536"/>
    <mergeCell ref="A537:B537"/>
    <mergeCell ref="A538:B538"/>
    <mergeCell ref="A539:B539"/>
    <mergeCell ref="A540:B540"/>
    <mergeCell ref="A553:B553"/>
    <mergeCell ref="A554:B554"/>
    <mergeCell ref="A555:B555"/>
    <mergeCell ref="A556:B556"/>
    <mergeCell ref="A557:B557"/>
    <mergeCell ref="A558:B558"/>
    <mergeCell ref="A547:B547"/>
    <mergeCell ref="A548:B548"/>
    <mergeCell ref="A549:B549"/>
    <mergeCell ref="A550:B550"/>
    <mergeCell ref="A551:B551"/>
    <mergeCell ref="A552:B552"/>
    <mergeCell ref="A565:B565"/>
    <mergeCell ref="A566:B566"/>
    <mergeCell ref="A567:B567"/>
    <mergeCell ref="A568:B568"/>
    <mergeCell ref="A569:B569"/>
    <mergeCell ref="A570:B570"/>
    <mergeCell ref="A559:B559"/>
    <mergeCell ref="A560:B560"/>
    <mergeCell ref="A561:B561"/>
    <mergeCell ref="A562:B562"/>
    <mergeCell ref="A563:B563"/>
    <mergeCell ref="A564:B564"/>
    <mergeCell ref="A577:B577"/>
    <mergeCell ref="A578:B578"/>
    <mergeCell ref="A579:B579"/>
    <mergeCell ref="A580:B580"/>
    <mergeCell ref="A581:B581"/>
    <mergeCell ref="A582:B582"/>
    <mergeCell ref="A571:B571"/>
    <mergeCell ref="A572:B572"/>
    <mergeCell ref="A573:B573"/>
    <mergeCell ref="A574:B574"/>
    <mergeCell ref="A575:B575"/>
    <mergeCell ref="A576:B576"/>
    <mergeCell ref="A589:B589"/>
    <mergeCell ref="A590:B590"/>
    <mergeCell ref="A591:B591"/>
    <mergeCell ref="A592:B592"/>
    <mergeCell ref="A593:B593"/>
    <mergeCell ref="A594:B594"/>
    <mergeCell ref="A583:B583"/>
    <mergeCell ref="A584:B584"/>
    <mergeCell ref="A585:B585"/>
    <mergeCell ref="A586:B586"/>
    <mergeCell ref="A587:B587"/>
    <mergeCell ref="A588:B588"/>
    <mergeCell ref="A601:B601"/>
    <mergeCell ref="A602:B602"/>
    <mergeCell ref="A603:B603"/>
    <mergeCell ref="A604:B604"/>
    <mergeCell ref="A605:B605"/>
    <mergeCell ref="A606:B606"/>
    <mergeCell ref="A595:B595"/>
    <mergeCell ref="A596:B596"/>
    <mergeCell ref="A597:B597"/>
    <mergeCell ref="A598:B598"/>
    <mergeCell ref="A599:B599"/>
    <mergeCell ref="A600:B600"/>
    <mergeCell ref="A613:B613"/>
    <mergeCell ref="A614:B614"/>
    <mergeCell ref="A615:B615"/>
    <mergeCell ref="A616:B616"/>
    <mergeCell ref="A617:B617"/>
    <mergeCell ref="A618:B618"/>
    <mergeCell ref="A607:B607"/>
    <mergeCell ref="A608:B608"/>
    <mergeCell ref="A609:B609"/>
    <mergeCell ref="A610:B610"/>
    <mergeCell ref="A611:B611"/>
    <mergeCell ref="A612:B612"/>
    <mergeCell ref="A625:B625"/>
    <mergeCell ref="A626:B626"/>
    <mergeCell ref="A627:B627"/>
    <mergeCell ref="A628:B628"/>
    <mergeCell ref="A629:B629"/>
    <mergeCell ref="A630:B630"/>
    <mergeCell ref="A619:B619"/>
    <mergeCell ref="A620:B620"/>
    <mergeCell ref="A621:B621"/>
    <mergeCell ref="A622:B622"/>
    <mergeCell ref="A623:B623"/>
    <mergeCell ref="A624:B624"/>
    <mergeCell ref="A637:B637"/>
    <mergeCell ref="A638:B638"/>
    <mergeCell ref="A639:B639"/>
    <mergeCell ref="A640:B640"/>
    <mergeCell ref="A641:B641"/>
    <mergeCell ref="A642:B642"/>
    <mergeCell ref="A631:B631"/>
    <mergeCell ref="A632:B632"/>
    <mergeCell ref="A633:B633"/>
    <mergeCell ref="A634:B634"/>
    <mergeCell ref="A635:B635"/>
    <mergeCell ref="A636:B636"/>
    <mergeCell ref="A649:B649"/>
    <mergeCell ref="A650:B650"/>
    <mergeCell ref="A651:B651"/>
    <mergeCell ref="A652:B652"/>
    <mergeCell ref="A653:B653"/>
    <mergeCell ref="A654:B654"/>
    <mergeCell ref="A643:B643"/>
    <mergeCell ref="A644:B644"/>
    <mergeCell ref="A645:B645"/>
    <mergeCell ref="A646:B646"/>
    <mergeCell ref="A647:B647"/>
    <mergeCell ref="A648:B648"/>
    <mergeCell ref="A661:B661"/>
    <mergeCell ref="A662:B662"/>
    <mergeCell ref="A663:B663"/>
    <mergeCell ref="A664:B664"/>
    <mergeCell ref="A665:B665"/>
    <mergeCell ref="A666:B666"/>
    <mergeCell ref="A655:B655"/>
    <mergeCell ref="A656:B656"/>
    <mergeCell ref="A657:B657"/>
    <mergeCell ref="A658:B658"/>
    <mergeCell ref="A659:B659"/>
    <mergeCell ref="A660:B660"/>
    <mergeCell ref="A673:B673"/>
    <mergeCell ref="A674:B674"/>
    <mergeCell ref="A675:B675"/>
    <mergeCell ref="A676:B676"/>
    <mergeCell ref="A677:B677"/>
    <mergeCell ref="A678:B678"/>
    <mergeCell ref="A667:B667"/>
    <mergeCell ref="A668:B668"/>
    <mergeCell ref="A669:B669"/>
    <mergeCell ref="A670:B670"/>
    <mergeCell ref="A671:B671"/>
    <mergeCell ref="A672:B672"/>
    <mergeCell ref="A685:B685"/>
    <mergeCell ref="A686:B686"/>
    <mergeCell ref="A687:B687"/>
    <mergeCell ref="A688:B688"/>
    <mergeCell ref="A689:B689"/>
    <mergeCell ref="A690:B690"/>
    <mergeCell ref="A679:B679"/>
    <mergeCell ref="A680:B680"/>
    <mergeCell ref="A681:B681"/>
    <mergeCell ref="A682:B682"/>
    <mergeCell ref="A683:B683"/>
    <mergeCell ref="A684:B684"/>
    <mergeCell ref="A697:B697"/>
    <mergeCell ref="A698:B698"/>
    <mergeCell ref="A699:B699"/>
    <mergeCell ref="A700:B700"/>
    <mergeCell ref="A701:B701"/>
    <mergeCell ref="A702:B702"/>
    <mergeCell ref="A691:B691"/>
    <mergeCell ref="A692:B692"/>
    <mergeCell ref="A693:B693"/>
    <mergeCell ref="A694:B694"/>
    <mergeCell ref="A695:B695"/>
    <mergeCell ref="A696:B696"/>
    <mergeCell ref="A709:B709"/>
    <mergeCell ref="A710:B710"/>
    <mergeCell ref="A711:B711"/>
    <mergeCell ref="A712:B712"/>
    <mergeCell ref="A713:B713"/>
    <mergeCell ref="A714:B714"/>
    <mergeCell ref="A703:B703"/>
    <mergeCell ref="A704:B704"/>
    <mergeCell ref="A705:B705"/>
    <mergeCell ref="A706:B706"/>
    <mergeCell ref="A707:B707"/>
    <mergeCell ref="A708:B708"/>
    <mergeCell ref="A721:B721"/>
    <mergeCell ref="A722:B722"/>
    <mergeCell ref="A723:B723"/>
    <mergeCell ref="A724:B724"/>
    <mergeCell ref="A725:B725"/>
    <mergeCell ref="A726:B726"/>
    <mergeCell ref="A715:B715"/>
    <mergeCell ref="A716:B716"/>
    <mergeCell ref="A717:B717"/>
    <mergeCell ref="A718:B718"/>
    <mergeCell ref="A719:B719"/>
    <mergeCell ref="A720:B720"/>
    <mergeCell ref="A733:B733"/>
    <mergeCell ref="A734:B734"/>
    <mergeCell ref="A735:B735"/>
    <mergeCell ref="A736:B736"/>
    <mergeCell ref="A737:B737"/>
    <mergeCell ref="A738:B738"/>
    <mergeCell ref="A727:B727"/>
    <mergeCell ref="A728:B728"/>
    <mergeCell ref="A729:B729"/>
    <mergeCell ref="A730:B730"/>
    <mergeCell ref="A731:B731"/>
    <mergeCell ref="A732:B732"/>
    <mergeCell ref="A745:B745"/>
    <mergeCell ref="A746:B746"/>
    <mergeCell ref="A747:B747"/>
    <mergeCell ref="A748:B748"/>
    <mergeCell ref="A749:B749"/>
    <mergeCell ref="A750:B750"/>
    <mergeCell ref="A739:B739"/>
    <mergeCell ref="A740:B740"/>
    <mergeCell ref="A741:B741"/>
    <mergeCell ref="A742:B742"/>
    <mergeCell ref="A743:B743"/>
    <mergeCell ref="A744:B744"/>
    <mergeCell ref="A757:B757"/>
    <mergeCell ref="A758:B758"/>
    <mergeCell ref="A759:B759"/>
    <mergeCell ref="A760:B760"/>
    <mergeCell ref="A761:B761"/>
    <mergeCell ref="A762:B762"/>
    <mergeCell ref="A751:B751"/>
    <mergeCell ref="A752:B752"/>
    <mergeCell ref="A753:B753"/>
    <mergeCell ref="A754:B754"/>
    <mergeCell ref="A755:B755"/>
    <mergeCell ref="A756:B756"/>
    <mergeCell ref="A769:B769"/>
    <mergeCell ref="A770:B770"/>
    <mergeCell ref="A771:B771"/>
    <mergeCell ref="A772:B772"/>
    <mergeCell ref="A773:B773"/>
    <mergeCell ref="A774:B774"/>
    <mergeCell ref="A763:B763"/>
    <mergeCell ref="A764:B764"/>
    <mergeCell ref="A765:B765"/>
    <mergeCell ref="A766:B766"/>
    <mergeCell ref="A767:B767"/>
    <mergeCell ref="A768:B768"/>
    <mergeCell ref="A781:B781"/>
    <mergeCell ref="A782:B782"/>
    <mergeCell ref="A783:B783"/>
    <mergeCell ref="A784:B784"/>
    <mergeCell ref="A785:B785"/>
    <mergeCell ref="A786:B786"/>
    <mergeCell ref="A775:B775"/>
    <mergeCell ref="A776:B776"/>
    <mergeCell ref="A777:B777"/>
    <mergeCell ref="A778:B778"/>
    <mergeCell ref="A779:B779"/>
    <mergeCell ref="A780:B780"/>
    <mergeCell ref="A793:B793"/>
    <mergeCell ref="A794:B794"/>
    <mergeCell ref="A795:B795"/>
    <mergeCell ref="A796:B796"/>
    <mergeCell ref="A797:B797"/>
    <mergeCell ref="A798:B798"/>
    <mergeCell ref="A787:B787"/>
    <mergeCell ref="A788:B788"/>
    <mergeCell ref="A789:B789"/>
    <mergeCell ref="A790:B790"/>
    <mergeCell ref="A791:B791"/>
    <mergeCell ref="A792:B792"/>
    <mergeCell ref="A805:B805"/>
    <mergeCell ref="A806:B806"/>
    <mergeCell ref="A807:B807"/>
    <mergeCell ref="A808:B808"/>
    <mergeCell ref="A809:B809"/>
    <mergeCell ref="A810:B810"/>
    <mergeCell ref="A799:B799"/>
    <mergeCell ref="A800:B800"/>
    <mergeCell ref="A801:B801"/>
    <mergeCell ref="A802:B802"/>
    <mergeCell ref="A803:B803"/>
    <mergeCell ref="A804:B804"/>
    <mergeCell ref="A817:B817"/>
    <mergeCell ref="A818:B818"/>
    <mergeCell ref="A819:B819"/>
    <mergeCell ref="A820:B820"/>
    <mergeCell ref="A821:B821"/>
    <mergeCell ref="A822:B822"/>
    <mergeCell ref="A811:B811"/>
    <mergeCell ref="A812:B812"/>
    <mergeCell ref="A813:B813"/>
    <mergeCell ref="A814:B814"/>
    <mergeCell ref="A815:B815"/>
    <mergeCell ref="A816:B816"/>
    <mergeCell ref="A829:B829"/>
    <mergeCell ref="A830:B830"/>
    <mergeCell ref="A831:B831"/>
    <mergeCell ref="A832:B832"/>
    <mergeCell ref="A833:B833"/>
    <mergeCell ref="A834:B834"/>
    <mergeCell ref="A823:B823"/>
    <mergeCell ref="A824:B824"/>
    <mergeCell ref="A825:B825"/>
    <mergeCell ref="A826:B826"/>
    <mergeCell ref="A827:B827"/>
    <mergeCell ref="A828:B828"/>
    <mergeCell ref="A841:B841"/>
    <mergeCell ref="A842:B842"/>
    <mergeCell ref="A843:B843"/>
    <mergeCell ref="A844:B844"/>
    <mergeCell ref="A845:B845"/>
    <mergeCell ref="A846:B846"/>
    <mergeCell ref="A835:B835"/>
    <mergeCell ref="A836:B836"/>
    <mergeCell ref="A837:B837"/>
    <mergeCell ref="A838:B838"/>
    <mergeCell ref="A839:B839"/>
    <mergeCell ref="A840:B840"/>
    <mergeCell ref="A853:B853"/>
    <mergeCell ref="A854:B854"/>
    <mergeCell ref="A855:B855"/>
    <mergeCell ref="A856:B856"/>
    <mergeCell ref="A857:B857"/>
    <mergeCell ref="A847:B847"/>
    <mergeCell ref="A848:B848"/>
    <mergeCell ref="A849:B849"/>
    <mergeCell ref="A850:B850"/>
    <mergeCell ref="A851:B851"/>
    <mergeCell ref="A852:B852"/>
  </mergeCells>
  <phoneticPr fontId="1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cbcb3794-65c5-4fd8-9f48-d3356576170d">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1AECF541D381CC47997C9F6E50A07635" ma:contentTypeVersion="14" ma:contentTypeDescription="新しいドキュメントを作成します。" ma:contentTypeScope="" ma:versionID="08bd3d941a4678980bac4ee6d7d05ebb">
  <xsd:schema xmlns:xsd="http://www.w3.org/2001/XMLSchema" xmlns:xs="http://www.w3.org/2001/XMLSchema" xmlns:p="http://schemas.microsoft.com/office/2006/metadata/properties" xmlns:ns2="cbcb3794-65c5-4fd8-9f48-d3356576170d" xmlns:ns3="83b3bdf2-a634-4f88-9a70-eed74f5c43d7" targetNamespace="http://schemas.microsoft.com/office/2006/metadata/properties" ma:root="true" ma:fieldsID="b02752519eb638c6ff24c9ea047f6668" ns2:_="" ns3:_="">
    <xsd:import namespace="cbcb3794-65c5-4fd8-9f48-d3356576170d"/>
    <xsd:import namespace="83b3bdf2-a634-4f88-9a70-eed74f5c43d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LengthInSeconds" minOccurs="0"/>
                <xsd:element ref="ns2:MediaServiceDateTaken" minOccurs="0"/>
                <xsd:element ref="ns2:lcf76f155ced4ddcb4097134ff3c332f"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cb3794-65c5-4fd8-9f48-d3356576170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LengthInSeconds" ma:index="11" nillable="true" ma:displayName="MediaLengthInSeconds" ma:hidden="true" ma:internalName="MediaLengthInSeconds" ma:readOnly="true">
      <xsd:simpleType>
        <xsd:restriction base="dms:Unknown"/>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画像タグ" ma:readOnly="false" ma:fieldId="{5cf76f15-5ced-4ddc-b409-7134ff3c332f}" ma:taxonomyMulti="true" ma:sspId="3cbaf9e9-afa4-4295-acc9-3ae7f045e455"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3b3bdf2-a634-4f88-9a70-eed74f5c43d7" elementFormDefault="qualified">
    <xsd:import namespace="http://schemas.microsoft.com/office/2006/documentManagement/types"/>
    <xsd:import namespace="http://schemas.microsoft.com/office/infopath/2007/PartnerControls"/>
    <xsd:element name="SharedWithUsers" ma:index="18"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67B2700-493F-49AC-BCBB-59ED3E992D36}">
  <ds:schemaRefs>
    <ds:schemaRef ds:uri="http://schemas.microsoft.com/office/2006/metadata/properties"/>
    <ds:schemaRef ds:uri="http://schemas.microsoft.com/office/infopath/2007/PartnerControls"/>
    <ds:schemaRef ds:uri="cbcb3794-65c5-4fd8-9f48-d3356576170d"/>
  </ds:schemaRefs>
</ds:datastoreItem>
</file>

<file path=customXml/itemProps2.xml><?xml version="1.0" encoding="utf-8"?>
<ds:datastoreItem xmlns:ds="http://schemas.openxmlformats.org/officeDocument/2006/customXml" ds:itemID="{69049999-1340-43D6-AFBD-6810349DCD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cb3794-65c5-4fd8-9f48-d3356576170d"/>
    <ds:schemaRef ds:uri="83b3bdf2-a634-4f88-9a70-eed74f5c43d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F5437B3-C1E0-49B7-BC1D-490F07ED51E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流入チャネル別集計</vt:lpstr>
      <vt:lpstr>流入チャネル別顧客一覧</vt:lpstr>
      <vt:lpstr>流入チャネル別顧客一覧_ユニーク</vt:lpstr>
      <vt:lpstr>rawdata_案件判定データ</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神吉 まあや (Kanki, Maaya)</cp:lastModifiedBy>
  <cp:revision/>
  <dcterms:created xsi:type="dcterms:W3CDTF">2025-01-24T08:19:52Z</dcterms:created>
  <dcterms:modified xsi:type="dcterms:W3CDTF">2026-07-01T01:44:34Z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0x0101001AECF541D381CC47997C9F6E50A07635</vt:lpwstr>
  </property>
  <property fmtid="{D5CDD505-2E9C-101B-9397-08002B2CF9AE}" pid="3" name="MediaServiceImageTags">
    <vt:lpwstr/>
  </property>
</Properties>
</file>