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564877\AppData\Local\Box\Box Edit\Documents\MDOLrltDKEaPaefzPhFtqg==\"/>
    </mc:Choice>
  </mc:AlternateContent>
  <xr:revisionPtr revIDLastSave="0" documentId="13_ncr:1_{A82A45CB-6B3C-41E6-AD65-8FC4BEE40ED6}" xr6:coauthVersionLast="47" xr6:coauthVersionMax="47" xr10:uidLastSave="{00000000-0000-0000-0000-000000000000}"/>
  <bookViews>
    <workbookView xWindow="-110" yWindow="-110" windowWidth="19420" windowHeight="11500" firstSheet="3" activeTab="4" xr2:uid="{C46E124F-35C9-4AA2-AC18-65B8D6499713}"/>
  </bookViews>
  <sheets>
    <sheet name="2025年度実績確認" sheetId="11" r:id="rId1"/>
    <sheet name="UN｜KPIツリー（構造確認用）" sheetId="13" r:id="rId2"/>
    <sheet name="SCH｜KPIツリー（構造確認用）" sheetId="21" r:id="rId3"/>
    <sheet name="MED｜KPIツリー（構造確認用）" sheetId="22" r:id="rId4"/>
    <sheet name="IS｜KPIツリー（構造確認用）" sheetId="23" r:id="rId5"/>
    <sheet name="※作成中※　UN｜KPIツリー（数値管理用）" sheetId="17" r:id="rId6"/>
    <sheet name="UN | 施策運用表_流入施策" sheetId="15" r:id="rId7"/>
    <sheet name="UN｜施策運用表_CVR施策" sheetId="16" r:id="rId8"/>
    <sheet name="定義" sheetId="6" state="hidden" r:id="rId9"/>
    <sheet name="KGI設定" sheetId="7" state="hidden" r:id="rId10"/>
    <sheet name="ファネル計画" sheetId="12" state="hidden" r:id="rId11"/>
    <sheet name="施策入力" sheetId="8" state="hidden" r:id="rId12"/>
    <sheet name="施策集計" sheetId="9" state="hidden" r:id="rId13"/>
    <sheet name="ダッシュボード" sheetId="10" state="hidden" r:id="rId14"/>
    <sheet name="Sheet1" sheetId="14" state="hidden" r:id="rId15"/>
    <sheet name="UN｜月次定例レポート用｜施策と実績" sheetId="20" r:id="rId16"/>
    <sheet name="SCH｜月次定例レポート用｜施策と実績" sheetId="19" r:id="rId17"/>
    <sheet name="MED｜月次定例レポート用｜施策と実績" sheetId="18" r:id="rId18"/>
    <sheet name="IS｜月次定例レポート用｜施策と実績" sheetId="24" r:id="rId19"/>
  </sheets>
  <definedNames>
    <definedName name="_xlnm._FilterDatabase" localSheetId="14" hidden="1">Sheet1!$A$2:$F$2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24" l="1"/>
  <c r="Q10" i="24"/>
  <c r="P10" i="24"/>
  <c r="O10" i="24"/>
  <c r="F10" i="24"/>
  <c r="E10" i="24"/>
  <c r="D10" i="24"/>
  <c r="C10" i="24"/>
  <c r="N10" i="24"/>
  <c r="M10" i="24"/>
  <c r="L10" i="24"/>
  <c r="K10" i="24"/>
  <c r="J10" i="24"/>
  <c r="I10" i="24"/>
  <c r="H10" i="24"/>
  <c r="G10" i="24"/>
  <c r="Q10" i="18"/>
  <c r="Q7" i="18"/>
  <c r="Q7" i="20"/>
  <c r="Q7" i="19"/>
  <c r="P7" i="19"/>
  <c r="P7" i="20"/>
  <c r="P10" i="18"/>
  <c r="AF15" i="13"/>
  <c r="AF14" i="13"/>
  <c r="AF13" i="13"/>
  <c r="AF12" i="13"/>
  <c r="AF10" i="13"/>
  <c r="AF9" i="13"/>
  <c r="AE14" i="13"/>
  <c r="AE13" i="13"/>
  <c r="AE12" i="13"/>
  <c r="AE11" i="13"/>
  <c r="AE10" i="13"/>
  <c r="AE9" i="13"/>
  <c r="Y74" i="23"/>
  <c r="X56" i="23"/>
  <c r="Y65" i="23"/>
  <c r="X65" i="23" s="1"/>
  <c r="F43" i="11"/>
  <c r="F40" i="11"/>
  <c r="D43" i="11"/>
  <c r="D40" i="11"/>
  <c r="Y45" i="23"/>
  <c r="Y42" i="23"/>
  <c r="Y39" i="23"/>
  <c r="Y48" i="23"/>
  <c r="X48" i="23" s="1"/>
  <c r="Y19" i="23"/>
  <c r="Y22" i="23" s="1"/>
  <c r="Y62" i="22"/>
  <c r="Y53" i="22"/>
  <c r="Y31" i="22"/>
  <c r="Y19" i="22"/>
  <c r="X62" i="22"/>
  <c r="S79" i="23"/>
  <c r="S52" i="23"/>
  <c r="S28" i="23"/>
  <c r="N28" i="23"/>
  <c r="K10" i="23"/>
  <c r="H10" i="23"/>
  <c r="E10" i="23"/>
  <c r="B10" i="23"/>
  <c r="S67" i="22"/>
  <c r="S56" i="22"/>
  <c r="S44" i="22"/>
  <c r="S40" i="22"/>
  <c r="S36" i="22"/>
  <c r="S25" i="22"/>
  <c r="S10" i="22"/>
  <c r="N25" i="22"/>
  <c r="K10" i="22"/>
  <c r="H10" i="22"/>
  <c r="E10" i="22"/>
  <c r="B10" i="22"/>
  <c r="V79" i="23"/>
  <c r="X74" i="23"/>
  <c r="V52" i="23"/>
  <c r="X22" i="23"/>
  <c r="K14" i="23"/>
  <c r="H14" i="23"/>
  <c r="E14" i="23"/>
  <c r="V67" i="22"/>
  <c r="X53" i="22"/>
  <c r="V40" i="22"/>
  <c r="V36" i="22"/>
  <c r="X31" i="22"/>
  <c r="P10" i="22"/>
  <c r="K14" i="22"/>
  <c r="H14" i="22"/>
  <c r="E14" i="22"/>
  <c r="Y71" i="21"/>
  <c r="Y62" i="21"/>
  <c r="Y45" i="21"/>
  <c r="Y42" i="21"/>
  <c r="Y39" i="21"/>
  <c r="Y22" i="21"/>
  <c r="S76" i="21"/>
  <c r="S49" i="21"/>
  <c r="S28" i="21"/>
  <c r="N28" i="21"/>
  <c r="K10" i="21"/>
  <c r="H10" i="21"/>
  <c r="E10" i="21"/>
  <c r="B10" i="21"/>
  <c r="V76" i="21"/>
  <c r="V49" i="21"/>
  <c r="K14" i="21"/>
  <c r="H14" i="21"/>
  <c r="E14" i="21"/>
  <c r="D7" i="19"/>
  <c r="E7" i="19"/>
  <c r="F7" i="19"/>
  <c r="G7" i="19"/>
  <c r="H7" i="19"/>
  <c r="I7" i="19"/>
  <c r="J7" i="19"/>
  <c r="K7" i="19"/>
  <c r="L7" i="19"/>
  <c r="M7" i="19"/>
  <c r="N7" i="19"/>
  <c r="O7" i="19"/>
  <c r="C7" i="19"/>
  <c r="F7" i="20"/>
  <c r="D7" i="20"/>
  <c r="E7" i="20"/>
  <c r="G7" i="20"/>
  <c r="H7" i="20"/>
  <c r="I7" i="20"/>
  <c r="J7" i="20"/>
  <c r="K7" i="20"/>
  <c r="L7" i="20"/>
  <c r="M7" i="20"/>
  <c r="N7" i="20"/>
  <c r="O7" i="20"/>
  <c r="C7" i="20"/>
  <c r="B7" i="20"/>
  <c r="B7" i="19"/>
  <c r="D10" i="18"/>
  <c r="E10" i="18"/>
  <c r="F10" i="18"/>
  <c r="G9" i="18"/>
  <c r="G10" i="18" s="1"/>
  <c r="H9" i="18"/>
  <c r="H10" i="18" s="1"/>
  <c r="I9" i="18"/>
  <c r="I10" i="18" s="1"/>
  <c r="J9" i="18"/>
  <c r="J10" i="18" s="1"/>
  <c r="K9" i="18"/>
  <c r="K10" i="18" s="1"/>
  <c r="L9" i="18"/>
  <c r="L10" i="18" s="1"/>
  <c r="M9" i="18"/>
  <c r="M10" i="18" s="1"/>
  <c r="N9" i="18"/>
  <c r="N10" i="18" s="1"/>
  <c r="O10" i="18"/>
  <c r="C10" i="18"/>
  <c r="E145" i="17"/>
  <c r="F145" i="17"/>
  <c r="G145" i="17"/>
  <c r="H145" i="17"/>
  <c r="I145" i="17"/>
  <c r="J145" i="17"/>
  <c r="K145" i="17"/>
  <c r="L145" i="17"/>
  <c r="M145" i="17"/>
  <c r="N145" i="17"/>
  <c r="O145" i="17"/>
  <c r="E156" i="17"/>
  <c r="F156" i="17"/>
  <c r="G156" i="17"/>
  <c r="H156" i="17"/>
  <c r="I156" i="17"/>
  <c r="J156" i="17"/>
  <c r="K156" i="17"/>
  <c r="L156" i="17"/>
  <c r="M156" i="17"/>
  <c r="N156" i="17"/>
  <c r="O156" i="17"/>
  <c r="E167" i="17"/>
  <c r="F167" i="17"/>
  <c r="G167" i="17"/>
  <c r="H167" i="17"/>
  <c r="I167" i="17"/>
  <c r="J167" i="17"/>
  <c r="K167" i="17"/>
  <c r="L167" i="17"/>
  <c r="M167" i="17"/>
  <c r="N167" i="17"/>
  <c r="O167" i="17"/>
  <c r="D167" i="17"/>
  <c r="D156" i="17"/>
  <c r="D145" i="17"/>
  <c r="E122" i="17"/>
  <c r="F122" i="17"/>
  <c r="G122" i="17"/>
  <c r="H122" i="17"/>
  <c r="I122" i="17"/>
  <c r="J122" i="17"/>
  <c r="K122" i="17"/>
  <c r="L122" i="17"/>
  <c r="M122" i="17"/>
  <c r="N122" i="17"/>
  <c r="O122" i="17"/>
  <c r="E126" i="17"/>
  <c r="F126" i="17"/>
  <c r="G126" i="17"/>
  <c r="H126" i="17"/>
  <c r="I126" i="17"/>
  <c r="J126" i="17"/>
  <c r="K126" i="17"/>
  <c r="L126" i="17"/>
  <c r="M126" i="17"/>
  <c r="N126" i="17"/>
  <c r="O126" i="17"/>
  <c r="E130" i="17"/>
  <c r="F130" i="17"/>
  <c r="G130" i="17"/>
  <c r="H130" i="17"/>
  <c r="I130" i="17"/>
  <c r="J130" i="17"/>
  <c r="K130" i="17"/>
  <c r="L130" i="17"/>
  <c r="M130" i="17"/>
  <c r="N130" i="17"/>
  <c r="O130" i="17"/>
  <c r="E134" i="17"/>
  <c r="F134" i="17"/>
  <c r="G134" i="17"/>
  <c r="H134" i="17"/>
  <c r="I134" i="17"/>
  <c r="J134" i="17"/>
  <c r="K134" i="17"/>
  <c r="L134" i="17"/>
  <c r="M134" i="17"/>
  <c r="N134" i="17"/>
  <c r="O134" i="17"/>
  <c r="D134" i="17"/>
  <c r="D130" i="17"/>
  <c r="D126" i="17"/>
  <c r="D122" i="17"/>
  <c r="E95" i="17"/>
  <c r="F95" i="17"/>
  <c r="G95" i="17"/>
  <c r="H95" i="17"/>
  <c r="I95" i="17"/>
  <c r="J95" i="17"/>
  <c r="K95" i="17"/>
  <c r="L95" i="17"/>
  <c r="M95" i="17"/>
  <c r="N95" i="17"/>
  <c r="O95" i="17"/>
  <c r="E99" i="17"/>
  <c r="F99" i="17"/>
  <c r="G99" i="17"/>
  <c r="H99" i="17"/>
  <c r="I99" i="17"/>
  <c r="J99" i="17"/>
  <c r="K99" i="17"/>
  <c r="L99" i="17"/>
  <c r="M99" i="17"/>
  <c r="N99" i="17"/>
  <c r="O99" i="17"/>
  <c r="E103" i="17"/>
  <c r="F103" i="17"/>
  <c r="G103" i="17"/>
  <c r="H103" i="17"/>
  <c r="I103" i="17"/>
  <c r="J103" i="17"/>
  <c r="K103" i="17"/>
  <c r="L103" i="17"/>
  <c r="M103" i="17"/>
  <c r="N103" i="17"/>
  <c r="O103" i="17"/>
  <c r="E107" i="17"/>
  <c r="F107" i="17"/>
  <c r="G107" i="17"/>
  <c r="H107" i="17"/>
  <c r="I107" i="17"/>
  <c r="J107" i="17"/>
  <c r="K107" i="17"/>
  <c r="L107" i="17"/>
  <c r="M107" i="17"/>
  <c r="N107" i="17"/>
  <c r="O107" i="17"/>
  <c r="E111" i="17"/>
  <c r="F111" i="17"/>
  <c r="G111" i="17"/>
  <c r="H111" i="17"/>
  <c r="I111" i="17"/>
  <c r="J111" i="17"/>
  <c r="K111" i="17"/>
  <c r="L111" i="17"/>
  <c r="M111" i="17"/>
  <c r="N111" i="17"/>
  <c r="O111" i="17"/>
  <c r="D111" i="17"/>
  <c r="D107" i="17"/>
  <c r="D103" i="17"/>
  <c r="D99" i="17"/>
  <c r="D95" i="17"/>
  <c r="E72" i="17"/>
  <c r="F72" i="17"/>
  <c r="G72" i="17"/>
  <c r="H72" i="17"/>
  <c r="I72" i="17"/>
  <c r="J72" i="17"/>
  <c r="K72" i="17"/>
  <c r="L72" i="17"/>
  <c r="M72" i="17"/>
  <c r="N72" i="17"/>
  <c r="O72" i="17"/>
  <c r="E76" i="17"/>
  <c r="F76" i="17"/>
  <c r="G76" i="17"/>
  <c r="H76" i="17"/>
  <c r="I76" i="17"/>
  <c r="J76" i="17"/>
  <c r="K76" i="17"/>
  <c r="L76" i="17"/>
  <c r="M76" i="17"/>
  <c r="N76" i="17"/>
  <c r="O76" i="17"/>
  <c r="E80" i="17"/>
  <c r="F80" i="17"/>
  <c r="G80" i="17"/>
  <c r="H80" i="17"/>
  <c r="I80" i="17"/>
  <c r="J80" i="17"/>
  <c r="K80" i="17"/>
  <c r="L80" i="17"/>
  <c r="M80" i="17"/>
  <c r="N80" i="17"/>
  <c r="O80" i="17"/>
  <c r="E84" i="17"/>
  <c r="F84" i="17"/>
  <c r="G84" i="17"/>
  <c r="H84" i="17"/>
  <c r="I84" i="17"/>
  <c r="J84" i="17"/>
  <c r="K84" i="17"/>
  <c r="L84" i="17"/>
  <c r="M84" i="17"/>
  <c r="N84" i="17"/>
  <c r="O84" i="17"/>
  <c r="D84" i="17"/>
  <c r="D80" i="17"/>
  <c r="D76" i="17"/>
  <c r="D72" i="17"/>
  <c r="E61" i="17"/>
  <c r="F61" i="17"/>
  <c r="G61" i="17"/>
  <c r="H61" i="17"/>
  <c r="I61" i="17"/>
  <c r="J61" i="17"/>
  <c r="K61" i="17"/>
  <c r="L61" i="17"/>
  <c r="M61" i="17"/>
  <c r="N61" i="17"/>
  <c r="O61" i="17"/>
  <c r="D61" i="17"/>
  <c r="E49" i="17"/>
  <c r="F49" i="17"/>
  <c r="G49" i="17"/>
  <c r="H49" i="17"/>
  <c r="I49" i="17"/>
  <c r="J49" i="17"/>
  <c r="K49" i="17"/>
  <c r="L49" i="17"/>
  <c r="M49" i="17"/>
  <c r="N49" i="17"/>
  <c r="O49" i="17"/>
  <c r="E53" i="17"/>
  <c r="F53" i="17"/>
  <c r="G53" i="17"/>
  <c r="H53" i="17"/>
  <c r="I53" i="17"/>
  <c r="J53" i="17"/>
  <c r="K53" i="17"/>
  <c r="L53" i="17"/>
  <c r="M53" i="17"/>
  <c r="N53" i="17"/>
  <c r="O53" i="17"/>
  <c r="E57" i="17"/>
  <c r="F57" i="17"/>
  <c r="G57" i="17"/>
  <c r="H57" i="17"/>
  <c r="I57" i="17"/>
  <c r="J57" i="17"/>
  <c r="K57" i="17"/>
  <c r="L57" i="17"/>
  <c r="M57" i="17"/>
  <c r="N57" i="17"/>
  <c r="O57" i="17"/>
  <c r="D57" i="17"/>
  <c r="D53" i="17"/>
  <c r="D49" i="17"/>
  <c r="E45" i="17"/>
  <c r="F45" i="17"/>
  <c r="G45" i="17"/>
  <c r="H45" i="17"/>
  <c r="I45" i="17"/>
  <c r="J45" i="17"/>
  <c r="K45" i="17"/>
  <c r="L45" i="17"/>
  <c r="M45" i="17"/>
  <c r="N45" i="17"/>
  <c r="O45" i="17"/>
  <c r="D45" i="17"/>
  <c r="E41" i="17"/>
  <c r="F41" i="17"/>
  <c r="G41" i="17"/>
  <c r="H41" i="17"/>
  <c r="I41" i="17"/>
  <c r="J41" i="17"/>
  <c r="K41" i="17"/>
  <c r="L41" i="17"/>
  <c r="M41" i="17"/>
  <c r="N41" i="17"/>
  <c r="O41" i="17"/>
  <c r="D41" i="17"/>
  <c r="X62" i="13"/>
  <c r="X59" i="13"/>
  <c r="Y65" i="13"/>
  <c r="Y56" i="13"/>
  <c r="Y31" i="13"/>
  <c r="Y34" i="13" s="1"/>
  <c r="H38" i="11"/>
  <c r="Y19" i="13"/>
  <c r="Y22" i="13" s="1"/>
  <c r="N37" i="11"/>
  <c r="D13" i="17"/>
  <c r="D19" i="17"/>
  <c r="D25" i="17"/>
  <c r="E9" i="17"/>
  <c r="F9" i="17"/>
  <c r="G9" i="17"/>
  <c r="H9" i="17"/>
  <c r="I9" i="17"/>
  <c r="J9" i="17"/>
  <c r="K9" i="17"/>
  <c r="L9" i="17"/>
  <c r="M9" i="17"/>
  <c r="N9" i="17"/>
  <c r="O9" i="17"/>
  <c r="D9" i="17"/>
  <c r="E15" i="17"/>
  <c r="F15" i="17"/>
  <c r="G15" i="17"/>
  <c r="H15" i="17"/>
  <c r="I15" i="17"/>
  <c r="J15" i="17"/>
  <c r="K15" i="17"/>
  <c r="L15" i="17"/>
  <c r="M15" i="17"/>
  <c r="N15" i="17"/>
  <c r="O15" i="17"/>
  <c r="D15" i="17"/>
  <c r="D17" i="17" s="1"/>
  <c r="E27" i="17"/>
  <c r="F27" i="17"/>
  <c r="G27" i="17"/>
  <c r="H27" i="17"/>
  <c r="I27" i="17"/>
  <c r="J27" i="17"/>
  <c r="K27" i="17"/>
  <c r="L27" i="17"/>
  <c r="M27" i="17"/>
  <c r="N27" i="17"/>
  <c r="O27" i="17"/>
  <c r="D27" i="17"/>
  <c r="P24" i="17"/>
  <c r="P18" i="17"/>
  <c r="P12" i="17"/>
  <c r="P6" i="17"/>
  <c r="S70" i="13"/>
  <c r="V70" i="13" s="1"/>
  <c r="E16" i="16"/>
  <c r="E15" i="16"/>
  <c r="E14" i="16"/>
  <c r="E13" i="16"/>
  <c r="E12" i="16"/>
  <c r="E11" i="16"/>
  <c r="E10" i="16"/>
  <c r="E9" i="16"/>
  <c r="E8" i="16"/>
  <c r="E7" i="16"/>
  <c r="E5" i="16"/>
  <c r="E6" i="16"/>
  <c r="L81" i="16"/>
  <c r="K81" i="16"/>
  <c r="K70" i="16"/>
  <c r="K69" i="16"/>
  <c r="K68" i="16"/>
  <c r="K67" i="16"/>
  <c r="K66" i="16"/>
  <c r="K65" i="16"/>
  <c r="K64" i="16"/>
  <c r="K63" i="16"/>
  <c r="K62" i="16"/>
  <c r="K61" i="16"/>
  <c r="K60" i="16"/>
  <c r="K59" i="16"/>
  <c r="K58" i="16"/>
  <c r="K57" i="16"/>
  <c r="L53" i="16"/>
  <c r="K53" i="16"/>
  <c r="L31" i="16"/>
  <c r="K31" i="16"/>
  <c r="O29" i="15"/>
  <c r="O30" i="15"/>
  <c r="O31" i="15"/>
  <c r="O32" i="15"/>
  <c r="O33" i="15"/>
  <c r="O34" i="15"/>
  <c r="O35" i="15"/>
  <c r="O36" i="15"/>
  <c r="O37" i="15"/>
  <c r="O38" i="15"/>
  <c r="O39" i="15"/>
  <c r="O40" i="15"/>
  <c r="O28" i="15"/>
  <c r="O27" i="15"/>
  <c r="I6" i="15"/>
  <c r="I5" i="15"/>
  <c r="I7" i="15"/>
  <c r="I8" i="15"/>
  <c r="I9" i="15"/>
  <c r="I10" i="15"/>
  <c r="I11" i="15"/>
  <c r="I12" i="15"/>
  <c r="I13" i="15"/>
  <c r="I14" i="15"/>
  <c r="I15" i="15"/>
  <c r="I16" i="15"/>
  <c r="P23" i="15"/>
  <c r="O23" i="15"/>
  <c r="F92" i="14"/>
  <c r="F84" i="14"/>
  <c r="F91" i="14"/>
  <c r="F97" i="14"/>
  <c r="F78" i="14"/>
  <c r="F95" i="14"/>
  <c r="F89" i="14"/>
  <c r="F81" i="14"/>
  <c r="F74" i="14"/>
  <c r="F68" i="14"/>
  <c r="F61" i="14"/>
  <c r="F54" i="14"/>
  <c r="F50" i="14"/>
  <c r="F44" i="14"/>
  <c r="F33" i="14"/>
  <c r="F38" i="14"/>
  <c r="F24" i="14"/>
  <c r="F18" i="14"/>
  <c r="F8" i="14"/>
  <c r="F13" i="14"/>
  <c r="D94" i="14"/>
  <c r="F94" i="14" s="1"/>
  <c r="D92" i="14"/>
  <c r="D98" i="14"/>
  <c r="F98" i="14" s="1"/>
  <c r="D96" i="14"/>
  <c r="F96" i="14" s="1"/>
  <c r="D99" i="14"/>
  <c r="F99" i="14" s="1"/>
  <c r="D84" i="14"/>
  <c r="D91" i="14"/>
  <c r="D88" i="14"/>
  <c r="F88" i="14" s="1"/>
  <c r="D97" i="14"/>
  <c r="D82" i="14"/>
  <c r="F82" i="14" s="1"/>
  <c r="D78" i="14"/>
  <c r="D95" i="14"/>
  <c r="D93" i="14"/>
  <c r="F93" i="14" s="1"/>
  <c r="D40" i="14"/>
  <c r="F40" i="14" s="1"/>
  <c r="D71" i="14"/>
  <c r="F71" i="14" s="1"/>
  <c r="D4" i="14"/>
  <c r="F4" i="14" s="1"/>
  <c r="D90" i="14"/>
  <c r="F90" i="14" s="1"/>
  <c r="D42" i="14"/>
  <c r="F42" i="14" s="1"/>
  <c r="D89" i="14"/>
  <c r="D56" i="14"/>
  <c r="F56" i="14" s="1"/>
  <c r="D86" i="14"/>
  <c r="F86" i="14" s="1"/>
  <c r="D85" i="14"/>
  <c r="F85" i="14" s="1"/>
  <c r="D83" i="14"/>
  <c r="F83" i="14" s="1"/>
  <c r="D81" i="14"/>
  <c r="D79" i="14"/>
  <c r="F79" i="14" s="1"/>
  <c r="D80" i="14"/>
  <c r="F80" i="14" s="1"/>
  <c r="D77" i="14"/>
  <c r="F77" i="14" s="1"/>
  <c r="D7" i="14"/>
  <c r="F7" i="14" s="1"/>
  <c r="D76" i="14"/>
  <c r="F76" i="14" s="1"/>
  <c r="D75" i="14"/>
  <c r="F75" i="14" s="1"/>
  <c r="D74" i="14"/>
  <c r="D72" i="14"/>
  <c r="F72" i="14" s="1"/>
  <c r="D73" i="14"/>
  <c r="F73" i="14" s="1"/>
  <c r="D70" i="14"/>
  <c r="F70" i="14" s="1"/>
  <c r="D69" i="14"/>
  <c r="F69" i="14" s="1"/>
  <c r="D68" i="14"/>
  <c r="D67" i="14"/>
  <c r="F67" i="14" s="1"/>
  <c r="D66" i="14"/>
  <c r="F66" i="14" s="1"/>
  <c r="D65" i="14"/>
  <c r="F65" i="14" s="1"/>
  <c r="D64" i="14"/>
  <c r="F64" i="14" s="1"/>
  <c r="D63" i="14"/>
  <c r="F63" i="14" s="1"/>
  <c r="D62" i="14"/>
  <c r="F62" i="14" s="1"/>
  <c r="D61" i="14"/>
  <c r="D60" i="14"/>
  <c r="F60" i="14" s="1"/>
  <c r="D57" i="14"/>
  <c r="F57" i="14" s="1"/>
  <c r="D58" i="14"/>
  <c r="F58" i="14" s="1"/>
  <c r="D59" i="14"/>
  <c r="F59" i="14" s="1"/>
  <c r="D54" i="14"/>
  <c r="D55" i="14"/>
  <c r="F55" i="14" s="1"/>
  <c r="D6" i="14"/>
  <c r="F6" i="14" s="1"/>
  <c r="D53" i="14"/>
  <c r="F53" i="14" s="1"/>
  <c r="D52" i="14"/>
  <c r="F52" i="14" s="1"/>
  <c r="D5" i="14"/>
  <c r="F5" i="14" s="1"/>
  <c r="D51" i="14"/>
  <c r="F51" i="14" s="1"/>
  <c r="D50" i="14"/>
  <c r="D49" i="14"/>
  <c r="F49" i="14" s="1"/>
  <c r="D48" i="14"/>
  <c r="F48" i="14" s="1"/>
  <c r="D47" i="14"/>
  <c r="F47" i="14" s="1"/>
  <c r="D46" i="14"/>
  <c r="F46" i="14" s="1"/>
  <c r="D44" i="14"/>
  <c r="D45" i="14"/>
  <c r="F45" i="14" s="1"/>
  <c r="D43" i="14"/>
  <c r="F43" i="14" s="1"/>
  <c r="D41" i="14"/>
  <c r="F41" i="14" s="1"/>
  <c r="D30" i="14"/>
  <c r="F30" i="14" s="1"/>
  <c r="D31" i="14"/>
  <c r="F31" i="14" s="1"/>
  <c r="D32" i="14"/>
  <c r="F32" i="14" s="1"/>
  <c r="D33" i="14"/>
  <c r="D34" i="14"/>
  <c r="F34" i="14" s="1"/>
  <c r="D35" i="14"/>
  <c r="F35" i="14" s="1"/>
  <c r="D36" i="14"/>
  <c r="F36" i="14" s="1"/>
  <c r="D37" i="14"/>
  <c r="F37" i="14" s="1"/>
  <c r="D38" i="14"/>
  <c r="D39" i="14"/>
  <c r="F39" i="14" s="1"/>
  <c r="D29" i="14"/>
  <c r="F29" i="14" s="1"/>
  <c r="D28" i="14"/>
  <c r="F28" i="14" s="1"/>
  <c r="D26" i="14"/>
  <c r="F26" i="14" s="1"/>
  <c r="D3" i="14"/>
  <c r="F3" i="14" s="1"/>
  <c r="D27" i="14"/>
  <c r="F27" i="14" s="1"/>
  <c r="D24" i="14"/>
  <c r="D25" i="14"/>
  <c r="F25" i="14" s="1"/>
  <c r="D22" i="14"/>
  <c r="F22" i="14" s="1"/>
  <c r="D23" i="14"/>
  <c r="F23" i="14" s="1"/>
  <c r="D21" i="14"/>
  <c r="F21" i="14" s="1"/>
  <c r="D18" i="14"/>
  <c r="D19" i="14"/>
  <c r="F19" i="14" s="1"/>
  <c r="D20" i="14"/>
  <c r="F20" i="14" s="1"/>
  <c r="D14" i="14"/>
  <c r="F14" i="14" s="1"/>
  <c r="D15" i="14"/>
  <c r="F15" i="14" s="1"/>
  <c r="D16" i="14"/>
  <c r="F16" i="14" s="1"/>
  <c r="D17" i="14"/>
  <c r="F17" i="14" s="1"/>
  <c r="D8" i="14"/>
  <c r="D9" i="14"/>
  <c r="F9" i="14" s="1"/>
  <c r="D10" i="14"/>
  <c r="F10" i="14" s="1"/>
  <c r="D11" i="14"/>
  <c r="F11" i="14" s="1"/>
  <c r="D12" i="14"/>
  <c r="F12" i="14" s="1"/>
  <c r="D13" i="14"/>
  <c r="D87" i="14"/>
  <c r="F87" i="14" s="1"/>
  <c r="E94" i="14"/>
  <c r="E92" i="14"/>
  <c r="E98" i="14"/>
  <c r="E96" i="14"/>
  <c r="E99" i="14"/>
  <c r="E84" i="14"/>
  <c r="E91" i="14"/>
  <c r="E88" i="14"/>
  <c r="E97" i="14"/>
  <c r="E82" i="14"/>
  <c r="E78" i="14"/>
  <c r="E95" i="14"/>
  <c r="E93" i="14"/>
  <c r="E40" i="14"/>
  <c r="E71" i="14"/>
  <c r="E4" i="14"/>
  <c r="E90" i="14"/>
  <c r="E42" i="14"/>
  <c r="E89" i="14"/>
  <c r="E56" i="14"/>
  <c r="E86" i="14"/>
  <c r="E85" i="14"/>
  <c r="E83" i="14"/>
  <c r="E81" i="14"/>
  <c r="E79" i="14"/>
  <c r="E80" i="14"/>
  <c r="E77" i="14"/>
  <c r="E7" i="14"/>
  <c r="E76" i="14"/>
  <c r="E75" i="14"/>
  <c r="E74" i="14"/>
  <c r="E72" i="14"/>
  <c r="E73" i="14"/>
  <c r="E70" i="14"/>
  <c r="E69" i="14"/>
  <c r="E68" i="14"/>
  <c r="E67" i="14"/>
  <c r="E66" i="14"/>
  <c r="E65" i="14"/>
  <c r="E64" i="14"/>
  <c r="E63" i="14"/>
  <c r="E62" i="14"/>
  <c r="E61" i="14"/>
  <c r="E60" i="14"/>
  <c r="E57" i="14"/>
  <c r="E58" i="14"/>
  <c r="E59" i="14"/>
  <c r="E54" i="14"/>
  <c r="E55" i="14"/>
  <c r="E6" i="14"/>
  <c r="E53" i="14"/>
  <c r="E52" i="14"/>
  <c r="E5" i="14"/>
  <c r="E51" i="14"/>
  <c r="E50" i="14"/>
  <c r="E49" i="14"/>
  <c r="E48" i="14"/>
  <c r="E47" i="14"/>
  <c r="E46" i="14"/>
  <c r="E44" i="14"/>
  <c r="E45" i="14"/>
  <c r="E43" i="14"/>
  <c r="E41" i="14"/>
  <c r="E30" i="14"/>
  <c r="E31" i="14"/>
  <c r="E32" i="14"/>
  <c r="E33" i="14"/>
  <c r="E34" i="14"/>
  <c r="E35" i="14"/>
  <c r="E36" i="14"/>
  <c r="E37" i="14"/>
  <c r="E38" i="14"/>
  <c r="E39" i="14"/>
  <c r="E29" i="14"/>
  <c r="E28" i="14"/>
  <c r="E26" i="14"/>
  <c r="E3" i="14"/>
  <c r="E27" i="14"/>
  <c r="E24" i="14"/>
  <c r="E25" i="14"/>
  <c r="E22" i="14"/>
  <c r="E23" i="14"/>
  <c r="E21" i="14"/>
  <c r="E18" i="14"/>
  <c r="E19" i="14"/>
  <c r="E20" i="14"/>
  <c r="E14" i="14"/>
  <c r="E15" i="14"/>
  <c r="E16" i="14"/>
  <c r="E17" i="14"/>
  <c r="E8" i="14"/>
  <c r="E9" i="14"/>
  <c r="E10" i="14"/>
  <c r="E11" i="14"/>
  <c r="E12" i="14"/>
  <c r="E13" i="14"/>
  <c r="E87" i="14"/>
  <c r="G36" i="11"/>
  <c r="G35" i="11"/>
  <c r="G32" i="11"/>
  <c r="G31" i="11"/>
  <c r="G29" i="11"/>
  <c r="H33" i="11"/>
  <c r="H30" i="11"/>
  <c r="S43" i="13"/>
  <c r="V43" i="13" s="1"/>
  <c r="N28" i="13"/>
  <c r="K10" i="13"/>
  <c r="H10" i="13"/>
  <c r="K14" i="13" s="1"/>
  <c r="E10" i="13"/>
  <c r="B10" i="13"/>
  <c r="H37" i="11"/>
  <c r="I37" i="11"/>
  <c r="J37" i="11"/>
  <c r="K37" i="11"/>
  <c r="I33" i="11"/>
  <c r="I34" i="11" s="1"/>
  <c r="J33" i="11"/>
  <c r="J34" i="11" s="1"/>
  <c r="K33" i="11"/>
  <c r="K34" i="11" s="1"/>
  <c r="H34" i="11"/>
  <c r="G34" i="11" s="1"/>
  <c r="K30" i="11"/>
  <c r="J30" i="11"/>
  <c r="I30" i="11"/>
  <c r="C36" i="11"/>
  <c r="D36" i="11"/>
  <c r="E36" i="11"/>
  <c r="F36" i="11"/>
  <c r="C34" i="11"/>
  <c r="D34" i="11"/>
  <c r="E34" i="11"/>
  <c r="F34" i="11"/>
  <c r="C32" i="11"/>
  <c r="D32" i="11"/>
  <c r="E32" i="11"/>
  <c r="F32" i="11"/>
  <c r="F30" i="11"/>
  <c r="E30" i="11"/>
  <c r="D30" i="11"/>
  <c r="C30" i="11"/>
  <c r="B36" i="11"/>
  <c r="B34" i="11"/>
  <c r="B32" i="11"/>
  <c r="B30" i="11"/>
  <c r="B8" i="7"/>
  <c r="F14" i="12" s="1"/>
  <c r="G20" i="10"/>
  <c r="E20" i="10"/>
  <c r="C20" i="10"/>
  <c r="G19" i="10"/>
  <c r="E19" i="10"/>
  <c r="C19" i="10"/>
  <c r="G18" i="10"/>
  <c r="E18" i="10"/>
  <c r="C18" i="10"/>
  <c r="G17" i="10"/>
  <c r="E17" i="10"/>
  <c r="C17" i="10"/>
  <c r="G16" i="10"/>
  <c r="E16" i="10"/>
  <c r="C16" i="10"/>
  <c r="G15" i="10"/>
  <c r="E15" i="10"/>
  <c r="C15" i="10"/>
  <c r="G14" i="10"/>
  <c r="E14" i="10"/>
  <c r="C14" i="10"/>
  <c r="G13" i="10"/>
  <c r="E13" i="10"/>
  <c r="C13" i="10"/>
  <c r="G12" i="10"/>
  <c r="E12" i="10"/>
  <c r="C12" i="10"/>
  <c r="G11" i="10"/>
  <c r="E11" i="10"/>
  <c r="C11" i="10"/>
  <c r="G10" i="10"/>
  <c r="E10" i="10"/>
  <c r="C10" i="10"/>
  <c r="G9" i="10"/>
  <c r="E9" i="10"/>
  <c r="C9" i="10"/>
  <c r="F4" i="10"/>
  <c r="D4" i="10"/>
  <c r="B5" i="10"/>
  <c r="B4" i="10"/>
  <c r="B3" i="10"/>
  <c r="C16" i="9"/>
  <c r="D16" i="9"/>
  <c r="E16" i="9"/>
  <c r="F16" i="9"/>
  <c r="G16" i="9"/>
  <c r="G15" i="9"/>
  <c r="F15" i="9"/>
  <c r="E15" i="9"/>
  <c r="D15" i="9"/>
  <c r="C15" i="9"/>
  <c r="G14" i="9"/>
  <c r="F14" i="9"/>
  <c r="E14" i="9"/>
  <c r="D14" i="9"/>
  <c r="C14" i="9"/>
  <c r="G13" i="9"/>
  <c r="F13" i="9"/>
  <c r="E13" i="9"/>
  <c r="D13" i="9"/>
  <c r="C13" i="9"/>
  <c r="G12" i="9"/>
  <c r="F12" i="9"/>
  <c r="E12" i="9"/>
  <c r="D12" i="9"/>
  <c r="C12" i="9"/>
  <c r="G11" i="9"/>
  <c r="F11" i="9"/>
  <c r="E11" i="9"/>
  <c r="D11" i="9"/>
  <c r="C11" i="9"/>
  <c r="G10" i="9"/>
  <c r="F10" i="9"/>
  <c r="E10" i="9"/>
  <c r="D10" i="9"/>
  <c r="C10" i="9"/>
  <c r="G9" i="9"/>
  <c r="F9" i="9"/>
  <c r="E9" i="9"/>
  <c r="D9" i="9"/>
  <c r="C9" i="9"/>
  <c r="G8" i="9"/>
  <c r="F8" i="9"/>
  <c r="E8" i="9"/>
  <c r="D8" i="9"/>
  <c r="C8" i="9"/>
  <c r="G7" i="9"/>
  <c r="F7" i="9"/>
  <c r="E7" i="9"/>
  <c r="D7" i="9"/>
  <c r="C7" i="9"/>
  <c r="G6" i="9"/>
  <c r="F6" i="9"/>
  <c r="E6" i="9"/>
  <c r="D6" i="9"/>
  <c r="C6" i="9"/>
  <c r="G5" i="9"/>
  <c r="F5" i="9"/>
  <c r="E5" i="9"/>
  <c r="D5" i="9"/>
  <c r="C5" i="9"/>
  <c r="G4" i="9"/>
  <c r="F4" i="9"/>
  <c r="E4" i="9"/>
  <c r="D4" i="9"/>
  <c r="C4" i="9"/>
  <c r="N4" i="8"/>
  <c r="G16" i="12"/>
  <c r="G15" i="12"/>
  <c r="G14" i="12"/>
  <c r="G13" i="12"/>
  <c r="G12" i="12"/>
  <c r="G11" i="12"/>
  <c r="G10" i="12"/>
  <c r="G9" i="12"/>
  <c r="G8" i="12"/>
  <c r="G7" i="12"/>
  <c r="G6" i="12"/>
  <c r="G5" i="12"/>
  <c r="G4" i="12"/>
  <c r="K8" i="11"/>
  <c r="H8" i="11"/>
  <c r="F8" i="11"/>
  <c r="D8" i="11"/>
  <c r="B8" i="11"/>
  <c r="I5" i="11"/>
  <c r="I6" i="11"/>
  <c r="I7" i="11"/>
  <c r="I4" i="11"/>
  <c r="G6" i="11"/>
  <c r="G5" i="11"/>
  <c r="J5" i="11"/>
  <c r="J6" i="11"/>
  <c r="J7" i="11"/>
  <c r="J4" i="11"/>
  <c r="G7" i="11"/>
  <c r="G4" i="11"/>
  <c r="E5" i="11"/>
  <c r="E6" i="11"/>
  <c r="E7" i="11"/>
  <c r="E4" i="11"/>
  <c r="C5" i="11"/>
  <c r="C6" i="11"/>
  <c r="C7" i="11"/>
  <c r="C4" i="11"/>
  <c r="B15" i="9"/>
  <c r="B14" i="9"/>
  <c r="B13" i="9"/>
  <c r="B12" i="9"/>
  <c r="B11" i="9"/>
  <c r="B10" i="9"/>
  <c r="B9" i="9"/>
  <c r="B8" i="9"/>
  <c r="B7" i="9"/>
  <c r="B6" i="9"/>
  <c r="B5" i="9"/>
  <c r="B4" i="9"/>
  <c r="B6" i="7"/>
  <c r="X16" i="22" l="1"/>
  <c r="X13" i="22"/>
  <c r="X10" i="22"/>
  <c r="T68" i="23"/>
  <c r="T56" i="23"/>
  <c r="T10" i="23"/>
  <c r="N10" i="23"/>
  <c r="X31" i="23"/>
  <c r="X28" i="23"/>
  <c r="V28" i="23"/>
  <c r="T56" i="22"/>
  <c r="T44" i="22"/>
  <c r="T36" i="22"/>
  <c r="T25" i="22"/>
  <c r="T10" i="22"/>
  <c r="N10" i="22"/>
  <c r="P11" i="22"/>
  <c r="V10" i="22"/>
  <c r="X28" i="22"/>
  <c r="X25" i="22"/>
  <c r="V25" i="22"/>
  <c r="X50" i="22"/>
  <c r="X47" i="22"/>
  <c r="X44" i="22"/>
  <c r="V44" i="22"/>
  <c r="X59" i="22"/>
  <c r="X56" i="22"/>
  <c r="V56" i="22"/>
  <c r="T65" i="21"/>
  <c r="T53" i="21"/>
  <c r="T10" i="21"/>
  <c r="N10" i="21"/>
  <c r="X31" i="21"/>
  <c r="X28" i="21"/>
  <c r="V28" i="21"/>
  <c r="T59" i="13"/>
  <c r="T47" i="13"/>
  <c r="T28" i="13"/>
  <c r="T10" i="13"/>
  <c r="O6" i="17"/>
  <c r="N6" i="17"/>
  <c r="M6" i="17"/>
  <c r="L6" i="17"/>
  <c r="K6" i="17"/>
  <c r="J6" i="17"/>
  <c r="I6" i="17"/>
  <c r="H6" i="17"/>
  <c r="G6" i="17"/>
  <c r="F6" i="17"/>
  <c r="E6" i="17"/>
  <c r="D6" i="17"/>
  <c r="E12" i="17"/>
  <c r="F12" i="17"/>
  <c r="G12" i="17"/>
  <c r="H12" i="17"/>
  <c r="I12" i="17"/>
  <c r="J12" i="17"/>
  <c r="K12" i="17"/>
  <c r="L12" i="17"/>
  <c r="M12" i="17"/>
  <c r="N12" i="17"/>
  <c r="O12" i="17"/>
  <c r="D12" i="17"/>
  <c r="E18" i="17"/>
  <c r="F18" i="17"/>
  <c r="G18" i="17"/>
  <c r="H18" i="17"/>
  <c r="I18" i="17"/>
  <c r="J18" i="17"/>
  <c r="K18" i="17"/>
  <c r="L18" i="17"/>
  <c r="M18" i="17"/>
  <c r="N18" i="17"/>
  <c r="O18" i="17"/>
  <c r="D18" i="17"/>
  <c r="E24" i="17"/>
  <c r="F24" i="17"/>
  <c r="G24" i="17"/>
  <c r="H24" i="17"/>
  <c r="I24" i="17"/>
  <c r="J24" i="17"/>
  <c r="K24" i="17"/>
  <c r="L24" i="17"/>
  <c r="M24" i="17"/>
  <c r="N24" i="17"/>
  <c r="O24" i="17"/>
  <c r="D24" i="17"/>
  <c r="D29" i="17"/>
  <c r="D21" i="17"/>
  <c r="D23" i="17" s="1"/>
  <c r="O29" i="17"/>
  <c r="O21" i="17"/>
  <c r="N29" i="17"/>
  <c r="N21" i="17"/>
  <c r="M29" i="17"/>
  <c r="M21" i="17"/>
  <c r="L29" i="17"/>
  <c r="L21" i="17"/>
  <c r="K29" i="17"/>
  <c r="K21" i="17"/>
  <c r="J29" i="17"/>
  <c r="J21" i="17"/>
  <c r="I29" i="17"/>
  <c r="I21" i="17"/>
  <c r="H29" i="17"/>
  <c r="H21" i="17"/>
  <c r="G29" i="17"/>
  <c r="G21" i="17"/>
  <c r="F29" i="17"/>
  <c r="F21" i="17"/>
  <c r="E29" i="17"/>
  <c r="E21" i="17"/>
  <c r="D7" i="17"/>
  <c r="D11" i="17"/>
  <c r="D3" i="17"/>
  <c r="D5" i="17" s="1"/>
  <c r="O3" i="17"/>
  <c r="N3" i="17"/>
  <c r="M3" i="17"/>
  <c r="L3" i="17"/>
  <c r="K3" i="17"/>
  <c r="J3" i="17"/>
  <c r="I3" i="17"/>
  <c r="H3" i="17"/>
  <c r="G3" i="17"/>
  <c r="F3" i="17"/>
  <c r="E3" i="17"/>
  <c r="D26" i="17"/>
  <c r="D20" i="17"/>
  <c r="D14" i="17"/>
  <c r="N10" i="13"/>
  <c r="T39" i="13"/>
  <c r="K43" i="11"/>
  <c r="S68" i="23" s="1"/>
  <c r="K42" i="11"/>
  <c r="S56" i="23" s="1"/>
  <c r="K40" i="11"/>
  <c r="S39" i="23" s="1"/>
  <c r="K38" i="11"/>
  <c r="S10" i="23" s="1"/>
  <c r="J43" i="11"/>
  <c r="J42" i="11"/>
  <c r="J39" i="11"/>
  <c r="J38" i="11"/>
  <c r="I43" i="11"/>
  <c r="S65" i="21" s="1"/>
  <c r="I42" i="11"/>
  <c r="S53" i="21" s="1"/>
  <c r="I40" i="11"/>
  <c r="S39" i="21" s="1"/>
  <c r="I38" i="11"/>
  <c r="S10" i="21" s="1"/>
  <c r="N40" i="11"/>
  <c r="N42" i="11"/>
  <c r="N38" i="11"/>
  <c r="H43" i="11"/>
  <c r="H42" i="11"/>
  <c r="H39" i="11"/>
  <c r="R42" i="13"/>
  <c r="R69" i="13"/>
  <c r="G37" i="11"/>
  <c r="G30" i="11"/>
  <c r="G33" i="11"/>
  <c r="E14" i="13"/>
  <c r="H14" i="13"/>
  <c r="J8" i="11"/>
  <c r="C8" i="11"/>
  <c r="E8" i="11"/>
  <c r="G8" i="11"/>
  <c r="I8" i="11"/>
  <c r="F5" i="12"/>
  <c r="F9" i="12"/>
  <c r="F13" i="12"/>
  <c r="F15" i="12"/>
  <c r="F7" i="12"/>
  <c r="F11" i="12"/>
  <c r="F4" i="12"/>
  <c r="F16" i="12" s="1"/>
  <c r="F6" i="12"/>
  <c r="F8" i="12"/>
  <c r="F10" i="12"/>
  <c r="F12" i="12"/>
  <c r="B16" i="9"/>
  <c r="B10" i="7"/>
  <c r="P10" i="21" l="1"/>
  <c r="P11" i="21" s="1"/>
  <c r="X19" i="21"/>
  <c r="X16" i="21"/>
  <c r="X13" i="21"/>
  <c r="X10" i="21"/>
  <c r="V10" i="21"/>
  <c r="V39" i="21"/>
  <c r="X42" i="21"/>
  <c r="X39" i="21"/>
  <c r="X59" i="21"/>
  <c r="X56" i="21"/>
  <c r="X53" i="21"/>
  <c r="V53" i="21"/>
  <c r="X68" i="21"/>
  <c r="X65" i="21"/>
  <c r="V65" i="21"/>
  <c r="P10" i="23"/>
  <c r="P11" i="23" s="1"/>
  <c r="X19" i="23"/>
  <c r="X16" i="23"/>
  <c r="X13" i="23"/>
  <c r="X10" i="23"/>
  <c r="V10" i="23"/>
  <c r="X45" i="23"/>
  <c r="X42" i="23"/>
  <c r="X39" i="23"/>
  <c r="V39" i="23"/>
  <c r="X62" i="23"/>
  <c r="X59" i="23"/>
  <c r="V56" i="23"/>
  <c r="X71" i="23"/>
  <c r="X68" i="23"/>
  <c r="V68" i="23"/>
  <c r="R78" i="23"/>
  <c r="R67" i="23"/>
  <c r="R55" i="23"/>
  <c r="R51" i="23"/>
  <c r="R38" i="23"/>
  <c r="R27" i="23"/>
  <c r="R9" i="23"/>
  <c r="P9" i="23" s="1"/>
  <c r="R66" i="22"/>
  <c r="R55" i="22"/>
  <c r="R43" i="22"/>
  <c r="R39" i="22"/>
  <c r="R35" i="22"/>
  <c r="R24" i="22"/>
  <c r="R9" i="22"/>
  <c r="P9" i="22" s="1"/>
  <c r="R75" i="21"/>
  <c r="R64" i="21"/>
  <c r="R52" i="21"/>
  <c r="R48" i="21"/>
  <c r="R38" i="21"/>
  <c r="R27" i="21"/>
  <c r="R9" i="21"/>
  <c r="P9" i="21" s="1"/>
  <c r="S47" i="13"/>
  <c r="S59" i="13"/>
  <c r="V59" i="13" s="1"/>
  <c r="F3" i="10"/>
  <c r="F5" i="10" s="1"/>
  <c r="B12" i="7"/>
  <c r="E13" i="12"/>
  <c r="F18" i="10" s="1"/>
  <c r="E14" i="12"/>
  <c r="F19" i="10" s="1"/>
  <c r="E12" i="12"/>
  <c r="F17" i="10" s="1"/>
  <c r="E10" i="12"/>
  <c r="F15" i="10" s="1"/>
  <c r="E8" i="12"/>
  <c r="F13" i="10" s="1"/>
  <c r="E6" i="12"/>
  <c r="F11" i="10" s="1"/>
  <c r="E4" i="12"/>
  <c r="E9" i="12"/>
  <c r="F14" i="10" s="1"/>
  <c r="E15" i="12"/>
  <c r="F20" i="10" s="1"/>
  <c r="E11" i="12"/>
  <c r="F16" i="10" s="1"/>
  <c r="E7" i="12"/>
  <c r="F12" i="10" s="1"/>
  <c r="E5" i="12"/>
  <c r="F10" i="10" s="1"/>
  <c r="X47" i="13" l="1"/>
  <c r="X50" i="13"/>
  <c r="X53" i="13"/>
  <c r="V47" i="13"/>
  <c r="R58" i="13"/>
  <c r="R46" i="13"/>
  <c r="F9" i="10"/>
  <c r="E16" i="12"/>
  <c r="B14" i="7"/>
  <c r="D11" i="12"/>
  <c r="D14" i="12"/>
  <c r="D10" i="12"/>
  <c r="D8" i="12"/>
  <c r="D6" i="12"/>
  <c r="D13" i="12"/>
  <c r="D5" i="12"/>
  <c r="D12" i="12"/>
  <c r="D4" i="12"/>
  <c r="D15" i="12"/>
  <c r="D9" i="12"/>
  <c r="D7" i="12"/>
  <c r="D16" i="12" l="1"/>
  <c r="C7" i="12"/>
  <c r="D12" i="10" s="1"/>
  <c r="D3" i="10"/>
  <c r="D5" i="10" s="1"/>
  <c r="C14" i="12"/>
  <c r="D19" i="10" s="1"/>
  <c r="C12" i="12"/>
  <c r="D17" i="10" s="1"/>
  <c r="C8" i="12"/>
  <c r="D13" i="10" s="1"/>
  <c r="C4" i="12"/>
  <c r="C15" i="12"/>
  <c r="D20" i="10" s="1"/>
  <c r="C11" i="12"/>
  <c r="D16" i="10" s="1"/>
  <c r="C5" i="12"/>
  <c r="D10" i="10" s="1"/>
  <c r="C10" i="12"/>
  <c r="D15" i="10" s="1"/>
  <c r="C6" i="12"/>
  <c r="D11" i="10" s="1"/>
  <c r="C13" i="12"/>
  <c r="D18" i="10" s="1"/>
  <c r="C9" i="12"/>
  <c r="D14" i="10" s="1"/>
  <c r="B16" i="7"/>
  <c r="D9" i="10" l="1"/>
  <c r="C16" i="12"/>
  <c r="B18" i="7"/>
  <c r="B15" i="12"/>
  <c r="B20" i="10" s="1"/>
  <c r="B13" i="12"/>
  <c r="B18" i="10" s="1"/>
  <c r="B11" i="12"/>
  <c r="B16" i="10" s="1"/>
  <c r="B9" i="12"/>
  <c r="B14" i="10" s="1"/>
  <c r="B7" i="12"/>
  <c r="B12" i="10" s="1"/>
  <c r="B5" i="12"/>
  <c r="B10" i="10" s="1"/>
  <c r="B14" i="12"/>
  <c r="B19" i="10" s="1"/>
  <c r="B8" i="12"/>
  <c r="B13" i="10" s="1"/>
  <c r="B12" i="12"/>
  <c r="B17" i="10" s="1"/>
  <c r="B6" i="12"/>
  <c r="B11" i="10" s="1"/>
  <c r="B10" i="12"/>
  <c r="B15" i="10" s="1"/>
  <c r="B4" i="12"/>
  <c r="B9" i="10" l="1"/>
  <c r="B16" i="12"/>
  <c r="S10" i="13"/>
  <c r="X10" i="13" l="1"/>
  <c r="X19" i="13"/>
  <c r="X13" i="13"/>
  <c r="X16" i="13"/>
  <c r="V10" i="13"/>
  <c r="R9" i="13"/>
  <c r="S39" i="13"/>
  <c r="V39" i="13" s="1"/>
  <c r="S28" i="13"/>
  <c r="X31" i="13" l="1"/>
  <c r="X28" i="13"/>
  <c r="V28" i="13"/>
  <c r="R27" i="13"/>
  <c r="P10" i="13"/>
  <c r="P11" i="13" s="1"/>
  <c r="R38" i="13"/>
  <c r="P9"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tc={D2C0C4AD-500E-4C70-A121-B0D680F236FB}</author>
    <author>tc={9D750001-2ACA-49AD-9906-2A639E909B2D}</author>
    <author>tc={B8FDA8CD-61A3-4B8F-AA0B-517875E1DD00}</author>
    <author>tc={385B0E91-7887-4C69-AEA8-A77C530A1FD5}</author>
    <author>tc={A35F548D-CC40-4D34-BA4F-26D3ADA8C3CD}</author>
    <author>tc={552D068F-3618-4717-9B54-B77E8FD3EBB7}</author>
  </authors>
  <commentList>
    <comment ref="F3" authorId="0" shapeId="0" xr:uid="{D2C0C4AD-500E-4C70-A121-B0D680F236F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UNのみ商談数</t>
      </text>
    </comment>
    <comment ref="H3" authorId="1" shapeId="0" xr:uid="{9D750001-2ACA-49AD-9906-2A639E909B2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UNのみ「商談済・引き続き追う」</t>
      </text>
    </comment>
    <comment ref="D40" authorId="2" shapeId="0" xr:uid="{B8FDA8CD-61A3-4B8F-AA0B-517875E1DD0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referralのadmatrix含む</t>
      </text>
    </comment>
    <comment ref="F40" authorId="3" shapeId="0" xr:uid="{385B0E91-7887-4C69-AEA8-A77C530A1FD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referralのadmatrix含む</t>
      </text>
    </comment>
    <comment ref="D43" authorId="4" shapeId="0" xr:uid="{A35F548D-CC40-4D34-BA4F-26D3ADA8C3C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bidresult-dsp.ad-m.asiaはマイナス</t>
      </text>
    </comment>
    <comment ref="F43" authorId="5" shapeId="0" xr:uid="{552D068F-3618-4717-9B54-B77E8FD3EBB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bidresult-dsp.ad-m.asiaはマイナス</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tc={400B614C-4FCE-4556-AB6E-28F72FA3091C}</author>
  </authors>
  <commentList>
    <comment ref="S42" authorId="0" shapeId="0" xr:uid="{400B614C-4FCE-4556-AB6E-28F72FA3091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・指名検索
・ブックマーク
・履歴から
・URL直打ち＆再入力
・計測漏れ
※営業提案資料などに記載のURLのパラメータ未設定など</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tc={CB90CD8C-58DA-476B-A8C0-472750556062}</author>
    <author>tc={7EA52D1B-A708-4652-BA3E-12512F4AD20C}</author>
  </authors>
  <commentList>
    <comment ref="T39" authorId="0" shapeId="0" xr:uid="{CB90CD8C-58DA-476B-A8C0-47275055606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一旦PaidのMQLをこちらに移管</t>
      </text>
    </comment>
    <comment ref="S48" authorId="1" shapeId="0" xr:uid="{7EA52D1B-A708-4652-BA3E-12512F4AD20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・指名検索
・ブックマーク
・履歴から
・URL直打ち＆再入力
・計測漏れ
※営業提案資料などに記載のURLのパラメータ未設定など</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tc={CBDF6E27-EAF7-4B40-BB68-BFAD2BB06E76}</author>
  </authors>
  <commentList>
    <comment ref="S39" authorId="0" shapeId="0" xr:uid="{CBDF6E27-EAF7-4B40-BB68-BFAD2BB06E7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・指名検索
・ブックマーク
・履歴から
・URL直打ち＆再入力
・計測漏れ
※営業提案資料などに記載のURLのパラメータ未設定など</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tc={DA976E11-6276-4863-AC39-C801765C44E8}</author>
    <author>tc={E88B946F-191D-47A2-9DBA-9D1F8F5EA3B9}</author>
    <author>tc={9C74D7F3-6F50-44DB-9336-896F0D883C05}</author>
    <author>tc={6E6F4CD0-5FCA-4B6F-AF19-CD4BC1EE428F}</author>
    <author>tc={BE045E2E-2E08-4A07-B146-836461198936}</author>
    <author>tc={5E03E084-82FE-4C98-9472-1FE728D3FBCB}</author>
  </authors>
  <commentList>
    <comment ref="E10" authorId="0" shapeId="0" xr:uid="{DA976E11-6276-4863-AC39-C801765C44E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・5月末時点：1件
・年目標不足数：11件
・残り期間でのひと月あたりの必要数：約1.2件</t>
      </text>
    </comment>
    <comment ref="H10" authorId="1" shapeId="0" xr:uid="{E88B946F-191D-47A2-9DBA-9D1F8F5EA3B9}">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・5月末時点：5件
・年目標不足数：50件
・残り期間でのひと月あたりの必要数：約約5.5件
</t>
      </text>
    </comment>
    <comment ref="K10" authorId="2" shapeId="0" xr:uid="{9C74D7F3-6F50-44DB-9336-896F0D883C0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・5月末時点：32件
・年目標不足数：244件
・残り期間でのひと月あたりの必要数：約27件
＊MQL数不足</t>
      </text>
    </comment>
    <comment ref="N10" authorId="3" shapeId="0" xr:uid="{6E6F4CD0-5FCA-4B6F-AF19-CD4BC1EE428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・5月末時点：5,161件
・年目標不足数：20,002件
・残り期間でのひと月あたりの必要数：約2,222件
＊セッション数不足。セッション数増加施策が必要</t>
      </text>
    </comment>
    <comment ref="T39" authorId="4" shapeId="0" xr:uid="{BE045E2E-2E08-4A07-B146-83646119893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一旦PaidのMQLをこちらに移管</t>
      </text>
    </comment>
    <comment ref="S51" authorId="5" shapeId="0" xr:uid="{5E03E084-82FE-4C98-9472-1FE728D3FBC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・指名検索
・ブックマーク
・履歴から
・URL直打ち＆再入力
・計測漏れ
※営業提案資料などに記載のURLのパラメータ未設定など</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2C790B-0E01-470D-811A-8DA8A3446EAC}" keepAlive="1" name="クエリ - GA4_202604_CV貢献度（探索レポートより）" description="ブック内の 'GA4_202604_CV貢献度（探索レポートより）' クエリへの接続です。" type="5" refreshedVersion="0" background="1">
    <dbPr connection="Provider=Microsoft.Mashup.OleDb.1;Data Source=$Workbook$;Location=GA4_202604_CV貢献度（探索レポートより）;Extended Properties=&quot;&quot;" command="SELECT * FROM [GA4_202604_CV貢献度（探索レポートより）]"/>
  </connection>
</connections>
</file>

<file path=xl/sharedStrings.xml><?xml version="1.0" encoding="utf-8"?>
<sst xmlns="http://schemas.openxmlformats.org/spreadsheetml/2006/main" count="1882" uniqueCount="684">
  <si>
    <t>2025年度実績</t>
    <rPh sb="4" eb="8">
      <t>ネンドジッセキ</t>
    </rPh>
    <phoneticPr fontId="1"/>
  </si>
  <si>
    <t>2025/03/01 - 2026/02/28</t>
    <phoneticPr fontId="1"/>
  </si>
  <si>
    <t>目的：前年度実績を元に目安となる流入数や各リードステージへの転換率を把握する</t>
  </si>
  <si>
    <t>流入数
（セッション数）</t>
    <rPh sb="0" eb="3">
      <t>リュウニュウスウ</t>
    </rPh>
    <rPh sb="10" eb="11">
      <t>スウ</t>
    </rPh>
    <phoneticPr fontId="1"/>
  </si>
  <si>
    <t>MQL化率
（CVR）</t>
    <rPh sb="3" eb="4">
      <t>カ</t>
    </rPh>
    <rPh sb="4" eb="5">
      <t>リツ</t>
    </rPh>
    <phoneticPr fontId="1"/>
  </si>
  <si>
    <t>MQL数
（CV数・個人情報獲得数）</t>
    <rPh sb="3" eb="4">
      <t>スウ</t>
    </rPh>
    <rPh sb="8" eb="9">
      <t>スウ</t>
    </rPh>
    <rPh sb="10" eb="16">
      <t>コジンジョウホウカクトク</t>
    </rPh>
    <rPh sb="16" eb="17">
      <t>スウ</t>
    </rPh>
    <phoneticPr fontId="1"/>
  </si>
  <si>
    <t>SAL化率</t>
    <rPh sb="3" eb="5">
      <t>カリツ</t>
    </rPh>
    <phoneticPr fontId="1"/>
  </si>
  <si>
    <t>SAL数
（営業受け入れ数）</t>
    <rPh sb="3" eb="4">
      <t>スウ</t>
    </rPh>
    <rPh sb="6" eb="8">
      <t>エイギョウ</t>
    </rPh>
    <rPh sb="8" eb="9">
      <t>ウ</t>
    </rPh>
    <rPh sb="10" eb="11">
      <t>イ</t>
    </rPh>
    <rPh sb="12" eb="13">
      <t>スウ</t>
    </rPh>
    <phoneticPr fontId="1"/>
  </si>
  <si>
    <t>SQL化率</t>
    <rPh sb="3" eb="4">
      <t>カ</t>
    </rPh>
    <rPh sb="4" eb="5">
      <t>リツ</t>
    </rPh>
    <phoneticPr fontId="1"/>
  </si>
  <si>
    <t>SQL数
（商談数）</t>
    <rPh sb="3" eb="4">
      <t>スウ</t>
    </rPh>
    <rPh sb="6" eb="9">
      <t>ショウダンスウ</t>
    </rPh>
    <phoneticPr fontId="1"/>
  </si>
  <si>
    <t>MQLに対するSQL化率</t>
    <rPh sb="4" eb="5">
      <t>タイ</t>
    </rPh>
    <rPh sb="10" eb="12">
      <t>カリツ</t>
    </rPh>
    <phoneticPr fontId="1"/>
  </si>
  <si>
    <t>受注率</t>
    <rPh sb="0" eb="3">
      <t>ジュチュウリツ</t>
    </rPh>
    <phoneticPr fontId="1"/>
  </si>
  <si>
    <t>受注件数</t>
    <rPh sb="0" eb="4">
      <t>ジュチュウケンスウ</t>
    </rPh>
    <phoneticPr fontId="1"/>
  </si>
  <si>
    <t>UN</t>
    <phoneticPr fontId="1"/>
  </si>
  <si>
    <t>SCH</t>
    <phoneticPr fontId="1"/>
  </si>
  <si>
    <t>MED</t>
    <phoneticPr fontId="1"/>
  </si>
  <si>
    <t>IS</t>
    <phoneticPr fontId="1"/>
  </si>
  <si>
    <t>計</t>
    <rPh sb="0" eb="1">
      <t>ケイ</t>
    </rPh>
    <phoneticPr fontId="1"/>
  </si>
  <si>
    <t>寄与する指標</t>
    <rPh sb="0" eb="2">
      <t>キヨ</t>
    </rPh>
    <rPh sb="4" eb="6">
      <t>シヒョウ</t>
    </rPh>
    <phoneticPr fontId="1"/>
  </si>
  <si>
    <t>SEO強化</t>
    <rPh sb="3" eb="5">
      <t>キョウカ</t>
    </rPh>
    <phoneticPr fontId="1"/>
  </si>
  <si>
    <t>CTA改善</t>
    <rPh sb="3" eb="5">
      <t>カイゼン</t>
    </rPh>
    <phoneticPr fontId="1"/>
  </si>
  <si>
    <t>MQL定義の明確化（業種・規模・興味関心度）</t>
    <rPh sb="3" eb="5">
      <t>テイギ</t>
    </rPh>
    <rPh sb="6" eb="9">
      <t>メイカクカ</t>
    </rPh>
    <rPh sb="10" eb="12">
      <t>ギョウシュ</t>
    </rPh>
    <rPh sb="13" eb="15">
      <t>キボ</t>
    </rPh>
    <rPh sb="16" eb="21">
      <t>キョウミカンシンド</t>
    </rPh>
    <phoneticPr fontId="1"/>
  </si>
  <si>
    <t>初回接触速度改善</t>
    <rPh sb="0" eb="8">
      <t>ショカイセッショクソクドカイゼン</t>
    </rPh>
    <phoneticPr fontId="1"/>
  </si>
  <si>
    <t>ターゲット制度改善</t>
    <rPh sb="5" eb="7">
      <t>セイド</t>
    </rPh>
    <rPh sb="7" eb="9">
      <t>カイゼン</t>
    </rPh>
    <phoneticPr fontId="1"/>
  </si>
  <si>
    <t>広告運用</t>
    <rPh sb="0" eb="4">
      <t>コウコクウンヨウ</t>
    </rPh>
    <phoneticPr fontId="1"/>
  </si>
  <si>
    <t>LP改善</t>
    <rPh sb="2" eb="4">
      <t>カイゼン</t>
    </rPh>
    <phoneticPr fontId="1"/>
  </si>
  <si>
    <t>スコアリング導入/改善</t>
    <rPh sb="6" eb="8">
      <t>ドウニュウ</t>
    </rPh>
    <rPh sb="9" eb="11">
      <t>カイゼン</t>
    </rPh>
    <phoneticPr fontId="1"/>
  </si>
  <si>
    <t>営業フォロー率改善</t>
    <rPh sb="0" eb="2">
      <t>エイギョウ</t>
    </rPh>
    <rPh sb="6" eb="7">
      <t>リツ</t>
    </rPh>
    <rPh sb="7" eb="9">
      <t>カイゼン</t>
    </rPh>
    <phoneticPr fontId="1"/>
  </si>
  <si>
    <t>提案資料の標準化</t>
    <rPh sb="0" eb="4">
      <t>テイアンシリョウ</t>
    </rPh>
    <rPh sb="5" eb="8">
      <t>ヒョウジュンカ</t>
    </rPh>
    <phoneticPr fontId="1"/>
  </si>
  <si>
    <t>ウェビナー・イベント</t>
    <phoneticPr fontId="1"/>
  </si>
  <si>
    <t>フォーム改善</t>
    <rPh sb="4" eb="6">
      <t>カイゼン</t>
    </rPh>
    <phoneticPr fontId="1"/>
  </si>
  <si>
    <t>フォーム項目改善</t>
    <rPh sb="4" eb="6">
      <t>コウモク</t>
    </rPh>
    <rPh sb="6" eb="8">
      <t>カイゼン</t>
    </rPh>
    <phoneticPr fontId="1"/>
  </si>
  <si>
    <t>商談化条件の明確化</t>
    <rPh sb="0" eb="3">
      <t>ショウダンカ</t>
    </rPh>
    <rPh sb="3" eb="5">
      <t>ジョウケン</t>
    </rPh>
    <rPh sb="6" eb="9">
      <t>メイカクカ</t>
    </rPh>
    <phoneticPr fontId="1"/>
  </si>
  <si>
    <t>事例コンテンツの営業活用</t>
    <rPh sb="0" eb="2">
      <t>ジレイ</t>
    </rPh>
    <rPh sb="8" eb="10">
      <t>エイギョウ</t>
    </rPh>
    <rPh sb="10" eb="12">
      <t>カツヨウ</t>
    </rPh>
    <phoneticPr fontId="1"/>
  </si>
  <si>
    <t>SNS・オウンドメディア</t>
    <phoneticPr fontId="1"/>
  </si>
  <si>
    <t>ホワイトペーパー / 事例などオファー強化</t>
    <rPh sb="19" eb="21">
      <t>キョウカ</t>
    </rPh>
    <phoneticPr fontId="1"/>
  </si>
  <si>
    <t>ナーチャリング施策（メール育成・セミナー・事例）</t>
    <rPh sb="7" eb="9">
      <t>シサク</t>
    </rPh>
    <rPh sb="13" eb="15">
      <t>イクセイ</t>
    </rPh>
    <rPh sb="21" eb="23">
      <t>ジレイ</t>
    </rPh>
    <phoneticPr fontId="1"/>
  </si>
  <si>
    <t>失注理由管理</t>
    <rPh sb="0" eb="6">
      <t>シッチュウリユウカンリ</t>
    </rPh>
    <phoneticPr fontId="1"/>
  </si>
  <si>
    <t>競合比較資料</t>
    <rPh sb="0" eb="2">
      <t>キョウゴウ</t>
    </rPh>
    <rPh sb="2" eb="6">
      <t>ヒカクシリョウ</t>
    </rPh>
    <phoneticPr fontId="1"/>
  </si>
  <si>
    <t>メールマガジンによる再訪喚起</t>
    <rPh sb="10" eb="14">
      <t>サイホウカンキ</t>
    </rPh>
    <phoneticPr fontId="1"/>
  </si>
  <si>
    <t>ターゲティング改善</t>
    <rPh sb="7" eb="9">
      <t>カイゼン</t>
    </rPh>
    <phoneticPr fontId="1"/>
  </si>
  <si>
    <t>ホットリード通知</t>
    <rPh sb="6" eb="8">
      <t>ツウチ</t>
    </rPh>
    <phoneticPr fontId="1"/>
  </si>
  <si>
    <t>再ナーチャリング導線</t>
    <rPh sb="0" eb="1">
      <t>サイ</t>
    </rPh>
    <rPh sb="8" eb="10">
      <t>ドウセン</t>
    </rPh>
    <phoneticPr fontId="1"/>
  </si>
  <si>
    <t>業界別提案テンプレート</t>
    <rPh sb="0" eb="3">
      <t>ギョウカイベツ</t>
    </rPh>
    <rPh sb="3" eb="5">
      <t>テイアン</t>
    </rPh>
    <phoneticPr fontId="1"/>
  </si>
  <si>
    <t>PR/記事露出</t>
    <rPh sb="3" eb="7">
      <t>キジロシュツ</t>
    </rPh>
    <phoneticPr fontId="1"/>
  </si>
  <si>
    <t>導線改善</t>
    <rPh sb="0" eb="4">
      <t>ドウセンカイゼン</t>
    </rPh>
    <phoneticPr fontId="1"/>
  </si>
  <si>
    <t>失注理由分析</t>
    <rPh sb="0" eb="4">
      <t>シッチュウリユウ</t>
    </rPh>
    <rPh sb="4" eb="6">
      <t>ブンセキ</t>
    </rPh>
    <phoneticPr fontId="1"/>
  </si>
  <si>
    <t>リファラル導線強化</t>
    <rPh sb="5" eb="9">
      <t>ドウセンキョウカ</t>
    </rPh>
    <phoneticPr fontId="1"/>
  </si>
  <si>
    <t>勝ち筋案件の横展開</t>
    <rPh sb="0" eb="1">
      <t>カ</t>
    </rPh>
    <rPh sb="2" eb="5">
      <t>スジアンケン</t>
    </rPh>
    <rPh sb="6" eb="9">
      <t>ヨコテンカイ</t>
    </rPh>
    <phoneticPr fontId="1"/>
  </si>
  <si>
    <t>実績</t>
    <rPh sb="0" eb="2">
      <t>ジッセキ</t>
    </rPh>
    <phoneticPr fontId="1"/>
  </si>
  <si>
    <t>目標</t>
    <rPh sb="0" eb="2">
      <t>モクヒョウ</t>
    </rPh>
    <phoneticPr fontId="1"/>
  </si>
  <si>
    <t>全体</t>
    <rPh sb="0" eb="2">
      <t>ゼンタイ</t>
    </rPh>
    <phoneticPr fontId="1"/>
  </si>
  <si>
    <t>年度</t>
  </si>
  <si>
    <t>売上目標</t>
    <rPh sb="0" eb="2">
      <t>ウリアゲ</t>
    </rPh>
    <rPh sb="2" eb="4">
      <t>モクヒョウ</t>
    </rPh>
    <phoneticPr fontId="1"/>
  </si>
  <si>
    <t>マーケ起点売上比率目標</t>
    <rPh sb="5" eb="7">
      <t>ウリアゲ</t>
    </rPh>
    <rPh sb="7" eb="9">
      <t>ヒリツ</t>
    </rPh>
    <phoneticPr fontId="1"/>
  </si>
  <si>
    <t>マーケ起点売上目標</t>
    <rPh sb="5" eb="9">
      <t>ウリアゲモクヒョウ</t>
    </rPh>
    <phoneticPr fontId="1"/>
  </si>
  <si>
    <t>平均受注単価</t>
    <rPh sb="0" eb="6">
      <t>ヘイキンジュチュウタンカ</t>
    </rPh>
    <phoneticPr fontId="1"/>
  </si>
  <si>
    <t>必要受注件数</t>
    <rPh sb="0" eb="2">
      <t>ヒツヨウ</t>
    </rPh>
    <rPh sb="2" eb="4">
      <t>ジュチュウ</t>
    </rPh>
    <rPh sb="4" eb="6">
      <t>ケンスウ</t>
    </rPh>
    <phoneticPr fontId="1"/>
  </si>
  <si>
    <t>受注率計画</t>
    <phoneticPr fontId="1"/>
  </si>
  <si>
    <t>必要SQL数</t>
  </si>
  <si>
    <t>SQL化率計画</t>
    <rPh sb="3" eb="4">
      <t>カ</t>
    </rPh>
    <phoneticPr fontId="1"/>
  </si>
  <si>
    <t>必要SAL数</t>
    <rPh sb="0" eb="2">
      <t>ヒツヨウ</t>
    </rPh>
    <rPh sb="5" eb="6">
      <t>スウ</t>
    </rPh>
    <phoneticPr fontId="1"/>
  </si>
  <si>
    <t>SAL化率計画</t>
    <rPh sb="3" eb="4">
      <t>カ</t>
    </rPh>
    <rPh sb="4" eb="5">
      <t>リツ</t>
    </rPh>
    <rPh sb="5" eb="7">
      <t>ケイカク</t>
    </rPh>
    <phoneticPr fontId="1"/>
  </si>
  <si>
    <t>必要MQL数</t>
  </si>
  <si>
    <t>MQL化率計画</t>
    <rPh sb="3" eb="4">
      <t>カ</t>
    </rPh>
    <phoneticPr fontId="1"/>
  </si>
  <si>
    <t>↓元式</t>
  </si>
  <si>
    <t>必要流入数</t>
    <phoneticPr fontId="1"/>
  </si>
  <si>
    <t>Organic</t>
    <phoneticPr fontId="1"/>
  </si>
  <si>
    <t>Paid</t>
    <phoneticPr fontId="1"/>
  </si>
  <si>
    <t>Display</t>
    <phoneticPr fontId="1"/>
  </si>
  <si>
    <t>Direct</t>
    <phoneticPr fontId="1"/>
  </si>
  <si>
    <t>Email</t>
    <phoneticPr fontId="1"/>
  </si>
  <si>
    <t>Referral</t>
    <phoneticPr fontId="1"/>
  </si>
  <si>
    <t>other</t>
  </si>
  <si>
    <t>施策により可変な数値</t>
    <rPh sb="0" eb="2">
      <t>シサク</t>
    </rPh>
    <rPh sb="5" eb="7">
      <t>カヘン</t>
    </rPh>
    <rPh sb="8" eb="10">
      <t>スウチ</t>
    </rPh>
    <phoneticPr fontId="1"/>
  </si>
  <si>
    <t>2025実績</t>
    <rPh sb="4" eb="6">
      <t>ジッセキ</t>
    </rPh>
    <phoneticPr fontId="1"/>
  </si>
  <si>
    <t>SEO対策</t>
    <rPh sb="3" eb="5">
      <t>タイサク</t>
    </rPh>
    <phoneticPr fontId="1"/>
  </si>
  <si>
    <t>LLMO対策</t>
    <rPh sb="4" eb="6">
      <t>タイサク</t>
    </rPh>
    <phoneticPr fontId="1"/>
  </si>
  <si>
    <t>内部リンク最適化</t>
    <rPh sb="0" eb="2">
      <t>ナイブ</t>
    </rPh>
    <rPh sb="5" eb="8">
      <t>サイテキカ</t>
    </rPh>
    <phoneticPr fontId="1"/>
  </si>
  <si>
    <t>プレスリリース</t>
    <phoneticPr fontId="1"/>
  </si>
  <si>
    <t>※代理店</t>
    <rPh sb="1" eb="4">
      <t>ダイリテン</t>
    </rPh>
    <phoneticPr fontId="1"/>
  </si>
  <si>
    <t>配信本数</t>
    <rPh sb="0" eb="4">
      <t>ハイシンホンスウ</t>
    </rPh>
    <phoneticPr fontId="1"/>
  </si>
  <si>
    <t>配信数（リスト）</t>
    <rPh sb="0" eb="3">
      <t>ハイシンスウ</t>
    </rPh>
    <phoneticPr fontId="1"/>
  </si>
  <si>
    <t>開封率※タイトル</t>
    <rPh sb="0" eb="3">
      <t>カイフウリツ</t>
    </rPh>
    <phoneticPr fontId="1"/>
  </si>
  <si>
    <t>KPIツリー（構成イメージ）</t>
    <rPh sb="7" eb="9">
      <t>コウセイ</t>
    </rPh>
    <phoneticPr fontId="1"/>
  </si>
  <si>
    <t>サンプル：UN 2025実績&amp;2026目標</t>
    <rPh sb="12" eb="14">
      <t>ジッセキ</t>
    </rPh>
    <rPh sb="19" eb="21">
      <t>モクヒョウ</t>
    </rPh>
    <phoneticPr fontId="1"/>
  </si>
  <si>
    <t>KPIツリー（Miro）</t>
    <phoneticPr fontId="1"/>
  </si>
  <si>
    <t>https://miro.com/app/board/uXjVHZpxzbo=/</t>
    <phoneticPr fontId="1"/>
  </si>
  <si>
    <t>目標値</t>
  </si>
  <si>
    <t>前年実績</t>
  </si>
  <si>
    <t>※マーケ起点</t>
    <rPh sb="4" eb="6">
      <t>キテン</t>
    </rPh>
    <phoneticPr fontId="1"/>
  </si>
  <si>
    <t>Organic</t>
  </si>
  <si>
    <t>施策例</t>
  </si>
  <si>
    <t>月次目標（1/12）</t>
  </si>
  <si>
    <t>SQL数</t>
    <rPh sb="3" eb="4">
      <t>スウ</t>
    </rPh>
    <phoneticPr fontId="1"/>
  </si>
  <si>
    <t>SAL数</t>
    <rPh sb="3" eb="4">
      <t>スウ</t>
    </rPh>
    <phoneticPr fontId="1"/>
  </si>
  <si>
    <t>MQL数</t>
    <rPh sb="3" eb="4">
      <t>スウ</t>
    </rPh>
    <phoneticPr fontId="1"/>
  </si>
  <si>
    <t>必要セッション数</t>
    <rPh sb="0" eb="2">
      <t>ヒツヨウ</t>
    </rPh>
    <rPh sb="7" eb="8">
      <t>スウ</t>
    </rPh>
    <phoneticPr fontId="1"/>
  </si>
  <si>
    <t>必要セッション数</t>
  </si>
  <si>
    <t>CVR</t>
    <phoneticPr fontId="1"/>
  </si>
  <si>
    <t>TOP｜/</t>
  </si>
  <si>
    <t>セッション数</t>
  </si>
  <si>
    <t>掲載本数（ボリューム）</t>
    <rPh sb="0" eb="4">
      <t>ケイサイホンスウ</t>
    </rPh>
    <phoneticPr fontId="1"/>
  </si>
  <si>
    <t>SEO・AIO対策</t>
    <rPh sb="7" eb="9">
      <t>タイサク</t>
    </rPh>
    <phoneticPr fontId="1"/>
  </si>
  <si>
    <t>目標値</t>
    <rPh sb="0" eb="3">
      <t>モクヒョウチ</t>
    </rPh>
    <phoneticPr fontId="1"/>
  </si>
  <si>
    <t>SQL数/SQL化率</t>
    <rPh sb="3" eb="4">
      <t>スウ</t>
    </rPh>
    <rPh sb="8" eb="10">
      <t>カリツ</t>
    </rPh>
    <phoneticPr fontId="1"/>
  </si>
  <si>
    <t>MQL数/CVR</t>
    <rPh sb="3" eb="4">
      <t>スウ</t>
    </rPh>
    <phoneticPr fontId="1"/>
  </si>
  <si>
    <t>前年実績セッション数/可変チャネルの前年実績合計セッション数×可変チャネル必要流入数</t>
  </si>
  <si>
    <t>目安値</t>
  </si>
  <si>
    <t>前年実績</t>
    <phoneticPr fontId="1"/>
  </si>
  <si>
    <t>前年実績セッション数/可変施策の前年実績合計セッション数×必要セッション数（チャネルごと）</t>
  </si>
  <si>
    <t>検索ニーズ起点の記事制作</t>
    <phoneticPr fontId="1"/>
  </si>
  <si>
    <t>事例｜case</t>
  </si>
  <si>
    <t>業界別事例</t>
    <rPh sb="0" eb="3">
      <t>ギョウカイベツ</t>
    </rPh>
    <rPh sb="3" eb="5">
      <t>ジレイ</t>
    </rPh>
    <phoneticPr fontId="1"/>
  </si>
  <si>
    <t>検索ニーズ起点のLP制作</t>
  </si>
  <si>
    <t>TOPページ改善</t>
  </si>
  <si>
    <t>受注件数/SQL数</t>
    <rPh sb="0" eb="4">
      <t>ジュチュウケンスウ</t>
    </rPh>
    <rPh sb="8" eb="9">
      <t>スウ</t>
    </rPh>
    <phoneticPr fontId="1"/>
  </si>
  <si>
    <t>SAL数/MQL数</t>
    <rPh sb="3" eb="4">
      <t>スウ</t>
    </rPh>
    <rPh sb="8" eb="9">
      <t>スウ</t>
    </rPh>
    <phoneticPr fontId="1"/>
  </si>
  <si>
    <t>コラム｜column,colmun</t>
  </si>
  <si>
    <t>Other</t>
  </si>
  <si>
    <t>LP｜office,service,work</t>
  </si>
  <si>
    <t>その他｜reasons,news,company,document,フォーム,その他</t>
  </si>
  <si>
    <t>FAQページ</t>
    <phoneticPr fontId="1"/>
  </si>
  <si>
    <t>内部リンク</t>
    <rPh sb="0" eb="2">
      <t>ナイブ</t>
    </rPh>
    <phoneticPr fontId="1"/>
  </si>
  <si>
    <t>回遊導線整備</t>
    <rPh sb="0" eb="4">
      <t>カイユウドウセン</t>
    </rPh>
    <rPh sb="4" eb="6">
      <t>セイビ</t>
    </rPh>
    <phoneticPr fontId="1"/>
  </si>
  <si>
    <t>Paid</t>
  </si>
  <si>
    <t>事例</t>
    <rPh sb="0" eb="2">
      <t>ジレイ</t>
    </rPh>
    <phoneticPr fontId="1"/>
  </si>
  <si>
    <t>WP追加</t>
    <rPh sb="2" eb="4">
      <t>ツイカ</t>
    </rPh>
    <phoneticPr fontId="1"/>
  </si>
  <si>
    <t>クリエイティブ改善</t>
    <phoneticPr fontId="1"/>
  </si>
  <si>
    <t>フォーム最適化</t>
    <rPh sb="4" eb="7">
      <t>サイテキカ</t>
    </rPh>
    <phoneticPr fontId="1"/>
  </si>
  <si>
    <t>キーワード拡張</t>
    <phoneticPr fontId="1"/>
  </si>
  <si>
    <t>ターゲティング改善</t>
    <phoneticPr fontId="1"/>
  </si>
  <si>
    <t>LP制作・改善</t>
  </si>
  <si>
    <t>その他｜case,column,reasons,news,company,document,フォーム,その他</t>
  </si>
  <si>
    <t>Display</t>
  </si>
  <si>
    <t>※再訪喚起につながる改善</t>
    <rPh sb="1" eb="3">
      <t>サイホウ</t>
    </rPh>
    <rPh sb="3" eb="5">
      <t>カンキ</t>
    </rPh>
    <rPh sb="10" eb="12">
      <t>カイゼン</t>
    </rPh>
    <phoneticPr fontId="1"/>
  </si>
  <si>
    <t>Direct</t>
  </si>
  <si>
    <t>※ブランディング（ブランド想起・再訪喚起）</t>
    <rPh sb="13" eb="15">
      <t>ソウキ</t>
    </rPh>
    <rPh sb="16" eb="18">
      <t>サイホウ</t>
    </rPh>
    <rPh sb="18" eb="20">
      <t>カンキ</t>
    </rPh>
    <phoneticPr fontId="1"/>
  </si>
  <si>
    <t>【保存版」のようなHowto系コンテンツ</t>
    <rPh sb="1" eb="4">
      <t>ホゾンバン</t>
    </rPh>
    <rPh sb="14" eb="15">
      <t>ケイ</t>
    </rPh>
    <phoneticPr fontId="1"/>
  </si>
  <si>
    <t>Email</t>
  </si>
  <si>
    <t>配信本数</t>
    <phoneticPr fontId="1"/>
  </si>
  <si>
    <t>配信リスト件数</t>
    <rPh sb="5" eb="7">
      <t>ケンスウ</t>
    </rPh>
    <phoneticPr fontId="1"/>
  </si>
  <si>
    <t>開封率</t>
    <rPh sb="0" eb="3">
      <t>カイフウリツ</t>
    </rPh>
    <phoneticPr fontId="1"/>
  </si>
  <si>
    <t>サイトセッション数</t>
    <rPh sb="8" eb="9">
      <t>スウ</t>
    </rPh>
    <phoneticPr fontId="1"/>
  </si>
  <si>
    <t>配信タイミング最適化</t>
    <rPh sb="0" eb="2">
      <t>ハイシン</t>
    </rPh>
    <rPh sb="7" eb="10">
      <t>サイテキカ</t>
    </rPh>
    <phoneticPr fontId="1"/>
  </si>
  <si>
    <t>その他｜office,service,work,reasons,news,company,document,フォーム,その他</t>
  </si>
  <si>
    <t>Referral</t>
  </si>
  <si>
    <t>実績・事例のプレスリリース化</t>
    <rPh sb="0" eb="2">
      <t>ジッセキ</t>
    </rPh>
    <rPh sb="3" eb="5">
      <t>ジレイ</t>
    </rPh>
    <rPh sb="13" eb="14">
      <t>カ</t>
    </rPh>
    <phoneticPr fontId="1"/>
  </si>
  <si>
    <t>顧客企業の協力による拡散</t>
    <rPh sb="0" eb="2">
      <t>コキャク</t>
    </rPh>
    <rPh sb="2" eb="4">
      <t>キギョウ</t>
    </rPh>
    <rPh sb="5" eb="7">
      <t>キョウリョク</t>
    </rPh>
    <rPh sb="10" eb="12">
      <t>カクサン</t>
    </rPh>
    <phoneticPr fontId="1"/>
  </si>
  <si>
    <t>LinkedIn事例紹介（マーケター向け）</t>
    <rPh sb="8" eb="10">
      <t>ジレイ</t>
    </rPh>
    <rPh sb="10" eb="12">
      <t>ショウカイ</t>
    </rPh>
    <rPh sb="18" eb="19">
      <t>ム</t>
    </rPh>
    <phoneticPr fontId="1"/>
  </si>
  <si>
    <t>note</t>
    <phoneticPr fontId="1"/>
  </si>
  <si>
    <t>SPサイト｜dメニューによる導線強化</t>
  </si>
  <si>
    <t>その他｜column,office,service,work,reasons,news,company,document,フォーム,その他</t>
  </si>
  <si>
    <t>サンプル：SCH 2025実績&amp;2026目標</t>
  </si>
  <si>
    <t>コラム｜column</t>
  </si>
  <si>
    <t>LP｜targeting-lp</t>
  </si>
  <si>
    <t>その他｜reason,news,company,document,フォーム,その他</t>
  </si>
  <si>
    <t>その他｜case,column,reason,news,company,document,フォーム,その他</t>
  </si>
  <si>
    <t>その他｜targeting-lp,column,reason,news,company,document,フォーム,その他</t>
  </si>
  <si>
    <t>その他｜targeting-lp,reason,news,company,document,フォーム,その他</t>
  </si>
  <si>
    <t>サンプル：MED 2025実績&amp;2026目標</t>
  </si>
  <si>
    <t>その他｜nurse_problem,feature,reasons,news,company,useful,catalog,フォーム,その他</t>
  </si>
  <si>
    <t>カタログ一覧｜catalog</t>
  </si>
  <si>
    <t>その他｜case,column,nurse_problem,feature,reasons,news,company,useful,フォーム,その他</t>
  </si>
  <si>
    <t>その他｜column,nurse_problem,feature,reasons,news,company,useful,catalog,フォーム,その他</t>
  </si>
  <si>
    <t>サンプル：IS 2025実績&amp;2026目標</t>
  </si>
  <si>
    <t>LP｜promotion,branding,oem-odm</t>
  </si>
  <si>
    <t>その他｜reason,news,company,whitepaper,フォーム,その他</t>
  </si>
  <si>
    <t>その他｜case,column,reason,news,company,whitepaper,フォーム,その他</t>
  </si>
  <si>
    <t>その他｜promotion,branding,oem-odm,reason,news,company,whitepaper,フォーム,その他</t>
  </si>
  <si>
    <t>その他｜column,promotion,branding,oem-odm,reason,news,company,whitepaper,フォーム,その他</t>
  </si>
  <si>
    <t>KPIツリー</t>
  </si>
  <si>
    <t>3月</t>
  </si>
  <si>
    <t>4月</t>
  </si>
  <si>
    <t>5月</t>
  </si>
  <si>
    <t>6月</t>
  </si>
  <si>
    <t>7月</t>
  </si>
  <si>
    <t>8月</t>
  </si>
  <si>
    <t>9月</t>
  </si>
  <si>
    <t>10月</t>
  </si>
  <si>
    <t>11月</t>
  </si>
  <si>
    <t>12月</t>
  </si>
  <si>
    <t>1月</t>
  </si>
  <si>
    <t>2月</t>
  </si>
  <si>
    <t>計</t>
  </si>
  <si>
    <t>受注件数</t>
  </si>
  <si>
    <t>目標</t>
  </si>
  <si>
    <t>※FLUED月次レポートより</t>
  </si>
  <si>
    <t>実績</t>
  </si>
  <si>
    <t>差分</t>
  </si>
  <si>
    <t>受注率</t>
  </si>
  <si>
    <t>差分(pt)</t>
  </si>
  <si>
    <t>SQL数</t>
  </si>
  <si>
    <t>SQL化率</t>
  </si>
  <si>
    <t>SAL数</t>
  </si>
  <si>
    <t>SAL化率</t>
  </si>
  <si>
    <t>MQL数</t>
  </si>
  <si>
    <t>CVR（MQL化率）</t>
  </si>
  <si>
    <t>チャネル別</t>
  </si>
  <si>
    <t>施策本数｜TOP</t>
  </si>
  <si>
    <t>セッション数｜TOP</t>
  </si>
  <si>
    <t>施策本数｜事例</t>
  </si>
  <si>
    <t>セッション数｜事例</t>
  </si>
  <si>
    <t>施策本数｜コラム</t>
  </si>
  <si>
    <t>セッション数｜コラム</t>
  </si>
  <si>
    <t>施策本数｜LP</t>
  </si>
  <si>
    <t>セッション数｜LP</t>
  </si>
  <si>
    <t>施策本数｜その他｜reasons,news,company,document,フォーム,その他</t>
  </si>
  <si>
    <t>セッション数｜その他</t>
  </si>
  <si>
    <t>Paid Search</t>
  </si>
  <si>
    <t>流入施策</t>
    <rPh sb="0" eb="4">
      <t>リュウニュウシサク</t>
    </rPh>
    <phoneticPr fontId="1"/>
  </si>
  <si>
    <t>チャネル別流入数</t>
    <rPh sb="4" eb="5">
      <t>ベツ</t>
    </rPh>
    <rPh sb="5" eb="8">
      <t>リュウニュウスウ</t>
    </rPh>
    <phoneticPr fontId="1"/>
  </si>
  <si>
    <t>コラム | ランディングページのセッション数　※GA4</t>
    <rPh sb="21" eb="22">
      <t>スウ</t>
    </rPh>
    <phoneticPr fontId="1"/>
  </si>
  <si>
    <t>月</t>
    <rPh sb="0" eb="1">
      <t>ツキ</t>
    </rPh>
    <phoneticPr fontId="1"/>
  </si>
  <si>
    <t>セッション数計</t>
    <rPh sb="5" eb="6">
      <t>スウ</t>
    </rPh>
    <rPh sb="6" eb="7">
      <t>ケイ</t>
    </rPh>
    <phoneticPr fontId="1"/>
  </si>
  <si>
    <t>その他</t>
    <rPh sb="2" eb="3">
      <t>タ</t>
    </rPh>
    <phoneticPr fontId="1"/>
  </si>
  <si>
    <t>記事名</t>
    <rPh sb="0" eb="3">
      <t>キジメイ</t>
    </rPh>
    <phoneticPr fontId="1"/>
  </si>
  <si>
    <t>URL</t>
    <phoneticPr fontId="1"/>
  </si>
  <si>
    <t>スラッグ</t>
    <phoneticPr fontId="1"/>
  </si>
  <si>
    <t>公開月</t>
    <rPh sb="0" eb="2">
      <t>コウカイ</t>
    </rPh>
    <rPh sb="2" eb="3">
      <t>ツキ</t>
    </rPh>
    <phoneticPr fontId="1"/>
  </si>
  <si>
    <t>ユニフォーム導入により期待できる効果・メリットをご紹介</t>
    <phoneticPr fontId="1"/>
  </si>
  <si>
    <t>https://uniform.onward-cd.co.jp/column/original_uniform_effect</t>
    <phoneticPr fontId="1"/>
  </si>
  <si>
    <t>original_uniform_effect</t>
    <phoneticPr fontId="1"/>
  </si>
  <si>
    <t>法人向け作業服をオリジナルデザインで制作する際の流れとは？</t>
    <phoneticPr fontId="1"/>
  </si>
  <si>
    <t>https://uniform.onward-cd.co.jp/column/workuniform_flow</t>
    <phoneticPr fontId="1"/>
  </si>
  <si>
    <t>workuniform_flow</t>
  </si>
  <si>
    <t>JIS T 8118とは？3つの規定や着用が必要な現場について解説</t>
    <phoneticPr fontId="1"/>
  </si>
  <si>
    <t>https://uniform.onward-cd.co.jp/column/jis-t-8118/</t>
    <phoneticPr fontId="1"/>
  </si>
  <si>
    <t>jis-t-8118</t>
  </si>
  <si>
    <t>【熱中症対策の義務化】
対応に最適な涼しい作業服・快適な作業服にはどんな種類・素材・機能がある？最適な作業服の選び方もご紹介</t>
    <phoneticPr fontId="1"/>
  </si>
  <si>
    <t>https://uniform.onward-cd.co.jp/column/cool_work_clothes/</t>
    <phoneticPr fontId="1"/>
  </si>
  <si>
    <t>cool_work_clothes</t>
    <phoneticPr fontId="1"/>
  </si>
  <si>
    <t>おしゃれなユニフォームとはどのようなものがある？
ユニフォームにおしゃれを取り入れるためのポイントも解説</t>
    <phoneticPr fontId="1"/>
  </si>
  <si>
    <t>https://uniform.onward-cd.co.jp/column/stylish_uniform/</t>
    <phoneticPr fontId="1"/>
  </si>
  <si>
    <t>stylish_uniform</t>
    <phoneticPr fontId="1"/>
  </si>
  <si>
    <t>【目的別】周年行事・周年記念アイデア集
ブランディング効果を高めるポイントも解説</t>
    <phoneticPr fontId="1"/>
  </si>
  <si>
    <t>https://uniform.onward-cd.co.jp/column/anniversary_event_idea/</t>
    <phoneticPr fontId="1"/>
  </si>
  <si>
    <t>anniversary_event_idea</t>
    <phoneticPr fontId="1"/>
  </si>
  <si>
    <t>アウターブランディングとは？
インナーブランディングとの違いや成功ポイントについても紹介</t>
    <phoneticPr fontId="1"/>
  </si>
  <si>
    <t>https://uniform.onward-cd.co.jp/column/outer_branding/</t>
    <phoneticPr fontId="1"/>
  </si>
  <si>
    <t>outer_branding</t>
    <phoneticPr fontId="1"/>
  </si>
  <si>
    <t>ブランドカラーとは？
コーポレートカラーとの違いやカラーの使用時の注意点も解説</t>
    <phoneticPr fontId="1"/>
  </si>
  <si>
    <t>https://uniform.onward-cd.co.jp/column/brand_color/</t>
    <phoneticPr fontId="1"/>
  </si>
  <si>
    <t>brand_color</t>
    <phoneticPr fontId="1"/>
  </si>
  <si>
    <t>企業イメージを向上させる施策と企業イメージを左右する要因を解説</t>
    <phoneticPr fontId="1"/>
  </si>
  <si>
    <t>https://uniform.onward-cd.co.jp/column/improving_corporate_image/</t>
    <phoneticPr fontId="1"/>
  </si>
  <si>
    <t>improving_corporate_image</t>
    <phoneticPr fontId="1"/>
  </si>
  <si>
    <t>【保存版】会社ユニフォームを選定する上で押さえておくべき3つの視点とは？</t>
    <phoneticPr fontId="1"/>
  </si>
  <si>
    <t>https://uniform.onward-cd.co.jp/column/uniform_selection_point/</t>
    <phoneticPr fontId="1"/>
  </si>
  <si>
    <t>uniform_selection_point</t>
    <phoneticPr fontId="1"/>
  </si>
  <si>
    <t>受付・接客スタッフ向け｜ブランド価値を体現する「ユニフォームカラー設計」の考え方</t>
    <phoneticPr fontId="1"/>
  </si>
  <si>
    <t>https://uniform.onward-cd.co.jp/column/uniform_color_design/</t>
    <phoneticPr fontId="1"/>
  </si>
  <si>
    <t>uniform_color_design</t>
    <phoneticPr fontId="1"/>
  </si>
  <si>
    <t>「小売・外食・宅配ユニフォーム」の正解は？“動ける”接客を支えるユニフォーム選びとは</t>
    <phoneticPr fontId="1"/>
  </si>
  <si>
    <t>https://uniform.onward-cd.co.jp/column/comfortable_uniform/</t>
    <phoneticPr fontId="1"/>
  </si>
  <si>
    <t>comfortable_uniform</t>
    <phoneticPr fontId="1"/>
  </si>
  <si>
    <t>【職種別に紹介】旅客運輸業界のユニフォームに必要な性能・仕様を解説</t>
    <phoneticPr fontId="1"/>
  </si>
  <si>
    <t>https://uniform.onward-cd.co.jp/column/passenger_transport_industry_uniforms/</t>
    <phoneticPr fontId="1"/>
  </si>
  <si>
    <t>passenger_transport_industry_uniforms</t>
    <phoneticPr fontId="1"/>
  </si>
  <si>
    <t>EcoVadis（エコバディス）とは？オンワードコーポレートデザインがEcoVadis取得で目指すもの</t>
    <phoneticPr fontId="1"/>
  </si>
  <si>
    <t>https://uniform.onward-cd.co.jp/column/ecovadis_acquisition/</t>
    <phoneticPr fontId="1"/>
  </si>
  <si>
    <t>ecovadis_acquisition</t>
    <phoneticPr fontId="1"/>
  </si>
  <si>
    <t>ユニフォーム刷新で採用が変わる
－採用強化・離職率低下につながった事例紹介－</t>
    <phoneticPr fontId="1"/>
  </si>
  <si>
    <t>https://uniform.onward-cd.co.jp/column/uniform-renewal-recruitment-case</t>
    <phoneticPr fontId="1"/>
  </si>
  <si>
    <t>uniform-renewal-recruitment-case</t>
  </si>
  <si>
    <t>現場で選ばれる「IEC対応作業服」の実態
電気設備業務における安全基準と発注リスク低減のポイント</t>
    <phoneticPr fontId="1"/>
  </si>
  <si>
    <t>https://uniform.onward-cd.co.jp/column/iec-workwear/</t>
    <phoneticPr fontId="1"/>
  </si>
  <si>
    <t>iec-workwear</t>
    <phoneticPr fontId="1"/>
  </si>
  <si>
    <t>女性が選びたくなる作業着で採用力を強化！レディース作業服のトレンドと導入のポイント</t>
    <phoneticPr fontId="1"/>
  </si>
  <si>
    <t>https://uniform.onward-cd.co.jp/column/women-work-clothes/</t>
    <phoneticPr fontId="1"/>
  </si>
  <si>
    <t>women-work-clothes</t>
    <phoneticPr fontId="1"/>
  </si>
  <si>
    <t>職場の暑熱対策はどう変わる？2025年の熱中症対策義務化で進む、企業ユニフォームの最新トレンド</t>
    <phoneticPr fontId="1"/>
  </si>
  <si>
    <t>https://uniform.onward-cd.co.jp/column/heat-measures/</t>
    <phoneticPr fontId="1"/>
  </si>
  <si>
    <t>heat-measures</t>
    <phoneticPr fontId="1"/>
  </si>
  <si>
    <t>メルマガ | 流入数　※HubSpot</t>
    <rPh sb="7" eb="10">
      <t>リュウニュウスウ</t>
    </rPh>
    <phoneticPr fontId="1"/>
  </si>
  <si>
    <t>配信名</t>
    <rPh sb="0" eb="3">
      <t>ハイシンメイ</t>
    </rPh>
    <phoneticPr fontId="1"/>
  </si>
  <si>
    <t>訴求内容</t>
    <rPh sb="0" eb="4">
      <t>ソキュウナイヨウ</t>
    </rPh>
    <phoneticPr fontId="1"/>
  </si>
  <si>
    <t>配信数</t>
    <rPh sb="0" eb="3">
      <t>ハイシンスウ</t>
    </rPh>
    <phoneticPr fontId="1"/>
  </si>
  <si>
    <t>開封数</t>
    <rPh sb="0" eb="3">
      <t>カイフウスウ</t>
    </rPh>
    <phoneticPr fontId="1"/>
  </si>
  <si>
    <t>CTAクリック数</t>
    <rPh sb="7" eb="8">
      <t>スウ</t>
    </rPh>
    <phoneticPr fontId="1"/>
  </si>
  <si>
    <t>CTAクリック率</t>
    <rPh sb="7" eb="8">
      <t>リツ</t>
    </rPh>
    <phoneticPr fontId="1"/>
  </si>
  <si>
    <t>UN | メルマガNo.16</t>
    <phoneticPr fontId="1"/>
  </si>
  <si>
    <t>【成功事例紹介】食品販売・外食・宅配のユニフォームリニューアル成功パターン3選</t>
    <phoneticPr fontId="1"/>
  </si>
  <si>
    <t>UN | メルマガNo.26</t>
    <phoneticPr fontId="1"/>
  </si>
  <si>
    <t xml:space="preserve">【基礎から解説】IEC対応作業服とは？初心者にも分かるポイント整理 </t>
    <phoneticPr fontId="1"/>
  </si>
  <si>
    <t>UN | 内製メルマガNo.32</t>
    <rPh sb="5" eb="7">
      <t>ナイセイ</t>
    </rPh>
    <phoneticPr fontId="1"/>
  </si>
  <si>
    <t>【無料進呈】ユニフォーム導入で失敗しないための「事前準備チェックシート」</t>
    <phoneticPr fontId="1"/>
  </si>
  <si>
    <t>UN | 内製メルマガNo.33</t>
    <rPh sb="5" eb="7">
      <t>ナイセイ</t>
    </rPh>
    <phoneticPr fontId="1"/>
  </si>
  <si>
    <t>【人手不足対策】選ばれる企業になるために。最新女性用作業着のトレンドとは？</t>
    <phoneticPr fontId="1"/>
  </si>
  <si>
    <t>UN | メルマガNo.31</t>
    <phoneticPr fontId="1"/>
  </si>
  <si>
    <t>※飲食・接客セグメント配信</t>
    <rPh sb="1" eb="3">
      <t>インショク</t>
    </rPh>
    <rPh sb="4" eb="6">
      <t>セッキャク</t>
    </rPh>
    <rPh sb="11" eb="13">
      <t>ハイシン</t>
    </rPh>
    <phoneticPr fontId="1"/>
  </si>
  <si>
    <t>CVR施策</t>
    <rPh sb="3" eb="5">
      <t>シサク</t>
    </rPh>
    <phoneticPr fontId="1"/>
  </si>
  <si>
    <t>CV発生数</t>
    <rPh sb="2" eb="4">
      <t>ハッセイ</t>
    </rPh>
    <rPh sb="4" eb="5">
      <t>スウ</t>
    </rPh>
    <phoneticPr fontId="1"/>
  </si>
  <si>
    <t>実績・事例 | CTAクリック数 ※GA4</t>
    <rPh sb="0" eb="2">
      <t>ジッセキ</t>
    </rPh>
    <rPh sb="3" eb="5">
      <t>ジレイ</t>
    </rPh>
    <rPh sb="15" eb="16">
      <t>スウ</t>
    </rPh>
    <phoneticPr fontId="1"/>
  </si>
  <si>
    <t>CV貢献スコア</t>
    <rPh sb="2" eb="4">
      <t>コウケン</t>
    </rPh>
    <phoneticPr fontId="1"/>
  </si>
  <si>
    <t>総CV数</t>
    <rPh sb="0" eb="1">
      <t>ソウ</t>
    </rPh>
    <rPh sb="3" eb="4">
      <t>スウ</t>
    </rPh>
    <phoneticPr fontId="1"/>
  </si>
  <si>
    <t>事例名</t>
    <rPh sb="0" eb="3">
      <t>ジレイメイ</t>
    </rPh>
    <phoneticPr fontId="1"/>
  </si>
  <si>
    <t>工場内作業服 | キオクシア株式会社</t>
    <rPh sb="0" eb="3">
      <t>コウジョウナイ</t>
    </rPh>
    <rPh sb="3" eb="6">
      <t>サギョウフク</t>
    </rPh>
    <rPh sb="14" eb="18">
      <t>カブシキガイシャ</t>
    </rPh>
    <phoneticPr fontId="1"/>
  </si>
  <si>
    <t>https://uniform.onward-cd.co.jp/case/kioxia/</t>
    <phoneticPr fontId="1"/>
  </si>
  <si>
    <t>kioxia</t>
    <phoneticPr fontId="1"/>
  </si>
  <si>
    <t>建設・運送・インフラ作業服 | ヤマト運輸株式会社</t>
    <rPh sb="19" eb="21">
      <t>ウンユ</t>
    </rPh>
    <rPh sb="21" eb="25">
      <t>カブシキガイシャ</t>
    </rPh>
    <phoneticPr fontId="1"/>
  </si>
  <si>
    <t>https://uniform.onward-cd.co.jp/case/yamato_transport/</t>
    <phoneticPr fontId="1"/>
  </si>
  <si>
    <t>yamato_transport</t>
    <phoneticPr fontId="1"/>
  </si>
  <si>
    <t>建設・運送・インフラ作業服 | セントラル警備保障株式会社</t>
    <phoneticPr fontId="1"/>
  </si>
  <si>
    <t>https://uniform.onward-cd.co.jp/case/csp/</t>
    <phoneticPr fontId="1"/>
  </si>
  <si>
    <t>csp</t>
  </si>
  <si>
    <t>建設・運送・インフラ作業服 | 東鉄工業株式会社</t>
    <phoneticPr fontId="1"/>
  </si>
  <si>
    <t>https://uniform.onward-cd.co.jp/case/totetsu/</t>
    <phoneticPr fontId="1"/>
  </si>
  <si>
    <t>totetsu</t>
  </si>
  <si>
    <t>建設・運送・インフラ作業服 | 野村不動産パートナーズ株式会社</t>
    <phoneticPr fontId="1"/>
  </si>
  <si>
    <t>https://uniform.onward-cd.co.jp/case/nomura-pt</t>
    <phoneticPr fontId="1"/>
  </si>
  <si>
    <t>nomura-pt</t>
  </si>
  <si>
    <t>ファッション系ユニフォーム | 株式会社ファンケル</t>
    <phoneticPr fontId="1"/>
  </si>
  <si>
    <t>https://uniform.onward-cd.co.jp/case/fancl/</t>
    <phoneticPr fontId="1"/>
  </si>
  <si>
    <t>fancl</t>
  </si>
  <si>
    <t>接客ユニフォーム | 株式会社ヤクルト本社</t>
    <phoneticPr fontId="1"/>
  </si>
  <si>
    <t>https://uniform.onward-cd.co.jp/case/yakult/</t>
    <phoneticPr fontId="1"/>
  </si>
  <si>
    <t>yakult</t>
  </si>
  <si>
    <t>接客ユニフォーム | 株式会社JR東海リテイリング・プラス</t>
    <phoneticPr fontId="1"/>
  </si>
  <si>
    <t>https://uniform.onward-cd.co.jp/case/jr-plus/</t>
    <phoneticPr fontId="1"/>
  </si>
  <si>
    <t>jr-plus</t>
  </si>
  <si>
    <t>建設・運送・インフラ作業服 | 三菱電機ビルソリューションズ株式会社</t>
    <phoneticPr fontId="1"/>
  </si>
  <si>
    <t>https://uniform.onward-cd.co.jp/case/mebs/</t>
    <phoneticPr fontId="1"/>
  </si>
  <si>
    <t>mebs</t>
  </si>
  <si>
    <t>接客ユニフォーム | 株式会社ライフコーポレーション</t>
    <phoneticPr fontId="1"/>
  </si>
  <si>
    <t>https://uniform.onward-cd.co.jp/case/lifecorp/</t>
    <phoneticPr fontId="1"/>
  </si>
  <si>
    <t>lifecorp</t>
  </si>
  <si>
    <t>建設・運送・インフラ作業服 | 株式会社クラシアン</t>
    <phoneticPr fontId="1"/>
  </si>
  <si>
    <t>https://uniform.onward-cd.co.jp/case/qracian/</t>
    <phoneticPr fontId="1"/>
  </si>
  <si>
    <t>qracian</t>
  </si>
  <si>
    <t>接客ユニフォーム | 株式会社スタジオアリス</t>
    <phoneticPr fontId="1"/>
  </si>
  <si>
    <t>https://uniform.onward-cd.co.jp/case/studio-alice/</t>
    <phoneticPr fontId="1"/>
  </si>
  <si>
    <t>studio-alice</t>
  </si>
  <si>
    <t>清掃・メンテナンス作業服 | 新幹線メンテナンス東海株式会社</t>
    <phoneticPr fontId="1"/>
  </si>
  <si>
    <t>https://uniform.onward-cd.co.jp/case/smt/</t>
    <phoneticPr fontId="1"/>
  </si>
  <si>
    <t>smt</t>
    <phoneticPr fontId="1"/>
  </si>
  <si>
    <t>外食・販売ユニフォーム | 株式会社新宿高野</t>
    <phoneticPr fontId="1"/>
  </si>
  <si>
    <t>https://uniform.onward-cd.co.jp/case/takano/</t>
    <phoneticPr fontId="1"/>
  </si>
  <si>
    <t>takano</t>
  </si>
  <si>
    <t>接客ユニフォーム | 株式会社シーボン</t>
    <phoneticPr fontId="1"/>
  </si>
  <si>
    <t>https://uniform.onward-cd.co.jp/case/cbon/</t>
    <phoneticPr fontId="1"/>
  </si>
  <si>
    <t>cbon</t>
    <phoneticPr fontId="1"/>
  </si>
  <si>
    <t>外食・販売ユニフォーム | 株式会社ドトールコーヒー</t>
    <phoneticPr fontId="1"/>
  </si>
  <si>
    <t>https://uniform.onward-cd.co.jp/case/doutor/</t>
    <phoneticPr fontId="1"/>
  </si>
  <si>
    <t>doutor</t>
    <phoneticPr fontId="1"/>
  </si>
  <si>
    <t>清掃・メンテナンス作業服 | 関電ファシリティーズ株式会社</t>
    <phoneticPr fontId="1"/>
  </si>
  <si>
    <t>https://uniform.onward-cd.co.jp/case/kanden-fa/</t>
    <phoneticPr fontId="1"/>
  </si>
  <si>
    <t>kanden-fa</t>
    <phoneticPr fontId="1"/>
  </si>
  <si>
    <t>建設・運送・インフラ作業服 | SBSホールディングス株式会社</t>
    <phoneticPr fontId="1"/>
  </si>
  <si>
    <t>https://uniform.onward-cd.co.jp/case/sbs-group/</t>
    <phoneticPr fontId="1"/>
  </si>
  <si>
    <t>sbs-group</t>
  </si>
  <si>
    <t>工場内作業服 | コクヨ株式会社</t>
    <phoneticPr fontId="1"/>
  </si>
  <si>
    <t>https://uniform.onward-cd.co.jp/case/kokuyo/</t>
    <phoneticPr fontId="1"/>
  </si>
  <si>
    <t>kokuyo</t>
  </si>
  <si>
    <t>接客ユニフォーム | 株式会社ルネサンス</t>
    <phoneticPr fontId="1"/>
  </si>
  <si>
    <t>https://uniform.onward-cd.co.jp/case/renaissance/</t>
    <phoneticPr fontId="1"/>
  </si>
  <si>
    <t>renaissance</t>
    <phoneticPr fontId="1"/>
  </si>
  <si>
    <t>清掃・メンテナンス作業服 | 相鉄企業株式会社</t>
    <phoneticPr fontId="1"/>
  </si>
  <si>
    <t>https://uniform.onward-cd.co.jp/case/sotetsu-kigyo/</t>
    <phoneticPr fontId="1"/>
  </si>
  <si>
    <t>sotetsu-kigyo</t>
    <phoneticPr fontId="1"/>
  </si>
  <si>
    <t>建設・運送・インフラ作業服 | 大成建設グループ</t>
    <phoneticPr fontId="1"/>
  </si>
  <si>
    <t>https://uniform.onward-cd.co.jp/case/taisei/</t>
    <phoneticPr fontId="1"/>
  </si>
  <si>
    <t>taisei</t>
  </si>
  <si>
    <t>外食・販売ユニフォーム | 株式会社ルピシア</t>
    <phoneticPr fontId="1"/>
  </si>
  <si>
    <t>https://uniform.onward-cd.co.jp/case/lupicia/</t>
    <phoneticPr fontId="1"/>
  </si>
  <si>
    <t>lupicia</t>
  </si>
  <si>
    <t>接客ユニフォーム | TOHOシネマズ株式会社</t>
    <phoneticPr fontId="1"/>
  </si>
  <si>
    <t>https://uniform.onward-cd.co.jp/case/tohocinemas</t>
    <phoneticPr fontId="1"/>
  </si>
  <si>
    <t>tohocinemas</t>
  </si>
  <si>
    <t>建設・運送・インフラ作業服 | フジテック株式会社</t>
    <phoneticPr fontId="1"/>
  </si>
  <si>
    <t>https://uniform.onward-cd.co.jp/case/fujitec/</t>
    <phoneticPr fontId="1"/>
  </si>
  <si>
    <t>fujitec</t>
    <phoneticPr fontId="1"/>
  </si>
  <si>
    <t>工場内作業服 | TDK株式会社</t>
    <phoneticPr fontId="1"/>
  </si>
  <si>
    <t>https://uniform.onward-cd.co.jp/case/tdk_interview/</t>
    <phoneticPr fontId="1"/>
  </si>
  <si>
    <t>tdk_interview</t>
    <phoneticPr fontId="1"/>
  </si>
  <si>
    <t>コラム | CTAクリック数　※GA4</t>
    <rPh sb="13" eb="14">
      <t>スウ</t>
    </rPh>
    <phoneticPr fontId="1"/>
  </si>
  <si>
    <t>メルマガ | CTAクリック数　※HubSpot</t>
    <rPh sb="14" eb="15">
      <t>スウ</t>
    </rPh>
    <phoneticPr fontId="1"/>
  </si>
  <si>
    <t>CV数 | DL/PDF表示/問い合わせ　※GA4</t>
    <rPh sb="2" eb="3">
      <t>スウ</t>
    </rPh>
    <rPh sb="12" eb="14">
      <t>ヒョウジ</t>
    </rPh>
    <rPh sb="15" eb="16">
      <t>ト</t>
    </rPh>
    <rPh sb="17" eb="18">
      <t>ア</t>
    </rPh>
    <phoneticPr fontId="1"/>
  </si>
  <si>
    <t>資料名</t>
    <rPh sb="0" eb="2">
      <t>シリョウ</t>
    </rPh>
    <rPh sb="2" eb="3">
      <t>メイ</t>
    </rPh>
    <phoneticPr fontId="1"/>
  </si>
  <si>
    <t>お問合せ</t>
    <rPh sb="1" eb="3">
      <t>トイアワ</t>
    </rPh>
    <phoneticPr fontId="1"/>
  </si>
  <si>
    <t>https://smart2.onward-cd.co.jp/contact_c</t>
    <phoneticPr fontId="1"/>
  </si>
  <si>
    <t>contact_c</t>
    <phoneticPr fontId="1"/>
  </si>
  <si>
    <t>WP1 | オリジナルユニフォームの導入推進ガイド</t>
    <phoneticPr fontId="1"/>
  </si>
  <si>
    <t>https://smart2.onward-cd.co.jp/uniform_introduction_guide</t>
    <phoneticPr fontId="1"/>
  </si>
  <si>
    <t>uniform_introduction_guide</t>
  </si>
  <si>
    <t>WP2 | ユニフォーム導入の事前準備チェックシート</t>
    <phoneticPr fontId="1"/>
  </si>
  <si>
    <t>https://smart2.onward-cd.co.jp/uniform_pre-preparation_checksheet</t>
    <phoneticPr fontId="1"/>
  </si>
  <si>
    <t>uniform_pre-preparation_checksheet</t>
    <phoneticPr fontId="1"/>
  </si>
  <si>
    <t>会社案内</t>
    <rPh sb="0" eb="4">
      <t>カイシャアンナイ</t>
    </rPh>
    <phoneticPr fontId="1"/>
  </si>
  <si>
    <t>https://smart2.onward-cd.co.jp/uniform_service_guide</t>
    <phoneticPr fontId="1"/>
  </si>
  <si>
    <t>uniform_service_guide</t>
  </si>
  <si>
    <t>メルマガ_WP_PDF表示</t>
    <phoneticPr fontId="1"/>
  </si>
  <si>
    <t>メルマガ_WP2_PDF表示</t>
    <phoneticPr fontId="1"/>
  </si>
  <si>
    <t>メルマガ_会社案内_PDF表示</t>
    <phoneticPr fontId="1"/>
  </si>
  <si>
    <t>マーケティングKPIツリー</t>
    <phoneticPr fontId="1"/>
  </si>
  <si>
    <t>■目的</t>
    <phoneticPr fontId="1"/>
  </si>
  <si>
    <t>全体売上に対するマーケ起点売上比率10％を達成するために、必要な受注数・SQL数・MQL数・リード数・流入数を逆算し、施策別に月次管理する</t>
  </si>
  <si>
    <t>■シート構成</t>
    <phoneticPr fontId="1"/>
  </si>
  <si>
    <t>定義</t>
    <rPh sb="0" eb="2">
      <t>テイギ</t>
    </rPh>
    <phoneticPr fontId="1"/>
  </si>
  <si>
    <t>KGI設定</t>
  </si>
  <si>
    <t>施策別計画</t>
  </si>
  <si>
    <t>ファネル集計</t>
  </si>
  <si>
    <t>ダッシュボード</t>
  </si>
  <si>
    <t>■入力ルール</t>
  </si>
  <si>
    <t>黄色セル：手入力</t>
  </si>
  <si>
    <t>灰色セル：数式</t>
  </si>
  <si>
    <t>パーセントは % 表示で入力</t>
  </si>
  <si>
    <t>月は 1～12 の数字で入力</t>
  </si>
  <si>
    <t>数式セルは上書きしない</t>
  </si>
  <si>
    <t>施策分類はプルダウンで選択</t>
  </si>
  <si>
    <t>売上見込みは平均受注単価による推計</t>
  </si>
  <si>
    <t>必要に応じて行は追加してよい</t>
  </si>
  <si>
    <t>■用語定義</t>
  </si>
  <si>
    <t>全体売上：会社全体の売上目標または実績</t>
  </si>
  <si>
    <t>マーケ起点売上：マーケティング起点で創出した受注売上</t>
  </si>
  <si>
    <t>SQL：営業接続・商談化対象として認定された件数</t>
    <phoneticPr fontId="1"/>
  </si>
  <si>
    <t>受注数：成約した案件数</t>
  </si>
  <si>
    <t>平均受注単価：1受注あたりの平均売上額</t>
  </si>
  <si>
    <t>SQL→受注率：SQLのうち受注した割合</t>
  </si>
  <si>
    <t>MQL→SQL率：MQLのうちSQL化した割合</t>
  </si>
  <si>
    <t>MQL数→MQL数：月内重複除去済みの個人情報獲得件数。一般企業は同月内・同一会社名を重複とみなし、個人は同月内・同一メールアドレスを重複とみなす。月跨ぎでは重複除去しない。</t>
    <rPh sb="3" eb="4">
      <t>スウ</t>
    </rPh>
    <phoneticPr fontId="1"/>
  </si>
  <si>
    <t>MQL化率：MQL数 ÷ サイト訪問ユーザー数</t>
    <phoneticPr fontId="1"/>
  </si>
  <si>
    <t>■施策分類候補</t>
  </si>
  <si>
    <t>広告</t>
  </si>
  <si>
    <t>SEO</t>
  </si>
  <si>
    <t>ホワイトペーパー</t>
  </si>
  <si>
    <t>メールマガジン</t>
    <phoneticPr fontId="1"/>
  </si>
  <si>
    <t>問い合わせ</t>
  </si>
  <si>
    <t>展示会</t>
    <rPh sb="0" eb="3">
      <t>テンジカイ</t>
    </rPh>
    <phoneticPr fontId="1"/>
  </si>
  <si>
    <t>ウェビナー</t>
    <phoneticPr fontId="1"/>
  </si>
  <si>
    <t>KGI設定</t>
    <phoneticPr fontId="1"/>
  </si>
  <si>
    <t>最上位KGIから、必要受注数・必要SQL数・必要MQL数を逆算する</t>
    <phoneticPr fontId="1"/>
  </si>
  <si>
    <t>必要リード数</t>
    <rPh sb="0" eb="2">
      <t>ヒツヨウ</t>
    </rPh>
    <rPh sb="5" eb="6">
      <t>スウ</t>
    </rPh>
    <phoneticPr fontId="1"/>
  </si>
  <si>
    <t>流入→リード率計画</t>
    <phoneticPr fontId="1"/>
  </si>
  <si>
    <t>必要流入数（セッション数）</t>
    <rPh sb="11" eb="12">
      <t>スウ</t>
    </rPh>
    <phoneticPr fontId="1"/>
  </si>
  <si>
    <t>ファネル計画</t>
    <phoneticPr fontId="1"/>
  </si>
  <si>
    <t>サイト訪問ユーザー数</t>
    <rPh sb="3" eb="5">
      <t>ホウモン</t>
    </rPh>
    <rPh sb="9" eb="10">
      <t>スウ</t>
    </rPh>
    <phoneticPr fontId="1"/>
  </si>
  <si>
    <t>売上</t>
    <rPh sb="0" eb="2">
      <t>ウリアゲ</t>
    </rPh>
    <phoneticPr fontId="1"/>
  </si>
  <si>
    <t>合計</t>
    <rPh sb="0" eb="2">
      <t>ゴウケイ</t>
    </rPh>
    <phoneticPr fontId="1"/>
  </si>
  <si>
    <t>施策別計画</t>
    <phoneticPr fontId="1"/>
  </si>
  <si>
    <t>施策単位で、月別の流入・リード・MQL・SQL・受注・売上見込みを入力/計算する</t>
  </si>
  <si>
    <t>年月</t>
    <rPh sb="0" eb="2">
      <t>ネンゲツ</t>
    </rPh>
    <phoneticPr fontId="1"/>
  </si>
  <si>
    <t>施策分類</t>
    <rPh sb="0" eb="4">
      <t>シサクブンルイ</t>
    </rPh>
    <phoneticPr fontId="1"/>
  </si>
  <si>
    <t>施策名</t>
    <rPh sb="0" eb="3">
      <t>シサクメイ</t>
    </rPh>
    <phoneticPr fontId="1"/>
  </si>
  <si>
    <t>実施本数</t>
    <rPh sb="0" eb="4">
      <t>ジッシホンスウ</t>
    </rPh>
    <phoneticPr fontId="1"/>
  </si>
  <si>
    <t>配信/対象数</t>
    <rPh sb="0" eb="2">
      <t>ハイシン</t>
    </rPh>
    <rPh sb="3" eb="5">
      <t>タイショウ</t>
    </rPh>
    <rPh sb="5" eb="6">
      <t>スウ</t>
    </rPh>
    <phoneticPr fontId="1"/>
  </si>
  <si>
    <t>開封率/参加率</t>
    <rPh sb="0" eb="3">
      <t>カイフウリツ</t>
    </rPh>
    <rPh sb="4" eb="7">
      <t>サンカリツ</t>
    </rPh>
    <phoneticPr fontId="1"/>
  </si>
  <si>
    <t>CTR/CVR</t>
    <phoneticPr fontId="1"/>
  </si>
  <si>
    <t>セッション数</t>
    <rPh sb="5" eb="6">
      <t>スウ</t>
    </rPh>
    <phoneticPr fontId="1"/>
  </si>
  <si>
    <t>売上見込み</t>
    <rPh sb="0" eb="4">
      <t>ウリアゲミコ</t>
    </rPh>
    <phoneticPr fontId="1"/>
  </si>
  <si>
    <t>主に効く指標</t>
    <rPh sb="0" eb="1">
      <t>オモ</t>
    </rPh>
    <rPh sb="2" eb="3">
      <t>キ</t>
    </rPh>
    <rPh sb="4" eb="6">
      <t>シヒョウ</t>
    </rPh>
    <phoneticPr fontId="1"/>
  </si>
  <si>
    <t>計画/実績</t>
    <rPh sb="0" eb="2">
      <t>ケイカク</t>
    </rPh>
    <rPh sb="3" eb="5">
      <t>ジッセキ</t>
    </rPh>
    <phoneticPr fontId="1"/>
  </si>
  <si>
    <t>備考</t>
    <rPh sb="0" eb="2">
      <t>ビコウ</t>
    </rPh>
    <phoneticPr fontId="1"/>
  </si>
  <si>
    <t>メルマガ</t>
    <phoneticPr fontId="1"/>
  </si>
  <si>
    <t>メルマガNo.30</t>
    <phoneticPr fontId="1"/>
  </si>
  <si>
    <t>施策集計</t>
    <rPh sb="0" eb="2">
      <t>シサク</t>
    </rPh>
    <phoneticPr fontId="1"/>
  </si>
  <si>
    <t>月</t>
  </si>
  <si>
    <t>合計</t>
  </si>
  <si>
    <t>ダッシュボード</t>
    <phoneticPr fontId="1"/>
  </si>
  <si>
    <t>売上目標</t>
    <rPh sb="0" eb="4">
      <t>ウリアゲモクヒョウ</t>
    </rPh>
    <phoneticPr fontId="1"/>
  </si>
  <si>
    <t>必要MQL数</t>
    <rPh sb="0" eb="2">
      <t>ヒツヨウ</t>
    </rPh>
    <rPh sb="5" eb="6">
      <t>スウ</t>
    </rPh>
    <phoneticPr fontId="1"/>
  </si>
  <si>
    <t>必要SQL数</t>
    <rPh sb="0" eb="2">
      <t>ヒツヨウ</t>
    </rPh>
    <rPh sb="5" eb="6">
      <t>スウ</t>
    </rPh>
    <phoneticPr fontId="1"/>
  </si>
  <si>
    <t>見込みMQL数</t>
    <rPh sb="0" eb="2">
      <t>ミコ</t>
    </rPh>
    <rPh sb="6" eb="7">
      <t>スウ</t>
    </rPh>
    <phoneticPr fontId="1"/>
  </si>
  <si>
    <t>見込みSQL数</t>
    <rPh sb="0" eb="2">
      <t>ミコ</t>
    </rPh>
    <rPh sb="6" eb="7">
      <t>スウ</t>
    </rPh>
    <phoneticPr fontId="1"/>
  </si>
  <si>
    <t>売上差分</t>
    <rPh sb="0" eb="2">
      <t>ウリアゲ</t>
    </rPh>
    <rPh sb="2" eb="4">
      <t>サブン</t>
    </rPh>
    <phoneticPr fontId="1"/>
  </si>
  <si>
    <t>MQL差分</t>
    <rPh sb="3" eb="5">
      <t>サブン</t>
    </rPh>
    <phoneticPr fontId="1"/>
  </si>
  <si>
    <t>SQL差分</t>
    <rPh sb="3" eb="5">
      <t>サブン</t>
    </rPh>
    <phoneticPr fontId="1"/>
  </si>
  <si>
    <t>セッション数目標</t>
    <rPh sb="5" eb="6">
      <t>スウ</t>
    </rPh>
    <rPh sb="6" eb="8">
      <t>モクヒョウ</t>
    </rPh>
    <phoneticPr fontId="1"/>
  </si>
  <si>
    <t>セッション数見込み</t>
    <rPh sb="5" eb="6">
      <t>スウ</t>
    </rPh>
    <rPh sb="6" eb="8">
      <t>ミコ</t>
    </rPh>
    <phoneticPr fontId="1"/>
  </si>
  <si>
    <t>MQL目標</t>
    <rPh sb="3" eb="5">
      <t>モクヒョウ</t>
    </rPh>
    <phoneticPr fontId="1"/>
  </si>
  <si>
    <t>MQL見込み</t>
    <rPh sb="3" eb="5">
      <t>ミコ</t>
    </rPh>
    <phoneticPr fontId="1"/>
  </si>
  <si>
    <t>SQL目標</t>
    <rPh sb="3" eb="5">
      <t>モクヒョウ</t>
    </rPh>
    <phoneticPr fontId="1"/>
  </si>
  <si>
    <t>SQL見込み</t>
    <rPh sb="3" eb="5">
      <t>ミコ</t>
    </rPh>
    <phoneticPr fontId="1"/>
  </si>
  <si>
    <t>セグメント</t>
  </si>
  <si>
    <t>キーイベント無発生ユーザー</t>
  </si>
  <si>
    <t>キーイベント発生ユーザー</t>
  </si>
  <si>
    <t>ページパスとスクリーン クラス</t>
  </si>
  <si>
    <t>表示回数</t>
  </si>
  <si>
    <t>RANK（非CV）</t>
    <rPh sb="5" eb="6">
      <t>ヒ</t>
    </rPh>
    <phoneticPr fontId="1"/>
  </si>
  <si>
    <t>RANK（CV）</t>
  </si>
  <si>
    <t>非CVとCVの差分</t>
    <rPh sb="0" eb="1">
      <t>ヒ</t>
    </rPh>
    <rPh sb="7" eb="9">
      <t>サブン</t>
    </rPh>
    <phoneticPr fontId="1"/>
  </si>
  <si>
    <t>/case/kanden-fa/</t>
  </si>
  <si>
    <t>/contact_c</t>
  </si>
  <si>
    <t>/case/kokuyo/</t>
  </si>
  <si>
    <t>/contact/thanks/</t>
  </si>
  <si>
    <t>/uniform_introduction_guide</t>
  </si>
  <si>
    <t>/251205</t>
  </si>
  <si>
    <t>/colmun/catogory/</t>
  </si>
  <si>
    <t>/column/test20/</t>
  </si>
  <si>
    <t>/news/260317/</t>
  </si>
  <si>
    <t>/news/260326/</t>
  </si>
  <si>
    <t>/uniform/case/yakult/</t>
  </si>
  <si>
    <t>/colmun/</t>
  </si>
  <si>
    <t>/document/catogory/guide/</t>
  </si>
  <si>
    <t>/news/20251030</t>
  </si>
  <si>
    <t>/news/20260316</t>
  </si>
  <si>
    <t>/colmun/catogory/ユニフォーム全般/</t>
  </si>
  <si>
    <t>/colmun/catogory/作業服/</t>
  </si>
  <si>
    <t>/news/260216/</t>
  </si>
  <si>
    <t>/column/comfortable_uniform/</t>
  </si>
  <si>
    <t>/colmun/catogory/ブランディング/</t>
  </si>
  <si>
    <t>/column/uniform_color_design/</t>
  </si>
  <si>
    <t>/case/smt/</t>
  </si>
  <si>
    <t>/column/outer_branding/</t>
  </si>
  <si>
    <t>/case/cbon/</t>
  </si>
  <si>
    <t>/column/ecovadis_acquisition/</t>
  </si>
  <si>
    <t>/column/iec-workwear</t>
  </si>
  <si>
    <t>/case/sotetsu-kigyo/</t>
  </si>
  <si>
    <t>/column/uniform_selection_point/</t>
  </si>
  <si>
    <t>/contact-us</t>
  </si>
  <si>
    <t>/contact-us/</t>
  </si>
  <si>
    <t>/contactus</t>
  </si>
  <si>
    <t>/form</t>
  </si>
  <si>
    <t>/form/</t>
  </si>
  <si>
    <t>/inquiry</t>
  </si>
  <si>
    <t>/inquiry/</t>
  </si>
  <si>
    <t>/お問い合わせ</t>
  </si>
  <si>
    <t>/お問い合わせ/</t>
  </si>
  <si>
    <t>/uniform_service_guide</t>
  </si>
  <si>
    <t>/column/workuniform_flow</t>
  </si>
  <si>
    <t>/uniform_pre-preparation_checksheet</t>
  </si>
  <si>
    <t>/case/studio-alice/</t>
  </si>
  <si>
    <t>/column/improving_corporate_image/</t>
  </si>
  <si>
    <t>/service-document/</t>
  </si>
  <si>
    <t>/column/stylish_uniform/</t>
  </si>
  <si>
    <t>/case_category/cleaning-maintenance/</t>
  </si>
  <si>
    <t>/case/lupicia/</t>
  </si>
  <si>
    <t>/case_category/customer_service/page/2/</t>
  </si>
  <si>
    <t>/column/passenger_transport_industry_uniforms/</t>
  </si>
  <si>
    <t>/column/uniform-renewal-recruitment-case</t>
  </si>
  <si>
    <t>/column/iec-workwear/</t>
  </si>
  <si>
    <t>/reasons/</t>
  </si>
  <si>
    <t>/case/sbs-group/</t>
  </si>
  <si>
    <t>/case_category/construction-transportation/page/2/</t>
  </si>
  <si>
    <t>/document/</t>
  </si>
  <si>
    <t>/case/csp/</t>
  </si>
  <si>
    <t>/case/takano/</t>
  </si>
  <si>
    <t>/news/</t>
  </si>
  <si>
    <t>/case/renaissance/</t>
  </si>
  <si>
    <t>/column/anniversary_event_idea/</t>
  </si>
  <si>
    <t>/case/tdk/</t>
  </si>
  <si>
    <t>/case_category/fashion/</t>
  </si>
  <si>
    <t>/column/original_uniform_effect</t>
  </si>
  <si>
    <t>/case/fancl/</t>
  </si>
  <si>
    <t>/case/tdk_interview/</t>
  </si>
  <si>
    <t>/case_category/customer_service/</t>
  </si>
  <si>
    <t>/case/taisei/</t>
  </si>
  <si>
    <t>/column/brand_color/</t>
  </si>
  <si>
    <t>/column/</t>
  </si>
  <si>
    <t>/service/</t>
  </si>
  <si>
    <t>/case/totetsu/</t>
  </si>
  <si>
    <t>/case_category/food_retail/</t>
  </si>
  <si>
    <t>/column/women-work-clothes/</t>
  </si>
  <si>
    <t>/column/cool_work_clothes/</t>
  </si>
  <si>
    <t>/case/doutor/</t>
  </si>
  <si>
    <t>/case/yakult/</t>
  </si>
  <si>
    <t>/case/page/5/</t>
  </si>
  <si>
    <t>/case/nomura-pt</t>
  </si>
  <si>
    <t>/case_category/construction-transportation/</t>
  </si>
  <si>
    <t>/case/jr-plus/</t>
  </si>
  <si>
    <t>/case/mebs/</t>
  </si>
  <si>
    <t>/case_category/factory/</t>
  </si>
  <si>
    <t>/office/</t>
  </si>
  <si>
    <t>/case/fujitec/</t>
  </si>
  <si>
    <t>/case/qracian/</t>
  </si>
  <si>
    <t/>
  </si>
  <si>
    <t>/case/page/4/</t>
  </si>
  <si>
    <t>/company/</t>
  </si>
  <si>
    <t>/case/kioxia/</t>
  </si>
  <si>
    <t>/case/page/3/</t>
  </si>
  <si>
    <t>/work/</t>
  </si>
  <si>
    <t>/case/lifecorp/</t>
  </si>
  <si>
    <t>/</t>
  </si>
  <si>
    <t>/case/tohocinemas</t>
  </si>
  <si>
    <t>/case/page/2/</t>
  </si>
  <si>
    <t>/case/yamato_transport/</t>
  </si>
  <si>
    <t>/case/</t>
  </si>
  <si>
    <t>/column/jis-t-8118/</t>
  </si>
  <si>
    <t>2025年</t>
  </si>
  <si>
    <t>2026年</t>
  </si>
  <si>
    <t>セッション数｜施策種別｜テーマ</t>
  </si>
  <si>
    <t>・コラム：No.5 おしゃれなUNとは
・コラム：No.9 企業イメージ向上</t>
  </si>
  <si>
    <t xml:space="preserve">・コラム：No.10 UN選定3つの視点
・コラム：No.4Re 熱中症対策義務化
・お知らせ：TV放映告知
</t>
  </si>
  <si>
    <t>・お知らせ：夏季休業</t>
  </si>
  <si>
    <t>・お知らせ：フジテック グッドデザイン賞受賞</t>
  </si>
  <si>
    <t>・お知らせ：・事例 スタジオアリス
・お知らせ：・事例 新幹線メンテナンス東海
・お知らせ：・事例 新宿高野
・お知らせ：・事例 関電ファシリティーズ
・お知らせ：・事例 SBSホールディングス
・お知らせ：・事例 コクヨ株式会社
・お知らせ：冬季休業</t>
  </si>
  <si>
    <t>・お知らせ：・事例 ドトールコーヒー
・お知らせ：・事例 大成建設グループ</t>
  </si>
  <si>
    <t>・コラム：No.11UNカラー設計
・コラム：No.12 小売・外食・宅配UN
・コラム：No.14 EcoVadis
・お知らせ：・事例 ルピシア
・お知らせ：・事例 相鉄企業
・お知らせ：・事例 TOHOシネマズ
・お知らせ：コラムNo.11
・お知らせ：コラムNo.12
・お知らせ：コラムNo.14</t>
  </si>
  <si>
    <t>・コラム：No.3Re  JIS T 8118
・コラム：No.6Re 周年行事・周年記念
・お知らせ：パタンナーTV放映告知
・お知らせ：読売新聞掲載・お知らせ
・お知らせ：・事例 フジテック
・お知らせ：コラムNo.3Re
・お知らせ：コラムNo.6Re</t>
  </si>
  <si>
    <t>・コラム：No.13 旅客運輸業界UN
・コラム：No.15 採用強化・離職率低下・事例
・コラム：No.16 IEC対策作業服
・コラム：No.17 女性が選びたくなる作業着
・お知らせ：コラムNo.13
・お知らせ：コラムNo.15
・お知らせ：コラムNo.16
・お知らせ：コラムNo.17
・お知らせ：・事例 TDK</t>
  </si>
  <si>
    <t>・コラム：No.18 暑熱対策
・お知らせ：コラムNo.18</t>
  </si>
  <si>
    <t>・原稿ガイドライン策定</t>
  </si>
  <si>
    <t>・コラム：No.19人的資本開示
・コラム：No.20採用難と離職を食い止める
・お知らせ：コラムNo.19
・お知らせ：コラムNo.20
・お知らせ：事例NTT東日本</t>
  </si>
  <si>
    <t>MQL率</t>
  </si>
  <si>
    <t>CV数｜施策種別｜テーマ</t>
  </si>
  <si>
    <t>・事例：ヤクルト本社
・広告：リスティング 微調整</t>
  </si>
  <si>
    <t>・事例：JR東海リテイリング・プラス
・事例：三菱電機ビルソリューションズ
・メルマガ：No.11 コンセプト開発のステップ</t>
  </si>
  <si>
    <t>・事例：ライフコーポレーション
・メルマガ：No.10 業種別UN導入ポイント
・広告：リスティング ・広告グループ戦略見直し
・サイト改善：EFO</t>
  </si>
  <si>
    <t>・事例：クラシアン
・WP：02 ユニフォーム導入の事前準備チェックシート
・メルマガ：No.18 TV放映（事前）
・メルマガ：No.19 TV放映（当日）
・メルマガ：No.20  TV放映（事後）
・メルマガ：No.12 オリジナルVS既製品
・メルマガ：No.13 UN選定チェックシート付
・メルマガ：No.14 熱中症対策義務化</t>
  </si>
  <si>
    <t>・広告：リスティング 一部KW停止</t>
  </si>
  <si>
    <t>・広告：リスティング 一部KW停止
・広告：リスティング KW追加
・広告：リスティング KW追加
・広告：リスティング 職種掛け合わせKW追加
・広告：リスティング ・広告文見直し・追加</t>
  </si>
  <si>
    <t>・事例：スタジオアリス
・事例：新幹線メンテナンス東海株式会社
・事例：新宿高野</t>
  </si>
  <si>
    <t>・事例：シーボン
・事例：ドトールコーヒー
・事例：関電ファシリティーズ
・事例：SBSホールディングス
・事例：コクヨ
・広告：リスティング データ除外
・広告：リスティング リンク表示オプション</t>
  </si>
  <si>
    <t>・事例：ルネサンス
・事例：ルピシア
・事例：相鉄企業
・メルマガ：No.23 カンブリア宮殿再放送告知
・メルマガ：No.24 2025・コラム紹介</t>
  </si>
  <si>
    <t>・事例：TOHOシネマズ
・メルマガ：No.21 ESG サステナブル素材
・メルマガ：No.25 2025・事例紹介</t>
  </si>
  <si>
    <t>・事例：フジテック
・サイト改善：画像差し替え・微調整
・メルマガ：No.22 採用強化・離職率低下
・メルマガ：No.4Re 周年行事
・メルマガ：No.5Re UN導入流れ
・メルマガ：No.27 パタンナーTV放映告知（当日）
・メルマガ：No.28 パタンナーTV放映告知（後日）
・メルマガ：No.29 読売新聞記事掲載・お知らせ</t>
  </si>
  <si>
    <t>・事例：TDK
・メルマガ：No.16 ・事例紹介 食品販売・外食・宅配
・メルマガ：No.26 IEC対応作業服
・メルマガ：No.32 ・WP02紹介</t>
  </si>
  <si>
    <t>・メルマガ：No.31 飲食接客向け・離職率
・メルマガ：No.33 ・コラム公開・お知らせ（No.17 女性が選びたくなる作業着）
・広告：AIMAX適用開始</t>
  </si>
  <si>
    <t>・WP：03 ボリューム版　ブランド価値を高める制服デザイン戦略
・メルマガ：No.15 WP03紹介
・メルマガ：No.30 暑熱対策</t>
  </si>
  <si>
    <t>・事例：NTT東日本
・メルマガ：No.34人的資本開示
・メルマガ：No.35労働災害の防止
・広告：AIMAXからリスティングに変更
・広告：
DSP広告周年エンタープライズ</t>
  </si>
  <si>
    <t xml:space="preserve"> </t>
  </si>
  <si>
    <t>・コラム：No.7 教員の働き方改革
・コラム：No.8 チーム学校
・お知らせ：TV放映告知</t>
  </si>
  <si>
    <t>・お知らせ：展示会</t>
  </si>
  <si>
    <t>・お知らせ：夏季休業
・お知らせ：Web展示会
・お知らせ：大阪展示会</t>
  </si>
  <si>
    <t>・お知らせ：展示会後挨拶
・広告：DSP出稿開始
・お知らせ：冬季休業</t>
  </si>
  <si>
    <t>・お知らせ：・事例 中大杉並</t>
  </si>
  <si>
    <t>・コラム：No.1Re 制服変更の効果・メリット
・コラム：No.9 制服デザイン
・コラム：No.10 EcoVadis
・お知らせ：コラムNo.1Re
・お知らせ：コラムNo.9
・お知らせ：コラムNo.10</t>
  </si>
  <si>
    <t>・コラム：No.6Re 学校広報
・コラム：No.12 LGBTQ・多様性対応
・広告：DSPバナー差し替え
・お知らせ：TV放映告知
・お知らせ：コラムNo.6Re
・お知らせ：コラムNo.12</t>
  </si>
  <si>
    <t>・コラム：No.11 制服刷新で変わる志願者数
・コラム：No.13 学校広報と制服刷新
・コラム：No.14 学校の暑熱対策
・お知らせ：コラムNo.13
・お知らせ：コラムNo.14
・お知らせ：コラムNo.11</t>
  </si>
  <si>
    <t>・コラム：No.15 制服リニューアル周期
・コラム：No.16 制服リニューアル検討
・お知らせ：コラムNo.16
・広告：DSPバナー停止
・お知らせ：コラムNo.15</t>
  </si>
  <si>
    <t>・メルマガ：プリヘッダー導入
・広告：リスティング 除外KW追加
・広告：リスティング KW停止
・広告：リスティング KW再開</t>
  </si>
  <si>
    <t>・広告：リスティング KW追加
・広告：リスティング KW停止</t>
  </si>
  <si>
    <t>・広告：リスティング クエリ分析
・広告：リスティング 上限CPC設定</t>
  </si>
  <si>
    <t>・メルマガ：No.8 学校ブランディング（制服は強力なメディア）
・広告：リスティング キャンペーン複製
・広告：リスティング ・広告文見直し</t>
  </si>
  <si>
    <t>・メルマガ：No.10 制服デザインTips
・メルマガ：No.11 TV放映告知（事前）
・メルマガ：No.12 TV放映告知（当日）
・メルマガ：No.14 EcoVadis</t>
  </si>
  <si>
    <t>・メルマガ：No.9 学校のブランド整理
・広告：リスティング 入札戦略変更</t>
  </si>
  <si>
    <t>・メルマガ：No.3Re 最新制服事情
・メルマガ：No.15 Web展示会申込
・LP：Web展示会</t>
  </si>
  <si>
    <t>・メルマガ：No.8Re 制服変更による効果</t>
  </si>
  <si>
    <t>・広告：リスティング データ除外
・広告：リスティング 入札戦略変更</t>
  </si>
  <si>
    <t>・メルマガ：No.16 制服刷新で変わる志願者数
・メルマガ：No.17 LGBTQ・多様性対応
・メルマガ：No.18 カンブリア宮殿再放送
・事例：中大杉並高校
・メルマガ：No.19 動画公開・お知らせ
・メルマガ：No.20 2025・コラム紹介
・メルマガ：No.21 2025・事例紹介</t>
  </si>
  <si>
    <t>・メルマガ：No.23 TV放映告知（当日）
・メルマガ：No.24 TV放映告知（後日）</t>
  </si>
  <si>
    <t>・メルマガ：No.22 学校ブランディング
・メルマガ：No.25 暑熱対策・コラム紹介</t>
  </si>
  <si>
    <t>・メルマガ：No.26 制服変更・コラム紹介</t>
  </si>
  <si>
    <t>・メルマガ：No.29 制服見直し
・メルマガ：No.30 制服リニューアル準備
・事例：筑波大学附属坂戸</t>
  </si>
  <si>
    <t>・メルマガ：No.27学校広報にも影響
・メルマガ：
No.28制服リニューアルを検討するとき</t>
  </si>
  <si>
    <t>・コラム：No.19 SDGs
・コラム：No.20 看護師の業務改善
・お知らせ：コラムNo.19
・お知らせ：コラムNo.20</t>
  </si>
  <si>
    <t>・お知らせ：TV放映</t>
  </si>
  <si>
    <t xml:space="preserve">・コラム：No.16Re トレンドカラー
・コラム：No.3Re ・事例・残業時間・職場づくり
</t>
  </si>
  <si>
    <t>・お知らせ：冬季休業</t>
  </si>
  <si>
    <t>・コラム：No.1Re 離職率が高い理由
・コラム：No.14Re 白衣の種類・選び方
・お知らせ：コラムNo.14Re
・お知らせ：コラムNo.22
・お知らせ：コラムNo.1Re
・お知らせ：コラムNo.14Re ※重複</t>
  </si>
  <si>
    <t>・コラム：No.21 EcoVadis
・お知らせ：コラムNo.21</t>
  </si>
  <si>
    <t xml:space="preserve">・お知らせ：パタンナーTV放映告知
・お知らせ：・事例 同愛記念病院
</t>
  </si>
  <si>
    <t>・コラム：No.24 医療現場のユニフォーム改革白書
・コラム：No.25 医療現場の不便を解決
・コラム：No.26 涼しいスクラブ
・お知らせ：コラムNo.24
・お知らせ：コラムNo.25
・お知らせ：コラムNo.26</t>
  </si>
  <si>
    <t>・コラム：No.27 病院の離職率
・お知らせ：コラムNo.27</t>
  </si>
  <si>
    <t>・コラム：No.28 看護師の業務フローから見る現場効率化
・お知らせ：コラムNo.28
・サイト改修：微修正</t>
  </si>
  <si>
    <t>・コラム：No.29Raffiriaお薦め商品紹介
・お知らせ：コラムNo.29</t>
  </si>
  <si>
    <t>CV-WPDL（実数）</t>
  </si>
  <si>
    <t>CV-カタログDL（実数）</t>
  </si>
  <si>
    <t>CV-問い合わせ（実数）</t>
  </si>
  <si>
    <t>・メルマガ改善・リンク設置
・広告：リスティングKW追加</t>
  </si>
  <si>
    <t>・メルマガ：No.24 速乾白衣紹介
・メルマガ：No.25 スクラブ透け・色落ち対策</t>
  </si>
  <si>
    <t>・広告：リスティングクエリ追加</t>
  </si>
  <si>
    <t>・メルマガ：No.26 人気スクラブTOP3
・メルマガ：No.27 TV放映告知
・メルマガ：No.28 TV放映（当日）
・メルマガ：No.29 TV放映（後日）</t>
  </si>
  <si>
    <t>・広告：リスティング一部KW停止</t>
  </si>
  <si>
    <t>・メルマガ：No.30 エコ素材×高機能
・メルマガ：No.32 看護学会展示告知</t>
  </si>
  <si>
    <t>・メルマガ：No.13Re オリジナル白衣導入メリット
・メルマガ：No.14Re ・事例紹介 山口大医付属・栃木がんセンター
・メルマガ：No.33 展示会フォロー①
・メルマガ：No.34 展示会フォロー②
・メルマガ：No.35 展示会フォロー③</t>
  </si>
  <si>
    <t>・サイト改善：デザイン微調整
・メルマガ：No.36 冬キャンペーン</t>
  </si>
  <si>
    <t>・メルマガ：2025・コラム紹介
・メルマガ：2025・事例紹介
・メルマガ：No.31 経営者向け 選ばれる職場の秘訣
・メルマガ：No.39 ユニフォーム刷新が生んだ5つの変化</t>
  </si>
  <si>
    <t>・メルマガ：No.37 ユニフォーム導入ガイド
・メルマガ：No.38 ユニフォーム改革白書
・事例：同愛記念病院
・メルマガ：No.45 パタンナーTV放映告知（当日）
・メルマガ：No.46 パタンナーTV放映告知（後日）
・広告：除外KW追加（指名）
・広告：クエリ一致方法変更
・広告：リスティングクエリ追加</t>
  </si>
  <si>
    <t>・メルマガ：No.49 医療現場のユニフォーム改革白書
・メルマガ：No.50 ブランディング動画紹介</t>
  </si>
  <si>
    <t>・メルマガ：No.43 動きやすさ・ユニフォーム設計
・メルマガ：No.47 病院の離職率
・広告：指名 検索クエリ追加
・広告：AIMAXキャンペーン開始</t>
  </si>
  <si>
    <t>・メルマガ：No.48 看護師の業務フローから見る現場効率化（コラムNo.28紹介）
・メルマガ：No.51 病院の価値を高めるメディカルウェア選び方</t>
  </si>
  <si>
    <t>・メルマガ：No.52
看護師の服装、「色」による違い
・メルマガ：No.53
26年度版Raffiria人気ランキング</t>
  </si>
  <si>
    <t xml:space="preserve">・テレビ放映のお知らせ
</t>
  </si>
  <si>
    <t>・実績事例：株式会社メガネトップ 様
・実績事例：ヤクルト球団株式会社 様
・実績事例：イオンリテール株式会社 様
・実績事例：株式会社フジオフードシステム 様
・実績事例：ピザハット様：2025年福袋セット
・実績事例：ブロンコビリー様</t>
  </si>
  <si>
    <t>・実績事例：株式会社タカキベーカリー様</t>
  </si>
  <si>
    <t>・コラムNo.6
・実績事例：ファンケル様：サマーCP
・お知らせ｜新着コラム紹介</t>
  </si>
  <si>
    <t xml:space="preserve">コラムNo.11
・実績事例：天下一品様
・お知らせ：事例天一食品商事 様
</t>
  </si>
  <si>
    <t>・TOP、サービスLP（SP、ブランディング、OEM/ODM）ページのデザイン刷新
・コラムNo.11
・お知らせ：コラムNo.7
・お知らせ：コラムNo.11</t>
  </si>
  <si>
    <t xml:space="preserve">・コラムNo.2｜リライト
・実績事例：カープ様：インタビュー
・お知らせ：パタンナーTV放映告知
・お知らせ：コラムNo.2
・お知らせ：実績事例（カープ様）
</t>
  </si>
  <si>
    <t>・コラムNo.7
・コラムNo.10
・コラムNo.13
・コラムNo.15
・ホワイトペーパー2｜簡易版
・実績事例：ファンケル様：インタビュー
・実績事例：ブリヂストン様：インタビュー
・実績事例：壱番屋様：インタビュー
・お知らせ：コラムNo.10
・お知らせ：コラムNo.13
・お知らせ：実績事例（ファンケル様）
・お知らせ：実績事例（ブリヂストン様）
・お知らせ：実績事例（壱番屋様）</t>
  </si>
  <si>
    <t>・コラムNo.5｜リライト
・コラムNo.14
・ホワイトペーパー3｜簡易版
・ホワイトペーパー4｜簡易版
・お知らせ：コラムNo.5
・お知らせ：コラムNo.14</t>
  </si>
  <si>
    <t>・コラムNo.12
・コラムNo.16
・お知らせ：コラムNo.12
・お知らせ：コラムNo.15
・お知らせ：コラムNo.16</t>
  </si>
  <si>
    <t>・メルマガNo.11
・メルマガNo.12</t>
  </si>
  <si>
    <t>・内製メルマガNo.19
・内製メルマガNo.20
・内製メルマガNo.21</t>
  </si>
  <si>
    <t>・メルマガNo.15
・メルマガNo.16</t>
  </si>
  <si>
    <t>・メルマガNo.17</t>
  </si>
  <si>
    <t>・メルマガNo.8｜リライト
・内製メルマガNo.24</t>
  </si>
  <si>
    <t>・メルマガNo.16
・メルマガNo.18
・内製メルマガNo.25
・内製メルマガNo.26</t>
  </si>
  <si>
    <t>・メルマガNo.22
・メルマガNo.23
・内製メルマガNo.29
・内製メルマガNo.30</t>
  </si>
  <si>
    <t>・内製メルマガNo.28
・内製メルマガNo.31</t>
  </si>
  <si>
    <t xml:space="preserve">・メルマガNo.27
・内製メルマガNo.32
</t>
  </si>
  <si>
    <t>・メルマガNo.37
・内製メルマガNo.38</t>
  </si>
  <si>
    <t>・シナリオメール１～4（No.33～36）
・内製メルマガ｜No.40
・内製メルマガ｜No.41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</si>
</sst>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0.0%"/>
    <numFmt numFmtId="177" formatCode="#,##0_ "/>
    <numFmt numFmtId="178" formatCode="yyyy/mm"/>
    <numFmt numFmtId="179" formatCode="0_ "/>
    <numFmt numFmtId="180" formatCode="#,##0_);[Red]\(#,##0\)"/>
    <numFmt numFmtId="181" formatCode="#,##0;&quot;▲ &quot;#,##0"/>
    <numFmt numFmtId="182" formatCode="0.00_ "/>
    <numFmt numFmtId="183" formatCode="0_);[Red]\(0\)"/>
    <numFmt numFmtId="184" formatCode="#,##0_);\(#,##0\)"/>
    <numFmt numFmtId="185" formatCode="0;&quot;△ &quot;0"/>
    <numFmt numFmtId="186" formatCode="#,##0;&quot;△ &quot;#,##0"/>
    <numFmt numFmtId="187" formatCode="0.00;&quot;△ &quot;0.00"/>
  </numFmts>
  <fonts count="41">
    <font>
      <sz val="11"/>
      <color theme="1"/>
      <name val="游ゴシック"/>
      <family val="2"/>
      <charset val="128"/>
      <scheme val="minor"/>
    </font>
    <font>
      <sz val="6"/>
      <name val="游ゴシック"/>
      <family val="2"/>
      <charset val="128"/>
      <scheme val="minor"/>
    </font>
    <font>
      <sz val="10"/>
      <color rgb="FF080A0C"/>
      <name val="Arial"/>
      <family val="2"/>
    </font>
    <font>
      <sz val="10"/>
      <color rgb="FF080A0C"/>
      <name val="Consolas"/>
      <family val="3"/>
    </font>
    <font>
      <sz val="10"/>
      <color rgb="FF080A0C"/>
      <name val="ＭＳ Ｐゴシック"/>
      <family val="2"/>
      <charset val="128"/>
    </font>
    <font>
      <b/>
      <sz val="11"/>
      <color theme="1"/>
      <name val="游ゴシック"/>
      <family val="3"/>
      <charset val="128"/>
      <scheme val="minor"/>
    </font>
    <font>
      <b/>
      <sz val="14"/>
      <color theme="1"/>
      <name val="游ゴシック"/>
      <family val="3"/>
      <charset val="128"/>
      <scheme val="minor"/>
    </font>
    <font>
      <sz val="10"/>
      <color theme="1"/>
      <name val="游ゴシック"/>
      <family val="3"/>
      <charset val="128"/>
      <scheme val="minor"/>
    </font>
    <font>
      <sz val="11"/>
      <color theme="1"/>
      <name val="游ゴシック"/>
      <family val="3"/>
      <charset val="128"/>
      <scheme val="minor"/>
    </font>
    <font>
      <b/>
      <sz val="11"/>
      <name val="游ゴシック"/>
      <family val="3"/>
      <charset val="128"/>
      <scheme val="minor"/>
    </font>
    <font>
      <sz val="10"/>
      <color rgb="FF080A0C"/>
      <name val="游ゴシック"/>
      <family val="3"/>
      <charset val="128"/>
      <scheme val="minor"/>
    </font>
    <font>
      <sz val="10"/>
      <color rgb="FF080A0C"/>
      <name val="ＭＳ ゴシック"/>
      <family val="3"/>
      <charset val="128"/>
    </font>
    <font>
      <sz val="8"/>
      <color theme="1"/>
      <name val="游ゴシック"/>
      <family val="3"/>
      <charset val="128"/>
      <scheme val="minor"/>
    </font>
    <font>
      <sz val="6"/>
      <color theme="1"/>
      <name val="游ゴシック"/>
      <family val="3"/>
      <charset val="128"/>
      <scheme val="minor"/>
    </font>
    <font>
      <sz val="11"/>
      <color rgb="FFFF0000"/>
      <name val="游ゴシック"/>
      <family val="3"/>
      <charset val="128"/>
      <scheme val="minor"/>
    </font>
    <font>
      <sz val="10"/>
      <color rgb="FFFF0000"/>
      <name val="游ゴシック"/>
      <family val="3"/>
      <charset val="128"/>
      <scheme val="minor"/>
    </font>
    <font>
      <b/>
      <sz val="11"/>
      <color rgb="FFFF0000"/>
      <name val="游ゴシック"/>
      <family val="3"/>
      <charset val="128"/>
      <scheme val="minor"/>
    </font>
    <font>
      <sz val="9"/>
      <color theme="1"/>
      <name val="游ゴシック"/>
      <family val="2"/>
      <charset val="128"/>
      <scheme val="minor"/>
    </font>
    <font>
      <sz val="8"/>
      <color theme="1"/>
      <name val="游ゴシック"/>
      <family val="2"/>
      <charset val="128"/>
      <scheme val="minor"/>
    </font>
    <font>
      <sz val="6"/>
      <color theme="1"/>
      <name val="游ゴシック"/>
      <family val="2"/>
      <charset val="128"/>
      <scheme val="minor"/>
    </font>
    <font>
      <b/>
      <sz val="9"/>
      <color theme="1"/>
      <name val="游ゴシック"/>
      <family val="3"/>
      <charset val="128"/>
      <scheme val="minor"/>
    </font>
    <font>
      <b/>
      <sz val="11"/>
      <color theme="8"/>
      <name val="游ゴシック"/>
      <family val="3"/>
      <charset val="128"/>
      <scheme val="minor"/>
    </font>
    <font>
      <b/>
      <sz val="9"/>
      <color theme="8"/>
      <name val="游ゴシック"/>
      <family val="3"/>
      <charset val="128"/>
      <scheme val="minor"/>
    </font>
    <font>
      <sz val="11"/>
      <color theme="5"/>
      <name val="游ゴシック"/>
      <family val="2"/>
      <charset val="128"/>
      <scheme val="minor"/>
    </font>
    <font>
      <sz val="9"/>
      <color theme="1"/>
      <name val="游ゴシック"/>
      <family val="3"/>
      <charset val="128"/>
      <scheme val="minor"/>
    </font>
    <font>
      <sz val="10"/>
      <color theme="1"/>
      <name val="游ゴシック"/>
      <family val="2"/>
      <charset val="128"/>
      <scheme val="minor"/>
    </font>
    <font>
      <u/>
      <sz val="11"/>
      <color theme="10"/>
      <name val="游ゴシック"/>
      <family val="2"/>
      <charset val="128"/>
      <scheme val="minor"/>
    </font>
    <font>
      <u/>
      <sz val="8"/>
      <color theme="10"/>
      <name val="游ゴシック"/>
      <family val="3"/>
      <charset val="128"/>
      <scheme val="minor"/>
    </font>
    <font>
      <u/>
      <sz val="8"/>
      <color theme="10"/>
      <name val="游ゴシック"/>
      <family val="2"/>
      <charset val="128"/>
      <scheme val="minor"/>
    </font>
    <font>
      <sz val="8"/>
      <name val="游ゴシック"/>
      <family val="3"/>
      <charset val="128"/>
      <scheme val="minor"/>
    </font>
    <font>
      <b/>
      <u/>
      <sz val="11"/>
      <color theme="10"/>
      <name val="游ゴシック"/>
      <family val="3"/>
      <charset val="128"/>
      <scheme val="minor"/>
    </font>
    <font>
      <b/>
      <sz val="11"/>
      <color rgb="FF000000"/>
      <name val="游ゴシック"/>
      <family val="3"/>
      <charset val="128"/>
      <scheme val="minor"/>
    </font>
    <font>
      <b/>
      <sz val="9"/>
      <color rgb="FF000000"/>
      <name val="游ゴシック"/>
      <family val="3"/>
      <charset val="128"/>
      <scheme val="minor"/>
    </font>
    <font>
      <b/>
      <sz val="11"/>
      <color theme="1"/>
      <name val="游ゴシック"/>
      <family val="2"/>
      <charset val="128"/>
      <scheme val="minor"/>
    </font>
    <font>
      <sz val="8"/>
      <color rgb="FFFF0000"/>
      <name val="游ゴシック"/>
      <family val="2"/>
      <charset val="128"/>
      <scheme val="minor"/>
    </font>
    <font>
      <sz val="11"/>
      <color rgb="FF000000"/>
      <name val="游ゴシック"/>
      <family val="2"/>
      <charset val="128"/>
      <scheme val="minor"/>
    </font>
    <font>
      <sz val="11"/>
      <color theme="2" tint="-0.249977111117893"/>
      <name val="游ゴシック"/>
      <family val="2"/>
      <charset val="128"/>
      <scheme val="minor"/>
    </font>
    <font>
      <b/>
      <sz val="11"/>
      <color rgb="FF000000"/>
      <name val="游ゴシック"/>
      <family val="2"/>
      <charset val="128"/>
      <scheme val="minor"/>
    </font>
    <font>
      <sz val="11"/>
      <color rgb="FF000000"/>
      <name val="游ゴシック"/>
      <family val="3"/>
      <charset val="128"/>
      <scheme val="minor"/>
    </font>
    <font>
      <sz val="11"/>
      <color theme="8"/>
      <name val="游ゴシック"/>
      <family val="2"/>
      <charset val="128"/>
      <scheme val="minor"/>
    </font>
    <font>
      <sz val="9"/>
      <color indexed="81"/>
      <name val="MS P ゴシック"/>
      <family val="3"/>
      <charset val="128"/>
    </font>
  </fonts>
  <fills count="11">
    <fill>
      <patternFill patternType="none"/>
    </fill>
    <fill>
      <patternFill patternType="gray125"/>
    </fill>
    <fill>
      <patternFill patternType="solid">
        <fgColor theme="2" tint="-0.499984740745262"/>
        <bgColor indexed="64"/>
      </patternFill>
    </fill>
    <fill>
      <patternFill patternType="solid">
        <fgColor rgb="FFFFFF00"/>
        <bgColor indexed="64"/>
      </patternFill>
    </fill>
    <fill>
      <patternFill patternType="solid">
        <fgColor theme="2"/>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79998168889431442"/>
        <bgColor indexed="64"/>
      </patternFill>
    </fill>
  </fills>
  <borders count="42">
    <border>
      <left/>
      <right/>
      <top/>
      <bottom/>
      <diagonal/>
    </border>
    <border>
      <left/>
      <right/>
      <top/>
      <bottom style="thin">
        <color indexed="64"/>
      </bottom>
      <diagonal/>
    </border>
    <border>
      <left/>
      <right/>
      <top/>
      <bottom style="double">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right style="double">
        <color auto="1"/>
      </right>
      <top/>
      <bottom/>
      <diagonal/>
    </border>
    <border>
      <left/>
      <right style="double">
        <color auto="1"/>
      </right>
      <top/>
      <bottom style="thin">
        <color indexed="64"/>
      </bottom>
      <diagonal/>
    </border>
    <border>
      <left style="double">
        <color auto="1"/>
      </left>
      <right style="thin">
        <color indexed="64"/>
      </right>
      <top/>
      <bottom/>
      <diagonal/>
    </border>
    <border>
      <left style="double">
        <color auto="1"/>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ck">
        <color rgb="FFFF0000"/>
      </left>
      <right/>
      <top style="thick">
        <color rgb="FFFF0000"/>
      </top>
      <bottom style="thick">
        <color rgb="FFFF0000"/>
      </bottom>
      <diagonal/>
    </border>
    <border>
      <left/>
      <right style="thin">
        <color indexed="64"/>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thick">
        <color rgb="FFFF0000"/>
      </left>
      <right style="thin">
        <color indexed="64"/>
      </right>
      <top style="thick">
        <color rgb="FFFF0000"/>
      </top>
      <bottom style="thick">
        <color rgb="FFFF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style="thin">
        <color indexed="64"/>
      </right>
      <top/>
      <bottom style="thin">
        <color indexed="64"/>
      </bottom>
      <diagonal/>
    </border>
    <border>
      <left style="thin">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alignment vertical="center"/>
    </xf>
    <xf numFmtId="0" fontId="26" fillId="0" borderId="0" applyNumberFormat="0" applyFill="0" applyBorder="0" applyAlignment="0" applyProtection="0">
      <alignment vertical="center"/>
    </xf>
  </cellStyleXfs>
  <cellXfs count="267">
    <xf numFmtId="0" fontId="0" fillId="0" borderId="0" xfId="0">
      <alignment vertical="center"/>
    </xf>
    <xf numFmtId="0" fontId="0" fillId="0" borderId="0" xfId="0" applyAlignment="1">
      <alignment vertical="center" wrapText="1"/>
    </xf>
    <xf numFmtId="0" fontId="2" fillId="0" borderId="0" xfId="0" applyFont="1">
      <alignment vertical="center"/>
    </xf>
    <xf numFmtId="0" fontId="4" fillId="0" borderId="0" xfId="0" applyFont="1">
      <alignment vertical="center"/>
    </xf>
    <xf numFmtId="0" fontId="2" fillId="0" borderId="0" xfId="0" applyFont="1" applyAlignment="1">
      <alignment vertical="center" wrapText="1"/>
    </xf>
    <xf numFmtId="0" fontId="0" fillId="0" borderId="1" xfId="0" applyBorder="1">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5" fillId="0" borderId="0" xfId="0" applyFont="1" applyAlignment="1">
      <alignment horizontal="center" vertical="center"/>
    </xf>
    <xf numFmtId="0" fontId="0" fillId="0" borderId="3" xfId="0" applyBorder="1">
      <alignment vertical="center"/>
    </xf>
    <xf numFmtId="0" fontId="0" fillId="0" borderId="3" xfId="0" applyBorder="1" applyAlignment="1">
      <alignment vertical="center" wrapText="1"/>
    </xf>
    <xf numFmtId="0" fontId="5" fillId="0" borderId="4" xfId="0" applyFont="1" applyBorder="1" applyAlignment="1">
      <alignment horizontal="center" wrapText="1"/>
    </xf>
    <xf numFmtId="0" fontId="5" fillId="0" borderId="4" xfId="0" applyFont="1" applyBorder="1" applyAlignment="1">
      <alignment horizontal="center"/>
    </xf>
    <xf numFmtId="0" fontId="0" fillId="2" borderId="0" xfId="0" applyFill="1">
      <alignment vertical="center"/>
    </xf>
    <xf numFmtId="0" fontId="0" fillId="2" borderId="3" xfId="0" applyFill="1" applyBorder="1">
      <alignment vertical="center"/>
    </xf>
    <xf numFmtId="0" fontId="8" fillId="0" borderId="0" xfId="0" applyFont="1">
      <alignment vertical="center"/>
    </xf>
    <xf numFmtId="0" fontId="8" fillId="0" borderId="2" xfId="0" applyFont="1" applyBorder="1" applyAlignment="1"/>
    <xf numFmtId="0" fontId="8" fillId="0" borderId="4" xfId="0" applyFont="1" applyBorder="1" applyAlignment="1">
      <alignment horizontal="center" wrapText="1"/>
    </xf>
    <xf numFmtId="0" fontId="8" fillId="0" borderId="0" xfId="0" applyFont="1" applyAlignment="1">
      <alignment horizontal="center"/>
    </xf>
    <xf numFmtId="177" fontId="5" fillId="0" borderId="3" xfId="0" applyNumberFormat="1" applyFont="1" applyBorder="1" applyAlignment="1"/>
    <xf numFmtId="10" fontId="5" fillId="0" borderId="3" xfId="0" applyNumberFormat="1" applyFont="1" applyBorder="1" applyAlignment="1"/>
    <xf numFmtId="0" fontId="8" fillId="0" borderId="3" xfId="0" applyFont="1" applyBorder="1" applyAlignment="1"/>
    <xf numFmtId="9" fontId="5" fillId="0" borderId="3" xfId="0" applyNumberFormat="1" applyFont="1" applyBorder="1" applyAlignment="1"/>
    <xf numFmtId="10" fontId="8" fillId="0" borderId="3" xfId="0" applyNumberFormat="1" applyFont="1" applyBorder="1" applyAlignment="1"/>
    <xf numFmtId="10" fontId="9" fillId="0" borderId="3" xfId="0" applyNumberFormat="1" applyFont="1" applyBorder="1" applyAlignment="1"/>
    <xf numFmtId="0" fontId="8" fillId="0" borderId="2" xfId="0" applyFont="1" applyBorder="1" applyAlignment="1">
      <alignment horizontal="center"/>
    </xf>
    <xf numFmtId="177" fontId="5" fillId="0" borderId="4" xfId="0" applyNumberFormat="1" applyFont="1" applyBorder="1" applyAlignment="1"/>
    <xf numFmtId="10" fontId="5" fillId="0" borderId="4" xfId="0" applyNumberFormat="1" applyFont="1" applyBorder="1" applyAlignment="1"/>
    <xf numFmtId="0" fontId="8" fillId="0" borderId="4" xfId="0" applyFont="1" applyBorder="1" applyAlignment="1"/>
    <xf numFmtId="9" fontId="5" fillId="0" borderId="4" xfId="0" applyNumberFormat="1" applyFont="1" applyBorder="1" applyAlignment="1"/>
    <xf numFmtId="10" fontId="8" fillId="0" borderId="4" xfId="0" applyNumberFormat="1" applyFont="1" applyBorder="1" applyAlignment="1"/>
    <xf numFmtId="177" fontId="8" fillId="0" borderId="0" xfId="0" applyNumberFormat="1" applyFont="1">
      <alignment vertical="center"/>
    </xf>
    <xf numFmtId="176" fontId="8" fillId="0" borderId="0" xfId="0" applyNumberFormat="1" applyFont="1">
      <alignment vertical="center"/>
    </xf>
    <xf numFmtId="177" fontId="10" fillId="0" borderId="0" xfId="0" applyNumberFormat="1" applyFont="1">
      <alignment vertical="center"/>
    </xf>
    <xf numFmtId="0" fontId="0" fillId="0" borderId="0" xfId="0" applyAlignment="1">
      <alignment horizontal="center" vertical="center"/>
    </xf>
    <xf numFmtId="178" fontId="0" fillId="0" borderId="0" xfId="0" applyNumberFormat="1">
      <alignment vertical="center"/>
    </xf>
    <xf numFmtId="0" fontId="11" fillId="0" borderId="0" xfId="0" applyFont="1" applyAlignment="1">
      <alignment vertical="center" wrapText="1"/>
    </xf>
    <xf numFmtId="0" fontId="0" fillId="4" borderId="0" xfId="0" applyFill="1">
      <alignment vertical="center"/>
    </xf>
    <xf numFmtId="0" fontId="3" fillId="4" borderId="0" xfId="0" applyFont="1" applyFill="1">
      <alignment vertical="center"/>
    </xf>
    <xf numFmtId="0" fontId="4" fillId="5" borderId="0" xfId="0" applyFont="1" applyFill="1">
      <alignment vertical="center"/>
    </xf>
    <xf numFmtId="177" fontId="8" fillId="5" borderId="0" xfId="0" applyNumberFormat="1" applyFont="1" applyFill="1">
      <alignment vertical="center"/>
    </xf>
    <xf numFmtId="176" fontId="8" fillId="5" borderId="0" xfId="0" applyNumberFormat="1" applyFont="1" applyFill="1">
      <alignment vertical="center"/>
    </xf>
    <xf numFmtId="10" fontId="8" fillId="0" borderId="0" xfId="0" applyNumberFormat="1" applyFont="1">
      <alignment vertical="center"/>
    </xf>
    <xf numFmtId="0" fontId="12" fillId="5" borderId="0" xfId="0" applyFont="1" applyFill="1">
      <alignment vertical="center"/>
    </xf>
    <xf numFmtId="0" fontId="13" fillId="5" borderId="0" xfId="0" applyFont="1" applyFill="1">
      <alignment vertical="center"/>
    </xf>
    <xf numFmtId="0" fontId="0" fillId="5" borderId="1" xfId="0" applyFill="1" applyBorder="1">
      <alignment vertical="center"/>
    </xf>
    <xf numFmtId="177" fontId="8" fillId="5" borderId="1" xfId="0" applyNumberFormat="1" applyFont="1" applyFill="1" applyBorder="1">
      <alignment vertical="center"/>
    </xf>
    <xf numFmtId="0" fontId="0" fillId="0" borderId="1" xfId="0" applyBorder="1" applyAlignment="1">
      <alignment horizontal="center" vertical="center"/>
    </xf>
    <xf numFmtId="0" fontId="0" fillId="0" borderId="5" xfId="0" applyBorder="1">
      <alignment vertical="center"/>
    </xf>
    <xf numFmtId="177" fontId="8" fillId="5" borderId="5" xfId="0" applyNumberFormat="1" applyFont="1" applyFill="1" applyBorder="1">
      <alignment vertical="center"/>
    </xf>
    <xf numFmtId="176" fontId="8" fillId="5" borderId="5" xfId="0" applyNumberFormat="1" applyFont="1" applyFill="1" applyBorder="1">
      <alignment vertical="center"/>
    </xf>
    <xf numFmtId="177" fontId="8" fillId="5" borderId="6" xfId="0" applyNumberFormat="1" applyFont="1" applyFill="1" applyBorder="1">
      <alignment vertical="center"/>
    </xf>
    <xf numFmtId="10" fontId="8" fillId="0" borderId="5" xfId="0" applyNumberFormat="1" applyFont="1" applyBorder="1">
      <alignment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3" borderId="0" xfId="0" applyFill="1">
      <alignment vertical="center"/>
    </xf>
    <xf numFmtId="10" fontId="8" fillId="4" borderId="0" xfId="0" applyNumberFormat="1" applyFont="1" applyFill="1">
      <alignment vertical="center"/>
    </xf>
    <xf numFmtId="10" fontId="0" fillId="3" borderId="0" xfId="0" applyNumberFormat="1" applyFill="1">
      <alignment vertical="center"/>
    </xf>
    <xf numFmtId="179" fontId="0" fillId="4" borderId="0" xfId="0" applyNumberFormat="1" applyFill="1">
      <alignment vertical="center"/>
    </xf>
    <xf numFmtId="10" fontId="0" fillId="4" borderId="0" xfId="0" applyNumberFormat="1" applyFill="1">
      <alignment vertical="center"/>
    </xf>
    <xf numFmtId="0" fontId="0" fillId="0" borderId="8" xfId="0" applyBorder="1" applyAlignment="1">
      <alignment horizontal="center" vertical="center"/>
    </xf>
    <xf numFmtId="0" fontId="0" fillId="0" borderId="7" xfId="0" applyBorder="1" applyAlignment="1">
      <alignment horizontal="center" vertical="center"/>
    </xf>
    <xf numFmtId="177" fontId="8" fillId="5" borderId="7" xfId="0" applyNumberFormat="1" applyFont="1" applyFill="1" applyBorder="1">
      <alignment vertical="center"/>
    </xf>
    <xf numFmtId="176" fontId="8" fillId="5" borderId="7" xfId="0" applyNumberFormat="1" applyFont="1" applyFill="1" applyBorder="1">
      <alignment vertical="center"/>
    </xf>
    <xf numFmtId="177" fontId="8" fillId="5" borderId="8" xfId="0" applyNumberFormat="1" applyFont="1" applyFill="1" applyBorder="1">
      <alignment vertical="center"/>
    </xf>
    <xf numFmtId="0" fontId="0" fillId="0" borderId="7" xfId="0" applyBorder="1">
      <alignment vertical="center"/>
    </xf>
    <xf numFmtId="0" fontId="0" fillId="0" borderId="10" xfId="0" applyBorder="1" applyAlignment="1">
      <alignment horizontal="center" vertical="center"/>
    </xf>
    <xf numFmtId="0" fontId="8" fillId="0" borderId="9" xfId="0" applyFont="1" applyBorder="1" applyAlignment="1">
      <alignment horizontal="center" vertical="center"/>
    </xf>
    <xf numFmtId="177" fontId="8" fillId="5" borderId="9" xfId="0" applyNumberFormat="1" applyFont="1" applyFill="1" applyBorder="1">
      <alignment vertical="center"/>
    </xf>
    <xf numFmtId="176" fontId="8" fillId="5" borderId="9" xfId="0" applyNumberFormat="1" applyFont="1" applyFill="1" applyBorder="1">
      <alignment vertical="center"/>
    </xf>
    <xf numFmtId="177" fontId="8" fillId="5" borderId="10" xfId="0" applyNumberFormat="1" applyFont="1" applyFill="1" applyBorder="1">
      <alignment vertical="center"/>
    </xf>
    <xf numFmtId="177" fontId="8" fillId="0" borderId="9" xfId="0" applyNumberFormat="1" applyFont="1" applyBorder="1">
      <alignment vertical="center"/>
    </xf>
    <xf numFmtId="10" fontId="8" fillId="0" borderId="9" xfId="0" applyNumberFormat="1" applyFont="1" applyBorder="1">
      <alignment vertical="center"/>
    </xf>
    <xf numFmtId="177" fontId="10" fillId="0" borderId="9" xfId="0" applyNumberFormat="1" applyFont="1" applyBorder="1">
      <alignment vertical="center"/>
    </xf>
    <xf numFmtId="177" fontId="8" fillId="6" borderId="0" xfId="0" applyNumberFormat="1" applyFont="1" applyFill="1">
      <alignment vertical="center"/>
    </xf>
    <xf numFmtId="180" fontId="8" fillId="3" borderId="0" xfId="0" applyNumberFormat="1" applyFont="1" applyFill="1">
      <alignment vertical="center"/>
    </xf>
    <xf numFmtId="0" fontId="0" fillId="6" borderId="0" xfId="0" applyFill="1">
      <alignment vertical="center"/>
    </xf>
    <xf numFmtId="180" fontId="5" fillId="4" borderId="0" xfId="0" applyNumberFormat="1" applyFont="1" applyFill="1">
      <alignment vertical="center"/>
    </xf>
    <xf numFmtId="180" fontId="8" fillId="4" borderId="0" xfId="0" applyNumberFormat="1" applyFont="1" applyFill="1">
      <alignment vertical="center"/>
    </xf>
    <xf numFmtId="0" fontId="14" fillId="0" borderId="11" xfId="0" applyFont="1" applyBorder="1">
      <alignment vertical="center"/>
    </xf>
    <xf numFmtId="177" fontId="15" fillId="0" borderId="12" xfId="0" applyNumberFormat="1" applyFont="1" applyBorder="1">
      <alignment vertical="center"/>
    </xf>
    <xf numFmtId="177" fontId="14" fillId="0" borderId="13" xfId="0" applyNumberFormat="1" applyFont="1" applyBorder="1">
      <alignment vertical="center"/>
    </xf>
    <xf numFmtId="177" fontId="16" fillId="4" borderId="14" xfId="0" applyNumberFormat="1" applyFont="1" applyFill="1" applyBorder="1">
      <alignment vertical="center"/>
    </xf>
    <xf numFmtId="0" fontId="0" fillId="0" borderId="17" xfId="0" applyBorder="1">
      <alignment vertical="center"/>
    </xf>
    <xf numFmtId="0" fontId="0" fillId="0" borderId="19" xfId="0" applyBorder="1">
      <alignment vertical="center"/>
    </xf>
    <xf numFmtId="0" fontId="0" fillId="0" borderId="20" xfId="0" applyBorder="1">
      <alignment vertical="center"/>
    </xf>
    <xf numFmtId="0" fontId="0" fillId="0" borderId="10" xfId="0" applyBorder="1">
      <alignment vertical="center"/>
    </xf>
    <xf numFmtId="179" fontId="5" fillId="0" borderId="21" xfId="0" applyNumberFormat="1" applyFont="1" applyBorder="1">
      <alignment vertical="center"/>
    </xf>
    <xf numFmtId="0" fontId="18" fillId="0" borderId="0" xfId="0" applyFont="1">
      <alignment vertical="center"/>
    </xf>
    <xf numFmtId="0" fontId="0" fillId="0" borderId="16" xfId="0" applyBorder="1" applyAlignment="1">
      <alignment horizontal="center" vertic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179" fontId="5" fillId="0" borderId="0" xfId="0" applyNumberFormat="1" applyFont="1" applyAlignment="1">
      <alignment horizontal="center" vertical="center"/>
    </xf>
    <xf numFmtId="0" fontId="0" fillId="0" borderId="18" xfId="0" applyBorder="1" applyAlignment="1">
      <alignment horizontal="center" vertical="center"/>
    </xf>
    <xf numFmtId="10" fontId="0" fillId="0" borderId="0" xfId="0" applyNumberFormat="1" applyAlignment="1">
      <alignment horizontal="center" vertical="center"/>
    </xf>
    <xf numFmtId="0" fontId="0" fillId="5" borderId="0" xfId="0" applyFill="1">
      <alignment vertical="center"/>
    </xf>
    <xf numFmtId="0" fontId="0" fillId="0" borderId="19" xfId="0" applyBorder="1" applyAlignment="1">
      <alignment horizontal="center" vertical="center"/>
    </xf>
    <xf numFmtId="10" fontId="5" fillId="8" borderId="17" xfId="0" applyNumberFormat="1" applyFont="1" applyFill="1" applyBorder="1" applyAlignment="1">
      <alignment horizontal="center" vertical="center"/>
    </xf>
    <xf numFmtId="0" fontId="20" fillId="8" borderId="0" xfId="0" applyFont="1" applyFill="1" applyAlignment="1">
      <alignment horizontal="center" vertical="center"/>
    </xf>
    <xf numFmtId="10" fontId="5" fillId="7" borderId="17" xfId="0" applyNumberFormat="1" applyFont="1" applyFill="1" applyBorder="1" applyAlignment="1">
      <alignment horizontal="center" vertical="center"/>
    </xf>
    <xf numFmtId="0" fontId="20" fillId="7" borderId="0" xfId="0" applyFont="1" applyFill="1" applyAlignment="1">
      <alignment horizontal="center" vertical="center"/>
    </xf>
    <xf numFmtId="179" fontId="5" fillId="7" borderId="17" xfId="0" applyNumberFormat="1" applyFont="1" applyFill="1" applyBorder="1" applyAlignment="1">
      <alignment horizontal="center" vertical="center"/>
    </xf>
    <xf numFmtId="0" fontId="21" fillId="9" borderId="17" xfId="0" applyFont="1" applyFill="1" applyBorder="1" applyAlignment="1">
      <alignment horizontal="center" vertical="center"/>
    </xf>
    <xf numFmtId="0" fontId="22" fillId="9" borderId="0" xfId="0" applyFont="1" applyFill="1" applyAlignment="1">
      <alignment horizontal="center" vertical="center"/>
    </xf>
    <xf numFmtId="177" fontId="5" fillId="7" borderId="17" xfId="0" applyNumberFormat="1" applyFont="1" applyFill="1" applyBorder="1" applyAlignment="1">
      <alignment horizontal="center" vertical="center"/>
    </xf>
    <xf numFmtId="179" fontId="20" fillId="7" borderId="0" xfId="0" applyNumberFormat="1" applyFont="1" applyFill="1" applyAlignment="1">
      <alignment horizontal="center" vertical="center"/>
    </xf>
    <xf numFmtId="10" fontId="23" fillId="6" borderId="0" xfId="0" applyNumberFormat="1" applyFont="1" applyFill="1">
      <alignment vertical="center"/>
    </xf>
    <xf numFmtId="0" fontId="24" fillId="0" borderId="0" xfId="0" applyFont="1">
      <alignment vertical="center"/>
    </xf>
    <xf numFmtId="181" fontId="17" fillId="0" borderId="0" xfId="0" applyNumberFormat="1" applyFont="1">
      <alignment vertical="center"/>
    </xf>
    <xf numFmtId="10" fontId="0" fillId="0" borderId="7" xfId="0" applyNumberFormat="1" applyBorder="1">
      <alignment vertical="center"/>
    </xf>
    <xf numFmtId="179" fontId="0" fillId="0" borderId="7" xfId="0" applyNumberFormat="1" applyBorder="1">
      <alignment vertical="center"/>
    </xf>
    <xf numFmtId="177" fontId="0" fillId="0" borderId="7" xfId="0" applyNumberFormat="1" applyBorder="1">
      <alignment vertical="center"/>
    </xf>
    <xf numFmtId="177" fontId="14" fillId="0" borderId="15" xfId="0" applyNumberFormat="1" applyFont="1" applyBorder="1">
      <alignment vertical="center"/>
    </xf>
    <xf numFmtId="179" fontId="0" fillId="0" borderId="0" xfId="0" applyNumberFormat="1">
      <alignment vertical="center"/>
    </xf>
    <xf numFmtId="182" fontId="0" fillId="0" borderId="0" xfId="0" applyNumberFormat="1">
      <alignment vertical="center"/>
    </xf>
    <xf numFmtId="0" fontId="0" fillId="7" borderId="0" xfId="0" applyFill="1">
      <alignment vertical="center"/>
    </xf>
    <xf numFmtId="179" fontId="0" fillId="7" borderId="0" xfId="0" applyNumberFormat="1" applyFill="1">
      <alignment vertical="center"/>
    </xf>
    <xf numFmtId="182" fontId="0" fillId="7" borderId="0" xfId="0" applyNumberFormat="1" applyFill="1">
      <alignment vertical="center"/>
    </xf>
    <xf numFmtId="0" fontId="19" fillId="0" borderId="21" xfId="0" applyFont="1" applyBorder="1" applyAlignment="1">
      <alignment horizontal="center" vertical="center"/>
    </xf>
    <xf numFmtId="178" fontId="0" fillId="0" borderId="19" xfId="0" applyNumberFormat="1" applyBorder="1">
      <alignment vertical="center"/>
    </xf>
    <xf numFmtId="0" fontId="0" fillId="0" borderId="9" xfId="0" applyBorder="1">
      <alignment vertical="center"/>
    </xf>
    <xf numFmtId="178" fontId="0" fillId="0" borderId="20" xfId="0" applyNumberFormat="1" applyBorder="1">
      <alignment vertical="center"/>
    </xf>
    <xf numFmtId="177" fontId="0" fillId="0" borderId="0" xfId="0" applyNumberFormat="1">
      <alignment vertical="center"/>
    </xf>
    <xf numFmtId="177" fontId="0" fillId="5" borderId="0" xfId="0" applyNumberFormat="1" applyFill="1">
      <alignment vertical="center"/>
    </xf>
    <xf numFmtId="177" fontId="0" fillId="0" borderId="9" xfId="0" applyNumberFormat="1" applyBorder="1">
      <alignment vertical="center"/>
    </xf>
    <xf numFmtId="177" fontId="0" fillId="0" borderId="1" xfId="0" applyNumberFormat="1" applyBorder="1">
      <alignment vertical="center"/>
    </xf>
    <xf numFmtId="177" fontId="0" fillId="5" borderId="1" xfId="0" applyNumberFormat="1" applyFill="1" applyBorder="1">
      <alignment vertical="center"/>
    </xf>
    <xf numFmtId="177" fontId="0" fillId="0" borderId="10" xfId="0" applyNumberFormat="1" applyBorder="1">
      <alignment vertical="center"/>
    </xf>
    <xf numFmtId="0" fontId="0" fillId="0" borderId="18" xfId="0" applyBorder="1">
      <alignment vertical="center"/>
    </xf>
    <xf numFmtId="0" fontId="0" fillId="0" borderId="21" xfId="0" applyBorder="1">
      <alignment vertical="center"/>
    </xf>
    <xf numFmtId="178" fontId="0" fillId="0" borderId="21" xfId="0" applyNumberFormat="1" applyBorder="1">
      <alignment vertical="center"/>
    </xf>
    <xf numFmtId="178" fontId="0" fillId="0" borderId="22" xfId="0" applyNumberFormat="1" applyBorder="1">
      <alignment vertical="center"/>
    </xf>
    <xf numFmtId="0" fontId="24" fillId="0" borderId="19" xfId="0" applyFont="1" applyBorder="1" applyAlignment="1">
      <alignment vertical="top"/>
    </xf>
    <xf numFmtId="0" fontId="27" fillId="0" borderId="0" xfId="1" applyFont="1" applyBorder="1">
      <alignment vertical="center"/>
    </xf>
    <xf numFmtId="0" fontId="29" fillId="0" borderId="0" xfId="1" applyFont="1" applyBorder="1">
      <alignment vertical="center"/>
    </xf>
    <xf numFmtId="0" fontId="24" fillId="0" borderId="19" xfId="0" applyFont="1" applyBorder="1" applyAlignment="1">
      <alignment vertical="top" wrapText="1"/>
    </xf>
    <xf numFmtId="0" fontId="28" fillId="0" borderId="0" xfId="1" applyFont="1" applyBorder="1">
      <alignment vertical="center"/>
    </xf>
    <xf numFmtId="178" fontId="5" fillId="0" borderId="0" xfId="0" applyNumberFormat="1" applyFont="1">
      <alignment vertical="center"/>
    </xf>
    <xf numFmtId="14" fontId="0" fillId="0" borderId="0" xfId="0" applyNumberFormat="1">
      <alignment vertical="center"/>
    </xf>
    <xf numFmtId="10" fontId="0" fillId="0" borderId="0" xfId="0" applyNumberFormat="1">
      <alignment vertical="center"/>
    </xf>
    <xf numFmtId="0" fontId="25" fillId="0" borderId="21" xfId="0" applyFont="1" applyBorder="1">
      <alignment vertical="center"/>
    </xf>
    <xf numFmtId="0" fontId="0" fillId="0" borderId="22" xfId="0" applyBorder="1">
      <alignment vertical="center"/>
    </xf>
    <xf numFmtId="14" fontId="24" fillId="0" borderId="19" xfId="0" applyNumberFormat="1" applyFont="1" applyBorder="1">
      <alignment vertical="center"/>
    </xf>
    <xf numFmtId="177" fontId="24" fillId="0" borderId="0" xfId="0" applyNumberFormat="1" applyFont="1">
      <alignment vertical="center"/>
    </xf>
    <xf numFmtId="179" fontId="24" fillId="0" borderId="0" xfId="0" applyNumberFormat="1" applyFont="1">
      <alignment vertical="center"/>
    </xf>
    <xf numFmtId="10" fontId="24" fillId="0" borderId="0" xfId="0" applyNumberFormat="1" applyFont="1">
      <alignment vertical="center"/>
    </xf>
    <xf numFmtId="10" fontId="24" fillId="0" borderId="9" xfId="0" applyNumberFormat="1" applyFont="1" applyBorder="1">
      <alignment vertical="center"/>
    </xf>
    <xf numFmtId="177" fontId="20" fillId="0" borderId="0" xfId="0" applyNumberFormat="1" applyFont="1">
      <alignment vertical="center"/>
    </xf>
    <xf numFmtId="10" fontId="20" fillId="0" borderId="9" xfId="0" applyNumberFormat="1" applyFont="1" applyBorder="1">
      <alignment vertical="center"/>
    </xf>
    <xf numFmtId="14" fontId="17" fillId="0" borderId="19" xfId="0" applyNumberFormat="1" applyFont="1" applyBorder="1">
      <alignment vertical="center"/>
    </xf>
    <xf numFmtId="0" fontId="17" fillId="0" borderId="0" xfId="0" applyFont="1">
      <alignment vertical="center"/>
    </xf>
    <xf numFmtId="177" fontId="17" fillId="0" borderId="0" xfId="0" applyNumberFormat="1" applyFont="1">
      <alignment vertical="center"/>
    </xf>
    <xf numFmtId="179" fontId="17" fillId="0" borderId="0" xfId="0" applyNumberFormat="1" applyFont="1">
      <alignment vertical="center"/>
    </xf>
    <xf numFmtId="10" fontId="17" fillId="0" borderId="0" xfId="0" applyNumberFormat="1" applyFont="1">
      <alignment vertical="center"/>
    </xf>
    <xf numFmtId="10" fontId="17" fillId="0" borderId="9" xfId="0" applyNumberFormat="1" applyFont="1" applyBorder="1">
      <alignment vertical="center"/>
    </xf>
    <xf numFmtId="14" fontId="17" fillId="0" borderId="20" xfId="0" applyNumberFormat="1" applyFont="1" applyBorder="1">
      <alignment vertical="center"/>
    </xf>
    <xf numFmtId="0" fontId="17" fillId="0" borderId="1" xfId="0" applyFont="1" applyBorder="1">
      <alignment vertical="center"/>
    </xf>
    <xf numFmtId="177" fontId="17" fillId="0" borderId="1" xfId="0" applyNumberFormat="1" applyFont="1" applyBorder="1">
      <alignment vertical="center"/>
    </xf>
    <xf numFmtId="179" fontId="17" fillId="0" borderId="1" xfId="0" applyNumberFormat="1" applyFont="1" applyBorder="1">
      <alignment vertical="center"/>
    </xf>
    <xf numFmtId="10" fontId="17" fillId="0" borderId="1" xfId="0" applyNumberFormat="1" applyFont="1" applyBorder="1">
      <alignment vertical="center"/>
    </xf>
    <xf numFmtId="10" fontId="17" fillId="0" borderId="10" xfId="0" applyNumberFormat="1" applyFont="1" applyBorder="1">
      <alignment vertical="center"/>
    </xf>
    <xf numFmtId="0" fontId="18" fillId="0" borderId="21" xfId="0" applyFont="1" applyBorder="1" applyAlignment="1">
      <alignment horizontal="center" vertical="center"/>
    </xf>
    <xf numFmtId="0" fontId="27" fillId="0" borderId="0" xfId="1" applyFont="1">
      <alignment vertical="center"/>
    </xf>
    <xf numFmtId="0" fontId="12" fillId="0" borderId="1" xfId="0" applyFont="1" applyBorder="1">
      <alignment vertical="center"/>
    </xf>
    <xf numFmtId="0" fontId="17" fillId="0" borderId="19" xfId="0" applyFont="1" applyBorder="1">
      <alignment vertical="center"/>
    </xf>
    <xf numFmtId="0" fontId="12" fillId="0" borderId="0" xfId="0" applyFont="1">
      <alignment vertical="center"/>
    </xf>
    <xf numFmtId="183" fontId="0" fillId="0" borderId="0" xfId="0" applyNumberFormat="1">
      <alignment vertical="center"/>
    </xf>
    <xf numFmtId="183" fontId="0" fillId="0" borderId="9" xfId="0" applyNumberFormat="1" applyBorder="1">
      <alignment vertical="center"/>
    </xf>
    <xf numFmtId="183" fontId="0" fillId="0" borderId="1" xfId="0" applyNumberFormat="1" applyBorder="1">
      <alignment vertical="center"/>
    </xf>
    <xf numFmtId="183" fontId="0" fillId="0" borderId="10" xfId="0" applyNumberFormat="1" applyBorder="1">
      <alignment vertical="center"/>
    </xf>
    <xf numFmtId="0" fontId="17" fillId="0" borderId="22" xfId="0" applyFont="1" applyBorder="1" applyAlignment="1">
      <alignment horizontal="center" vertical="center"/>
    </xf>
    <xf numFmtId="0" fontId="24" fillId="0" borderId="18" xfId="0" applyFont="1" applyBorder="1">
      <alignment vertical="center"/>
    </xf>
    <xf numFmtId="0" fontId="24" fillId="0" borderId="21" xfId="0" applyFont="1" applyBorder="1">
      <alignment vertical="center"/>
    </xf>
    <xf numFmtId="0" fontId="24" fillId="0" borderId="22" xfId="0" applyFont="1" applyBorder="1">
      <alignment vertical="center"/>
    </xf>
    <xf numFmtId="178" fontId="24" fillId="0" borderId="21" xfId="0" applyNumberFormat="1" applyFont="1" applyBorder="1">
      <alignment vertical="center"/>
    </xf>
    <xf numFmtId="178" fontId="24" fillId="0" borderId="22" xfId="0" applyNumberFormat="1" applyFont="1" applyBorder="1">
      <alignment vertical="center"/>
    </xf>
    <xf numFmtId="0" fontId="24" fillId="0" borderId="21" xfId="0" applyFont="1" applyBorder="1" applyAlignment="1">
      <alignment horizontal="center" vertical="center"/>
    </xf>
    <xf numFmtId="0" fontId="24" fillId="5" borderId="21" xfId="0" applyFont="1" applyFill="1" applyBorder="1" applyAlignment="1">
      <alignment horizontal="center" vertical="center"/>
    </xf>
    <xf numFmtId="0" fontId="24" fillId="0" borderId="22" xfId="0" applyFont="1" applyBorder="1" applyAlignment="1">
      <alignment horizontal="center" vertical="center"/>
    </xf>
    <xf numFmtId="0" fontId="5" fillId="4" borderId="23" xfId="0" applyFont="1" applyFill="1" applyBorder="1">
      <alignment vertical="center"/>
    </xf>
    <xf numFmtId="0" fontId="0" fillId="4" borderId="24" xfId="0" applyFill="1" applyBorder="1">
      <alignment vertical="center"/>
    </xf>
    <xf numFmtId="0" fontId="0" fillId="4" borderId="25" xfId="0" applyFill="1" applyBorder="1">
      <alignment vertical="center"/>
    </xf>
    <xf numFmtId="0" fontId="30" fillId="4" borderId="26" xfId="1" applyFont="1" applyFill="1" applyBorder="1">
      <alignment vertical="center"/>
    </xf>
    <xf numFmtId="0" fontId="0" fillId="4" borderId="27" xfId="0" applyFill="1" applyBorder="1">
      <alignment vertical="center"/>
    </xf>
    <xf numFmtId="0" fontId="0" fillId="4" borderId="28" xfId="0" applyFill="1" applyBorder="1">
      <alignment vertical="center"/>
    </xf>
    <xf numFmtId="0" fontId="19" fillId="0" borderId="29" xfId="0" applyFont="1" applyBorder="1" applyAlignment="1">
      <alignment horizontal="center" vertical="center"/>
    </xf>
    <xf numFmtId="0" fontId="0" fillId="0" borderId="29" xfId="0" applyBorder="1" applyAlignment="1">
      <alignment horizontal="center" vertical="center"/>
    </xf>
    <xf numFmtId="10" fontId="5" fillId="8" borderId="30" xfId="0" applyNumberFormat="1" applyFont="1" applyFill="1" applyBorder="1" applyAlignment="1">
      <alignment horizontal="center" vertical="center"/>
    </xf>
    <xf numFmtId="0" fontId="31" fillId="8" borderId="17" xfId="0" applyFont="1" applyFill="1" applyBorder="1" applyAlignment="1">
      <alignment horizontal="center" vertical="center"/>
    </xf>
    <xf numFmtId="0" fontId="32" fillId="0" borderId="0" xfId="0" applyFont="1" applyAlignment="1">
      <alignment horizontal="center" vertical="center"/>
    </xf>
    <xf numFmtId="0" fontId="20" fillId="0" borderId="0" xfId="0" applyFont="1" applyAlignment="1">
      <alignment horizontal="center" vertical="center"/>
    </xf>
    <xf numFmtId="0" fontId="0" fillId="0" borderId="31" xfId="0" applyBorder="1">
      <alignment vertical="center"/>
    </xf>
    <xf numFmtId="0" fontId="0" fillId="0" borderId="32" xfId="0" applyBorder="1">
      <alignment vertical="center"/>
    </xf>
    <xf numFmtId="0" fontId="0" fillId="0" borderId="33" xfId="0" applyBorder="1">
      <alignment vertical="center"/>
    </xf>
    <xf numFmtId="177" fontId="8" fillId="3" borderId="0" xfId="0" applyNumberFormat="1" applyFont="1" applyFill="1">
      <alignment vertical="center"/>
    </xf>
    <xf numFmtId="0" fontId="0" fillId="0" borderId="34" xfId="0" applyBorder="1">
      <alignment vertical="center"/>
    </xf>
    <xf numFmtId="3" fontId="0" fillId="0" borderId="0" xfId="0" applyNumberFormat="1">
      <alignment vertical="center"/>
    </xf>
    <xf numFmtId="9" fontId="0" fillId="0" borderId="0" xfId="0" applyNumberFormat="1">
      <alignment vertical="center"/>
    </xf>
    <xf numFmtId="180" fontId="0" fillId="0" borderId="0" xfId="0" applyNumberFormat="1">
      <alignment vertical="center"/>
    </xf>
    <xf numFmtId="183" fontId="0" fillId="0" borderId="34" xfId="0" applyNumberFormat="1" applyBorder="1">
      <alignment vertical="center"/>
    </xf>
    <xf numFmtId="0" fontId="33" fillId="0" borderId="0" xfId="0" applyFont="1">
      <alignment vertical="center"/>
    </xf>
    <xf numFmtId="184" fontId="0" fillId="0" borderId="0" xfId="0" applyNumberFormat="1">
      <alignment vertical="center"/>
    </xf>
    <xf numFmtId="186" fontId="0" fillId="0" borderId="31" xfId="0" applyNumberFormat="1" applyBorder="1">
      <alignment vertical="center"/>
    </xf>
    <xf numFmtId="0" fontId="33" fillId="0" borderId="35" xfId="0" applyFont="1" applyBorder="1">
      <alignment vertical="center"/>
    </xf>
    <xf numFmtId="10" fontId="0" fillId="0" borderId="32" xfId="0" applyNumberFormat="1" applyBorder="1">
      <alignment vertical="center"/>
    </xf>
    <xf numFmtId="0" fontId="33" fillId="0" borderId="32" xfId="0" applyFont="1" applyBorder="1">
      <alignment vertical="center"/>
    </xf>
    <xf numFmtId="180" fontId="0" fillId="0" borderId="32" xfId="0" applyNumberFormat="1" applyBorder="1">
      <alignment vertical="center"/>
    </xf>
    <xf numFmtId="184" fontId="0" fillId="0" borderId="32" xfId="0" applyNumberFormat="1" applyBorder="1">
      <alignment vertical="center"/>
    </xf>
    <xf numFmtId="185" fontId="0" fillId="0" borderId="33" xfId="0" applyNumberFormat="1" applyBorder="1">
      <alignment vertical="center"/>
    </xf>
    <xf numFmtId="2" fontId="0" fillId="0" borderId="31" xfId="0" applyNumberFormat="1" applyBorder="1">
      <alignment vertical="center"/>
    </xf>
    <xf numFmtId="2" fontId="0" fillId="0" borderId="33" xfId="0" applyNumberFormat="1" applyBorder="1">
      <alignment vertical="center"/>
    </xf>
    <xf numFmtId="187" fontId="0" fillId="0" borderId="31" xfId="0" applyNumberFormat="1" applyBorder="1">
      <alignment vertical="center"/>
    </xf>
    <xf numFmtId="180" fontId="0" fillId="3" borderId="0" xfId="0" applyNumberFormat="1" applyFill="1">
      <alignment vertical="center"/>
    </xf>
    <xf numFmtId="0" fontId="35" fillId="0" borderId="0" xfId="0" applyFont="1">
      <alignment vertical="center"/>
    </xf>
    <xf numFmtId="0" fontId="35" fillId="0" borderId="32" xfId="0" applyFont="1" applyBorder="1">
      <alignment vertical="center"/>
    </xf>
    <xf numFmtId="0" fontId="0" fillId="0" borderId="37" xfId="0" applyBorder="1">
      <alignment vertical="center"/>
    </xf>
    <xf numFmtId="0" fontId="35" fillId="0" borderId="16" xfId="0" applyFont="1" applyBorder="1" applyAlignment="1">
      <alignment horizontal="left" vertical="center"/>
    </xf>
    <xf numFmtId="0" fontId="0" fillId="0" borderId="35" xfId="0" applyBorder="1">
      <alignment vertical="center"/>
    </xf>
    <xf numFmtId="0" fontId="0" fillId="0" borderId="38" xfId="0" applyBorder="1">
      <alignment vertical="center"/>
    </xf>
    <xf numFmtId="0" fontId="0" fillId="0" borderId="40" xfId="0" applyBorder="1">
      <alignment vertical="center"/>
    </xf>
    <xf numFmtId="0" fontId="35" fillId="0" borderId="16" xfId="0" applyFont="1" applyBorder="1" applyAlignment="1">
      <alignment horizontal="center" vertical="center"/>
    </xf>
    <xf numFmtId="0" fontId="36" fillId="0" borderId="32" xfId="0" applyFont="1" applyBorder="1">
      <alignment vertical="center"/>
    </xf>
    <xf numFmtId="0" fontId="37" fillId="0" borderId="32" xfId="0" applyFont="1" applyBorder="1">
      <alignment vertical="center"/>
    </xf>
    <xf numFmtId="0" fontId="35" fillId="0" borderId="0" xfId="0" applyFont="1" applyAlignment="1">
      <alignment horizontal="center" vertical="center"/>
    </xf>
    <xf numFmtId="3" fontId="0" fillId="8" borderId="39" xfId="0" applyNumberFormat="1" applyFill="1" applyBorder="1">
      <alignment vertical="center"/>
    </xf>
    <xf numFmtId="0" fontId="0" fillId="8" borderId="0" xfId="0" applyFill="1">
      <alignment vertical="center"/>
    </xf>
    <xf numFmtId="3" fontId="0" fillId="8" borderId="41" xfId="0" applyNumberFormat="1" applyFill="1" applyBorder="1">
      <alignment vertical="center"/>
    </xf>
    <xf numFmtId="177" fontId="31" fillId="8" borderId="17" xfId="0" applyNumberFormat="1" applyFont="1" applyFill="1" applyBorder="1" applyAlignment="1">
      <alignment horizontal="center" vertical="center"/>
    </xf>
    <xf numFmtId="0" fontId="32" fillId="8" borderId="0" xfId="0" applyFont="1" applyFill="1" applyAlignment="1">
      <alignment horizontal="left" vertical="center"/>
    </xf>
    <xf numFmtId="0" fontId="32" fillId="8" borderId="0" xfId="0" applyFont="1" applyFill="1" applyAlignment="1">
      <alignment horizontal="center" vertical="center"/>
    </xf>
    <xf numFmtId="177" fontId="16" fillId="6" borderId="13" xfId="0" applyNumberFormat="1" applyFont="1" applyFill="1" applyBorder="1">
      <alignment vertical="center"/>
    </xf>
    <xf numFmtId="177" fontId="16" fillId="6" borderId="14" xfId="0" applyNumberFormat="1" applyFont="1" applyFill="1" applyBorder="1">
      <alignment vertical="center"/>
    </xf>
    <xf numFmtId="180" fontId="0" fillId="6" borderId="0" xfId="0" applyNumberFormat="1" applyFill="1">
      <alignment vertical="center"/>
    </xf>
    <xf numFmtId="177" fontId="5" fillId="6" borderId="30" xfId="0" applyNumberFormat="1" applyFont="1" applyFill="1" applyBorder="1" applyAlignment="1">
      <alignment horizontal="center" vertical="center"/>
    </xf>
    <xf numFmtId="0" fontId="20" fillId="6" borderId="0" xfId="0" applyFont="1" applyFill="1" applyAlignment="1">
      <alignment horizontal="center" vertical="center"/>
    </xf>
    <xf numFmtId="0" fontId="31" fillId="6" borderId="17" xfId="0" applyFont="1" applyFill="1" applyBorder="1" applyAlignment="1">
      <alignment horizontal="center" vertical="center"/>
    </xf>
    <xf numFmtId="1" fontId="31" fillId="6" borderId="17" xfId="0" applyNumberFormat="1" applyFont="1" applyFill="1" applyBorder="1" applyAlignment="1">
      <alignment horizontal="center" vertical="center"/>
    </xf>
    <xf numFmtId="0" fontId="32" fillId="6" borderId="0" xfId="0" applyFont="1" applyFill="1" applyAlignment="1">
      <alignment horizontal="left" vertical="center"/>
    </xf>
    <xf numFmtId="0" fontId="32" fillId="6" borderId="0" xfId="0" applyFont="1" applyFill="1" applyAlignment="1">
      <alignment horizontal="center" vertical="center"/>
    </xf>
    <xf numFmtId="1" fontId="38" fillId="6" borderId="17" xfId="0" applyNumberFormat="1" applyFont="1" applyFill="1" applyBorder="1" applyAlignment="1">
      <alignment horizontal="center" vertical="center"/>
    </xf>
    <xf numFmtId="177" fontId="31" fillId="6" borderId="17" xfId="0" applyNumberFormat="1" applyFont="1" applyFill="1" applyBorder="1" applyAlignment="1">
      <alignment horizontal="center" vertical="center"/>
    </xf>
    <xf numFmtId="10" fontId="23" fillId="0" borderId="36" xfId="0" applyNumberFormat="1" applyFont="1" applyBorder="1">
      <alignment vertical="center"/>
    </xf>
    <xf numFmtId="0" fontId="39" fillId="9" borderId="0" xfId="0" applyFont="1" applyFill="1">
      <alignment vertical="center"/>
    </xf>
    <xf numFmtId="0" fontId="34" fillId="0" borderId="32" xfId="0" applyFont="1" applyBorder="1">
      <alignment vertical="center"/>
    </xf>
    <xf numFmtId="1" fontId="0" fillId="0" borderId="0" xfId="0" applyNumberFormat="1">
      <alignment vertical="center"/>
    </xf>
    <xf numFmtId="177" fontId="31" fillId="10" borderId="17" xfId="0" applyNumberFormat="1" applyFont="1" applyFill="1" applyBorder="1" applyAlignment="1">
      <alignment horizontal="center" vertical="center"/>
    </xf>
    <xf numFmtId="1" fontId="31" fillId="10" borderId="17" xfId="0" applyNumberFormat="1" applyFont="1" applyFill="1" applyBorder="1" applyAlignment="1">
      <alignment horizontal="center" vertical="center"/>
    </xf>
    <xf numFmtId="0" fontId="32" fillId="10" borderId="0" xfId="0" applyFont="1" applyFill="1" applyAlignment="1">
      <alignment horizontal="center" vertical="center"/>
    </xf>
    <xf numFmtId="0" fontId="32" fillId="0" borderId="0" xfId="0" applyFont="1" applyAlignment="1">
      <alignment horizontal="left" vertical="center"/>
    </xf>
    <xf numFmtId="3" fontId="0" fillId="6" borderId="41" xfId="0" applyNumberFormat="1" applyFill="1" applyBorder="1">
      <alignment vertical="center"/>
    </xf>
    <xf numFmtId="3" fontId="0" fillId="10" borderId="41" xfId="0" applyNumberFormat="1" applyFill="1" applyBorder="1">
      <alignment vertical="center"/>
    </xf>
    <xf numFmtId="0" fontId="0" fillId="10" borderId="0" xfId="0" applyFill="1">
      <alignment vertical="center"/>
    </xf>
    <xf numFmtId="3" fontId="0" fillId="8" borderId="41" xfId="0" applyNumberFormat="1" applyFill="1" applyBorder="1" applyAlignment="1">
      <alignment horizontal="center" vertical="center"/>
    </xf>
    <xf numFmtId="3" fontId="0" fillId="10" borderId="41" xfId="0" applyNumberFormat="1" applyFill="1" applyBorder="1" applyAlignment="1">
      <alignment horizontal="center" vertical="center"/>
    </xf>
    <xf numFmtId="3" fontId="0" fillId="5" borderId="0" xfId="0" applyNumberFormat="1" applyFill="1">
      <alignment vertical="center"/>
    </xf>
    <xf numFmtId="0" fontId="0" fillId="5" borderId="40" xfId="0" applyFill="1" applyBorder="1">
      <alignment vertical="center"/>
    </xf>
    <xf numFmtId="1" fontId="38" fillId="5" borderId="17" xfId="0" applyNumberFormat="1" applyFont="1" applyFill="1" applyBorder="1" applyAlignment="1">
      <alignment horizontal="center" vertical="center"/>
    </xf>
    <xf numFmtId="3" fontId="0" fillId="5" borderId="41" xfId="0" applyNumberFormat="1" applyFill="1" applyBorder="1">
      <alignment vertical="center"/>
    </xf>
    <xf numFmtId="0" fontId="0" fillId="0" borderId="0" xfId="0" applyAlignment="1">
      <alignment horizontal="left" vertical="center"/>
    </xf>
    <xf numFmtId="180" fontId="0" fillId="0" borderId="0" xfId="0" applyNumberFormat="1" applyAlignment="1">
      <alignment vertical="center" wrapText="1"/>
    </xf>
    <xf numFmtId="0" fontId="18" fillId="0" borderId="0" xfId="0" applyFont="1" applyAlignment="1">
      <alignment vertical="top" wrapText="1"/>
    </xf>
    <xf numFmtId="0" fontId="18" fillId="0" borderId="0" xfId="0" applyFont="1" applyAlignment="1">
      <alignment vertical="top"/>
    </xf>
    <xf numFmtId="183" fontId="0" fillId="3" borderId="0" xfId="0" applyNumberFormat="1" applyFill="1">
      <alignment vertical="center"/>
    </xf>
    <xf numFmtId="180" fontId="0" fillId="3" borderId="0" xfId="0" applyNumberFormat="1" applyFill="1" applyAlignment="1">
      <alignment vertical="center" wrapText="1"/>
    </xf>
    <xf numFmtId="0" fontId="0" fillId="0" borderId="0" xfId="0" applyAlignment="1">
      <alignment horizontal="right" vertical="center"/>
    </xf>
    <xf numFmtId="180" fontId="0" fillId="0" borderId="0" xfId="0" applyNumberFormat="1" applyAlignment="1">
      <alignment horizontal="right" vertical="center"/>
    </xf>
  </cellXfs>
  <cellStyles count="2">
    <cellStyle name="ハイパーリンク" xfId="1" builtinId="8"/>
    <cellStyle name="標準" xfId="0" builtinId="0"/>
  </cellStyles>
  <dxfs count="7">
    <dxf>
      <font>
        <color theme="0"/>
      </font>
      <fill>
        <patternFill patternType="solid">
          <bgColor theme="0"/>
        </patternFill>
      </fill>
    </dxf>
    <dxf>
      <font>
        <color rgb="FFFF0000"/>
      </font>
      <numFmt numFmtId="188" formatCode="0;&quot;▲ &quot;0"/>
    </dxf>
    <dxf>
      <font>
        <strike val="0"/>
      </font>
      <fill>
        <patternFill>
          <bgColor rgb="FFFFFF00"/>
        </patternFill>
      </fill>
      <border>
        <left/>
        <right/>
        <top/>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神吉　まあや" id="{0ED0D2EA-9AF1-4A95-8EE0-B606BCB32304}" userId="" providerId=""/>
  <person displayName="長谷川 慎 (Hasegawa, Shin)" id="{3FE5E988-9F49-4F41-875E-8FB6238D2DF9}" userId="S::s2-hasegawa@onward.co.jp::9015673e-e4a5-445d-9c27-d7541f5d396e" providerId="AD"/>
  <person displayName="鳥谷部 鮎 (Toriyabe, Ayu)" id="{6A195414-60E9-43BA-9E77-40AE2C70EDAB}" userId="S::ayu.toriyabe@onward.co.jp::8f6b9edd-90bc-4f4e-a938-d36404f143d4"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3" dT="2026-04-24T05:03:46.43" personId="{6A195414-60E9-43BA-9E77-40AE2C70EDAB}" id="{D2C0C4AD-500E-4C70-A121-B0D680F236FB}">
    <text>UNのみ商談数</text>
  </threadedComment>
  <threadedComment ref="H3" dT="2026-04-24T06:43:15.56" personId="{6A195414-60E9-43BA-9E77-40AE2C70EDAB}" id="{9D750001-2ACA-49AD-9906-2A639E909B2D}">
    <text>UNのみ「商談済・引き続き追う」</text>
  </threadedComment>
  <threadedComment ref="D40" dT="2026-05-25T07:37:41.43" personId="{0ED0D2EA-9AF1-4A95-8EE0-B606BCB32304}" id="{B8FDA8CD-61A3-4B8F-AA0B-517875E1DD00}">
    <text>referralのadmatrix含む</text>
  </threadedComment>
  <threadedComment ref="F40" dT="2026-05-25T07:38:59.05" personId="{0ED0D2EA-9AF1-4A95-8EE0-B606BCB32304}" id="{385B0E91-7887-4C69-AEA8-A77C530A1FD5}">
    <text>referralのadmatrix含む</text>
  </threadedComment>
  <threadedComment ref="D43" dT="2026-05-25T07:38:13.85" personId="{0ED0D2EA-9AF1-4A95-8EE0-B606BCB32304}" id="{A35F548D-CC40-4D34-BA4F-26D3ADA8C3CD}">
    <text>bidresult-dsp.ad-m.asiaはマイナス</text>
  </threadedComment>
  <threadedComment ref="F43" dT="2026-05-25T07:39:10.21" personId="{0ED0D2EA-9AF1-4A95-8EE0-B606BCB32304}" id="{552D068F-3618-4717-9B54-B77E8FD3EBB7}">
    <text>bidresult-dsp.ad-m.asiaはマイナス</text>
  </threadedComment>
</ThreadedComments>
</file>

<file path=xl/threadedComments/threadedComment2.xml><?xml version="1.0" encoding="utf-8"?>
<ThreadedComments xmlns="http://schemas.microsoft.com/office/spreadsheetml/2018/threadedcomments" xmlns:x="http://schemas.openxmlformats.org/spreadsheetml/2006/main">
  <threadedComment ref="S42" dT="2026-04-30T07:31:52.08" personId="{6A195414-60E9-43BA-9E77-40AE2C70EDAB}" id="{400B614C-4FCE-4556-AB6E-28F72FA3091C}">
    <text>・指名検索
・ブックマーク
・履歴から
・URL直打ち＆再入力
・計測漏れ
※営業提案資料などに記載のURLのパラメータ未設定など</text>
  </threadedComment>
</ThreadedComments>
</file>

<file path=xl/threadedComments/threadedComment3.xml><?xml version="1.0" encoding="utf-8"?>
<ThreadedComments xmlns="http://schemas.microsoft.com/office/spreadsheetml/2018/threadedcomments" xmlns:x="http://schemas.openxmlformats.org/spreadsheetml/2006/main">
  <threadedComment ref="T39" dT="2026-05-25T07:30:09.80" personId="{0ED0D2EA-9AF1-4A95-8EE0-B606BCB32304}" id="{CB90CD8C-58DA-476B-A8C0-472750556062}">
    <text>一旦PaidのMQLをこちらに移管</text>
  </threadedComment>
  <threadedComment ref="S48" dT="2026-04-30T07:31:52.08" personId="{6A195414-60E9-43BA-9E77-40AE2C70EDAB}" id="{7EA52D1B-A708-4652-BA3E-12512F4AD20C}">
    <text>・指名検索
・ブックマーク
・履歴から
・URL直打ち＆再入力
・計測漏れ
※営業提案資料などに記載のURLのパラメータ未設定など</text>
  </threadedComment>
</ThreadedComments>
</file>

<file path=xl/threadedComments/threadedComment4.xml><?xml version="1.0" encoding="utf-8"?>
<ThreadedComments xmlns="http://schemas.microsoft.com/office/spreadsheetml/2018/threadedcomments" xmlns:x="http://schemas.openxmlformats.org/spreadsheetml/2006/main">
  <threadedComment ref="S39" dT="2026-04-30T07:31:52.08" personId="{6A195414-60E9-43BA-9E77-40AE2C70EDAB}" id="{CBDF6E27-EAF7-4B40-BB68-BFAD2BB06E76}">
    <text>・指名検索
・ブックマーク
・履歴から
・URL直打ち＆再入力
・計測漏れ
※営業提案資料などに記載のURLのパラメータ未設定など</text>
  </threadedComment>
</ThreadedComments>
</file>

<file path=xl/threadedComments/threadedComment5.xml><?xml version="1.0" encoding="utf-8"?>
<ThreadedComments xmlns="http://schemas.microsoft.com/office/spreadsheetml/2018/threadedcomments" xmlns:x="http://schemas.openxmlformats.org/spreadsheetml/2006/main">
  <threadedComment ref="E10" dT="2026-07-13T09:31:39.57" personId="{3FE5E988-9F49-4F41-875E-8FB6238D2DF9}" id="{DA976E11-6276-4863-AC39-C801765C44E8}">
    <text>・5月末時点：1件
・年目標不足数：11件
・残り期間でのひと月あたりの必要数：約1.2件</text>
  </threadedComment>
  <threadedComment ref="H10" dT="2026-07-13T09:30:46.77" personId="{3FE5E988-9F49-4F41-875E-8FB6238D2DF9}" id="{E88B946F-191D-47A2-9DBA-9D1F8F5EA3B9}">
    <text xml:space="preserve">・5月末時点：5件
・年目標不足数：50件
・残り期間でのひと月あたりの必要数：約約5.5件
</text>
  </threadedComment>
  <threadedComment ref="K10" dT="2026-07-13T09:28:12.03" personId="{3FE5E988-9F49-4F41-875E-8FB6238D2DF9}" id="{9C74D7F3-6F50-44DB-9336-896F0D883C05}">
    <text>・5月末時点：32件
・年目標不足数：244件
・残り期間でのひと月あたりの必要数：約27件
＊MQL数不足</text>
  </threadedComment>
  <threadedComment ref="N10" dT="2026-07-13T09:24:14.70" personId="{3FE5E988-9F49-4F41-875E-8FB6238D2DF9}" id="{6E6F4CD0-5FCA-4B6F-AF19-CD4BC1EE428F}">
    <text>・5月末時点：5,161件
・年目標不足数：20,002件
・残り期間でのひと月あたりの必要数：約2,222件
＊セッション数不足。セッション数増加施策が必要</text>
  </threadedComment>
  <threadedComment ref="T39" dT="2026-05-25T07:29:59.44" personId="{0ED0D2EA-9AF1-4A95-8EE0-B606BCB32304}" id="{BE045E2E-2E08-4A07-B146-836461198936}">
    <text>一旦PaidのMQLをこちらに移管</text>
  </threadedComment>
  <threadedComment ref="S51" dT="2026-04-30T07:31:52.08" personId="{6A195414-60E9-43BA-9E77-40AE2C70EDAB}" id="{5E03E084-82FE-4C98-9472-1FE728D3FBCB}">
    <text>・指名検索
・ブックマーク
・履歴から
・URL直打ち＆再入力
・計測漏れ
※営業提案資料などに記載のURLのパラメータ未設定など</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1.bin"/><Relationship Id="rId1" Type="http://schemas.openxmlformats.org/officeDocument/2006/relationships/hyperlink" Target="https://miro.com/app/board/uXjVHZpxzbo=/"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miro.com/app/board/uXjVHZpxzbo=/" TargetMode="External"/><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miro.com/app/board/uXjVHZpxzbo=/" TargetMode="External"/><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hyperlink" Target="https://miro.com/app/board/uXjVHZpxzbo=/" TargetMode="External"/><Relationship Id="rId4" Type="http://schemas.microsoft.com/office/2017/10/relationships/threadedComment" Target="../threadedComments/threadedComment5.xml"/></Relationships>
</file>

<file path=xl/worksheets/_rels/sheet7.xml.rels><?xml version="1.0" encoding="UTF-8" standalone="yes"?>
<Relationships xmlns="http://schemas.openxmlformats.org/package/2006/relationships"><Relationship Id="rId8" Type="http://schemas.openxmlformats.org/officeDocument/2006/relationships/hyperlink" Target="https://uniform.onward-cd.co.jp/column/brand_color/" TargetMode="External"/><Relationship Id="rId13" Type="http://schemas.openxmlformats.org/officeDocument/2006/relationships/hyperlink" Target="https://uniform.onward-cd.co.jp/column/passenger_transport_industry_uniforms/" TargetMode="External"/><Relationship Id="rId18" Type="http://schemas.openxmlformats.org/officeDocument/2006/relationships/hyperlink" Target="https://uniform.onward-cd.co.jp/column/heat-measures/" TargetMode="External"/><Relationship Id="rId3" Type="http://schemas.openxmlformats.org/officeDocument/2006/relationships/hyperlink" Target="https://uniform.onward-cd.co.jp/column/jis-t-8118/" TargetMode="External"/><Relationship Id="rId7" Type="http://schemas.openxmlformats.org/officeDocument/2006/relationships/hyperlink" Target="https://uniform.onward-cd.co.jp/column/outer_branding/" TargetMode="External"/><Relationship Id="rId12" Type="http://schemas.openxmlformats.org/officeDocument/2006/relationships/hyperlink" Target="https://uniform.onward-cd.co.jp/column/comfortable_uniform/" TargetMode="External"/><Relationship Id="rId17" Type="http://schemas.openxmlformats.org/officeDocument/2006/relationships/hyperlink" Target="https://uniform.onward-cd.co.jp/column/women-work-clothes/" TargetMode="External"/><Relationship Id="rId2" Type="http://schemas.openxmlformats.org/officeDocument/2006/relationships/hyperlink" Target="https://uniform.onward-cd.co.jp/column/workuniform_flow" TargetMode="External"/><Relationship Id="rId16" Type="http://schemas.openxmlformats.org/officeDocument/2006/relationships/hyperlink" Target="https://uniform.onward-cd.co.jp/column/iec-workwear/" TargetMode="External"/><Relationship Id="rId1" Type="http://schemas.openxmlformats.org/officeDocument/2006/relationships/hyperlink" Target="https://uniform.onward-cd.co.jp/column/original_uniform_effect" TargetMode="External"/><Relationship Id="rId6" Type="http://schemas.openxmlformats.org/officeDocument/2006/relationships/hyperlink" Target="https://uniform.onward-cd.co.jp/column/anniversary_event_idea/" TargetMode="External"/><Relationship Id="rId11" Type="http://schemas.openxmlformats.org/officeDocument/2006/relationships/hyperlink" Target="https://uniform.onward-cd.co.jp/column/uniform_color_design/" TargetMode="External"/><Relationship Id="rId5" Type="http://schemas.openxmlformats.org/officeDocument/2006/relationships/hyperlink" Target="https://uniform.onward-cd.co.jp/column/stylish_uniform/" TargetMode="External"/><Relationship Id="rId15" Type="http://schemas.openxmlformats.org/officeDocument/2006/relationships/hyperlink" Target="https://uniform.onward-cd.co.jp/column/uniform-renewal-recruitment-case" TargetMode="External"/><Relationship Id="rId10" Type="http://schemas.openxmlformats.org/officeDocument/2006/relationships/hyperlink" Target="https://uniform.onward-cd.co.jp/column/uniform_selection_point/" TargetMode="External"/><Relationship Id="rId4" Type="http://schemas.openxmlformats.org/officeDocument/2006/relationships/hyperlink" Target="https://uniform.onward-cd.co.jp/column/cool_work_clothes/" TargetMode="External"/><Relationship Id="rId9" Type="http://schemas.openxmlformats.org/officeDocument/2006/relationships/hyperlink" Target="https://uniform.onward-cd.co.jp/column/improving_corporate_image/" TargetMode="External"/><Relationship Id="rId14" Type="http://schemas.openxmlformats.org/officeDocument/2006/relationships/hyperlink" Target="https://uniform.onward-cd.co.jp/column/ecovadis_acquisition/"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uniform.onward-cd.co.jp/case/smt/" TargetMode="External"/><Relationship Id="rId18" Type="http://schemas.openxmlformats.org/officeDocument/2006/relationships/hyperlink" Target="https://uniform.onward-cd.co.jp/case/sbs-group/" TargetMode="External"/><Relationship Id="rId26" Type="http://schemas.openxmlformats.org/officeDocument/2006/relationships/hyperlink" Target="https://uniform.onward-cd.co.jp/case/tdk_interview/" TargetMode="External"/><Relationship Id="rId39" Type="http://schemas.openxmlformats.org/officeDocument/2006/relationships/hyperlink" Target="https://uniform.onward-cd.co.jp/column/passenger_transport_industry_uniforms/" TargetMode="External"/><Relationship Id="rId21" Type="http://schemas.openxmlformats.org/officeDocument/2006/relationships/hyperlink" Target="https://uniform.onward-cd.co.jp/case/sotetsu-kigyo/" TargetMode="External"/><Relationship Id="rId34" Type="http://schemas.openxmlformats.org/officeDocument/2006/relationships/hyperlink" Target="https://uniform.onward-cd.co.jp/column/brand_color/" TargetMode="External"/><Relationship Id="rId42" Type="http://schemas.openxmlformats.org/officeDocument/2006/relationships/hyperlink" Target="https://uniform.onward-cd.co.jp/column/iec-workwear/" TargetMode="External"/><Relationship Id="rId47" Type="http://schemas.openxmlformats.org/officeDocument/2006/relationships/hyperlink" Target="https://smart2.onward-cd.co.jp/uniform_service_guide" TargetMode="External"/><Relationship Id="rId7" Type="http://schemas.openxmlformats.org/officeDocument/2006/relationships/hyperlink" Target="https://uniform.onward-cd.co.jp/case/yakult/" TargetMode="External"/><Relationship Id="rId2" Type="http://schemas.openxmlformats.org/officeDocument/2006/relationships/hyperlink" Target="https://uniform.onward-cd.co.jp/case/yamato_transport/" TargetMode="External"/><Relationship Id="rId16" Type="http://schemas.openxmlformats.org/officeDocument/2006/relationships/hyperlink" Target="https://uniform.onward-cd.co.jp/case/doutor/" TargetMode="External"/><Relationship Id="rId29" Type="http://schemas.openxmlformats.org/officeDocument/2006/relationships/hyperlink" Target="https://uniform.onward-cd.co.jp/column/jis-t-8118/" TargetMode="External"/><Relationship Id="rId1" Type="http://schemas.openxmlformats.org/officeDocument/2006/relationships/hyperlink" Target="https://uniform.onward-cd.co.jp/case/kioxia/" TargetMode="External"/><Relationship Id="rId6" Type="http://schemas.openxmlformats.org/officeDocument/2006/relationships/hyperlink" Target="https://uniform.onward-cd.co.jp/case/fancl/" TargetMode="External"/><Relationship Id="rId11" Type="http://schemas.openxmlformats.org/officeDocument/2006/relationships/hyperlink" Target="https://uniform.onward-cd.co.jp/case/qracian/" TargetMode="External"/><Relationship Id="rId24" Type="http://schemas.openxmlformats.org/officeDocument/2006/relationships/hyperlink" Target="https://uniform.onward-cd.co.jp/case/tohocinemas" TargetMode="External"/><Relationship Id="rId32" Type="http://schemas.openxmlformats.org/officeDocument/2006/relationships/hyperlink" Target="https://uniform.onward-cd.co.jp/column/anniversary_event_idea/" TargetMode="External"/><Relationship Id="rId37" Type="http://schemas.openxmlformats.org/officeDocument/2006/relationships/hyperlink" Target="https://uniform.onward-cd.co.jp/column/uniform_color_design/" TargetMode="External"/><Relationship Id="rId40" Type="http://schemas.openxmlformats.org/officeDocument/2006/relationships/hyperlink" Target="https://uniform.onward-cd.co.jp/column/ecovadis_acquisition/" TargetMode="External"/><Relationship Id="rId45" Type="http://schemas.openxmlformats.org/officeDocument/2006/relationships/hyperlink" Target="https://smart2.onward-cd.co.jp/uniform_introduction_guide" TargetMode="External"/><Relationship Id="rId5" Type="http://schemas.openxmlformats.org/officeDocument/2006/relationships/hyperlink" Target="https://uniform.onward-cd.co.jp/case/nomura-pt" TargetMode="External"/><Relationship Id="rId15" Type="http://schemas.openxmlformats.org/officeDocument/2006/relationships/hyperlink" Target="https://uniform.onward-cd.co.jp/case/cbon/" TargetMode="External"/><Relationship Id="rId23" Type="http://schemas.openxmlformats.org/officeDocument/2006/relationships/hyperlink" Target="https://uniform.onward-cd.co.jp/case/lupicia/" TargetMode="External"/><Relationship Id="rId28" Type="http://schemas.openxmlformats.org/officeDocument/2006/relationships/hyperlink" Target="https://uniform.onward-cd.co.jp/column/workuniform_flow" TargetMode="External"/><Relationship Id="rId36" Type="http://schemas.openxmlformats.org/officeDocument/2006/relationships/hyperlink" Target="https://uniform.onward-cd.co.jp/column/uniform_selection_point/" TargetMode="External"/><Relationship Id="rId10" Type="http://schemas.openxmlformats.org/officeDocument/2006/relationships/hyperlink" Target="https://uniform.onward-cd.co.jp/case/lifecorp/" TargetMode="External"/><Relationship Id="rId19" Type="http://schemas.openxmlformats.org/officeDocument/2006/relationships/hyperlink" Target="https://uniform.onward-cd.co.jp/case/kokuyo/" TargetMode="External"/><Relationship Id="rId31" Type="http://schemas.openxmlformats.org/officeDocument/2006/relationships/hyperlink" Target="https://uniform.onward-cd.co.jp/column/stylish_uniform/" TargetMode="External"/><Relationship Id="rId44" Type="http://schemas.openxmlformats.org/officeDocument/2006/relationships/hyperlink" Target="https://uniform.onward-cd.co.jp/column/heat-measures/" TargetMode="External"/><Relationship Id="rId4" Type="http://schemas.openxmlformats.org/officeDocument/2006/relationships/hyperlink" Target="https://uniform.onward-cd.co.jp/case/totetsu/" TargetMode="External"/><Relationship Id="rId9" Type="http://schemas.openxmlformats.org/officeDocument/2006/relationships/hyperlink" Target="https://uniform.onward-cd.co.jp/case/mebs/" TargetMode="External"/><Relationship Id="rId14" Type="http://schemas.openxmlformats.org/officeDocument/2006/relationships/hyperlink" Target="https://uniform.onward-cd.co.jp/case/takano/" TargetMode="External"/><Relationship Id="rId22" Type="http://schemas.openxmlformats.org/officeDocument/2006/relationships/hyperlink" Target="https://uniform.onward-cd.co.jp/case/taisei/" TargetMode="External"/><Relationship Id="rId27" Type="http://schemas.openxmlformats.org/officeDocument/2006/relationships/hyperlink" Target="https://uniform.onward-cd.co.jp/column/original_uniform_effect" TargetMode="External"/><Relationship Id="rId30" Type="http://schemas.openxmlformats.org/officeDocument/2006/relationships/hyperlink" Target="https://uniform.onward-cd.co.jp/column/cool_work_clothes/" TargetMode="External"/><Relationship Id="rId35" Type="http://schemas.openxmlformats.org/officeDocument/2006/relationships/hyperlink" Target="https://uniform.onward-cd.co.jp/column/improving_corporate_image/" TargetMode="External"/><Relationship Id="rId43" Type="http://schemas.openxmlformats.org/officeDocument/2006/relationships/hyperlink" Target="https://uniform.onward-cd.co.jp/column/women-work-clothes/" TargetMode="External"/><Relationship Id="rId48" Type="http://schemas.openxmlformats.org/officeDocument/2006/relationships/hyperlink" Target="https://smart2.onward-cd.co.jp/contact_c" TargetMode="External"/><Relationship Id="rId8" Type="http://schemas.openxmlformats.org/officeDocument/2006/relationships/hyperlink" Target="https://uniform.onward-cd.co.jp/case/jr-plus/" TargetMode="External"/><Relationship Id="rId3" Type="http://schemas.openxmlformats.org/officeDocument/2006/relationships/hyperlink" Target="https://uniform.onward-cd.co.jp/case/csp/" TargetMode="External"/><Relationship Id="rId12" Type="http://schemas.openxmlformats.org/officeDocument/2006/relationships/hyperlink" Target="https://uniform.onward-cd.co.jp/case/studio-alice/" TargetMode="External"/><Relationship Id="rId17" Type="http://schemas.openxmlformats.org/officeDocument/2006/relationships/hyperlink" Target="https://uniform.onward-cd.co.jp/case/kanden-fa/" TargetMode="External"/><Relationship Id="rId25" Type="http://schemas.openxmlformats.org/officeDocument/2006/relationships/hyperlink" Target="https://uniform.onward-cd.co.jp/case/fujitec/" TargetMode="External"/><Relationship Id="rId33" Type="http://schemas.openxmlformats.org/officeDocument/2006/relationships/hyperlink" Target="https://uniform.onward-cd.co.jp/column/outer_branding/" TargetMode="External"/><Relationship Id="rId38" Type="http://schemas.openxmlformats.org/officeDocument/2006/relationships/hyperlink" Target="https://uniform.onward-cd.co.jp/column/comfortable_uniform/" TargetMode="External"/><Relationship Id="rId46" Type="http://schemas.openxmlformats.org/officeDocument/2006/relationships/hyperlink" Target="https://smart2.onward-cd.co.jp/uniform_pre-preparation_checksheet" TargetMode="External"/><Relationship Id="rId20" Type="http://schemas.openxmlformats.org/officeDocument/2006/relationships/hyperlink" Target="https://uniform.onward-cd.co.jp/case/renaissance/" TargetMode="External"/><Relationship Id="rId41" Type="http://schemas.openxmlformats.org/officeDocument/2006/relationships/hyperlink" Target="https://uniform.onward-cd.co.jp/column/uniform-renewal-recruitment-cas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24847-EA31-4044-AEFC-8180AB3FCFB8}">
  <dimension ref="A1:N50"/>
  <sheetViews>
    <sheetView topLeftCell="A29" workbookViewId="0">
      <selection activeCell="K43" sqref="K43"/>
    </sheetView>
  </sheetViews>
  <sheetFormatPr defaultRowHeight="18"/>
  <cols>
    <col min="1" max="11" width="14.08203125" customWidth="1"/>
  </cols>
  <sheetData>
    <row r="1" spans="1:11" ht="26.5" customHeight="1">
      <c r="A1" s="6" t="s">
        <v>0</v>
      </c>
      <c r="B1" s="16" t="s">
        <v>1</v>
      </c>
      <c r="D1" s="16"/>
      <c r="E1" s="6" t="s">
        <v>2</v>
      </c>
      <c r="F1" s="16"/>
      <c r="G1" s="16"/>
      <c r="H1" s="16"/>
      <c r="I1" s="16"/>
      <c r="J1" s="16"/>
      <c r="K1" s="16"/>
    </row>
    <row r="2" spans="1:11" ht="26.25" customHeight="1">
      <c r="A2" s="16"/>
      <c r="B2" s="16"/>
      <c r="C2" s="16"/>
      <c r="D2" s="16"/>
      <c r="E2" s="16"/>
      <c r="F2" s="16"/>
      <c r="G2" s="16"/>
      <c r="H2" s="16"/>
      <c r="I2" s="16"/>
      <c r="J2" s="16"/>
      <c r="K2" s="16"/>
    </row>
    <row r="3" spans="1:11" ht="54.5" thickBot="1">
      <c r="A3" s="17"/>
      <c r="B3" s="12" t="s">
        <v>3</v>
      </c>
      <c r="C3" s="12" t="s">
        <v>4</v>
      </c>
      <c r="D3" s="18" t="s">
        <v>5</v>
      </c>
      <c r="E3" s="12" t="s">
        <v>6</v>
      </c>
      <c r="F3" s="18" t="s">
        <v>7</v>
      </c>
      <c r="G3" s="13" t="s">
        <v>8</v>
      </c>
      <c r="H3" s="18" t="s">
        <v>9</v>
      </c>
      <c r="I3" s="18" t="s">
        <v>10</v>
      </c>
      <c r="J3" s="12" t="s">
        <v>11</v>
      </c>
      <c r="K3" s="18" t="s">
        <v>12</v>
      </c>
    </row>
    <row r="4" spans="1:11" ht="39" customHeight="1" thickTop="1">
      <c r="A4" s="19" t="s">
        <v>13</v>
      </c>
      <c r="B4" s="20">
        <v>35135</v>
      </c>
      <c r="C4" s="21">
        <f>D4/B4</f>
        <v>7.5707983492244203E-3</v>
      </c>
      <c r="D4" s="22">
        <v>266</v>
      </c>
      <c r="E4" s="23">
        <f>F4/D4</f>
        <v>0.19924812030075187</v>
      </c>
      <c r="F4" s="22">
        <v>53</v>
      </c>
      <c r="G4" s="23">
        <f>H4/F4</f>
        <v>0.84905660377358494</v>
      </c>
      <c r="H4" s="22">
        <v>45</v>
      </c>
      <c r="I4" s="24">
        <f>H4/D4</f>
        <v>0.16917293233082706</v>
      </c>
      <c r="J4" s="23">
        <f>K4/H4</f>
        <v>0.13333333333333333</v>
      </c>
      <c r="K4" s="22">
        <v>6</v>
      </c>
    </row>
    <row r="5" spans="1:11" ht="39" customHeight="1">
      <c r="A5" s="19" t="s">
        <v>14</v>
      </c>
      <c r="B5" s="20">
        <v>23896</v>
      </c>
      <c r="C5" s="25">
        <f t="shared" ref="C5:C7" si="0">D5/B5</f>
        <v>1.6320723133578842E-3</v>
      </c>
      <c r="D5" s="22">
        <v>39</v>
      </c>
      <c r="E5" s="23">
        <f t="shared" ref="E5:E7" si="1">F5/D5</f>
        <v>0.17948717948717949</v>
      </c>
      <c r="F5" s="22">
        <v>7</v>
      </c>
      <c r="G5" s="23">
        <f>H5/F5</f>
        <v>1</v>
      </c>
      <c r="H5" s="22">
        <v>7</v>
      </c>
      <c r="I5" s="24">
        <f>H5/D5</f>
        <v>0.17948717948717949</v>
      </c>
      <c r="J5" s="23">
        <f t="shared" ref="J5:J7" si="2">K5/H5</f>
        <v>0.42857142857142855</v>
      </c>
      <c r="K5" s="22">
        <v>3</v>
      </c>
    </row>
    <row r="6" spans="1:11" ht="39" customHeight="1">
      <c r="A6" s="19" t="s">
        <v>15</v>
      </c>
      <c r="B6" s="20">
        <v>35593</v>
      </c>
      <c r="C6" s="21">
        <f t="shared" si="0"/>
        <v>9.6086309105723033E-3</v>
      </c>
      <c r="D6" s="22">
        <v>342</v>
      </c>
      <c r="E6" s="23">
        <f t="shared" si="1"/>
        <v>0.20175438596491227</v>
      </c>
      <c r="F6" s="22">
        <v>69</v>
      </c>
      <c r="G6" s="23">
        <f>H6/F6</f>
        <v>0.21739130434782608</v>
      </c>
      <c r="H6" s="22">
        <v>15</v>
      </c>
      <c r="I6" s="24">
        <f t="shared" ref="I6:I8" si="3">H6/D6</f>
        <v>4.3859649122807015E-2</v>
      </c>
      <c r="J6" s="23">
        <f t="shared" si="2"/>
        <v>0.2</v>
      </c>
      <c r="K6" s="22">
        <v>3</v>
      </c>
    </row>
    <row r="7" spans="1:11" ht="39" customHeight="1" thickBot="1">
      <c r="A7" s="26" t="s">
        <v>16</v>
      </c>
      <c r="B7" s="27">
        <v>17505</v>
      </c>
      <c r="C7" s="28">
        <f t="shared" si="0"/>
        <v>1.0968294772922021E-2</v>
      </c>
      <c r="D7" s="29">
        <v>192</v>
      </c>
      <c r="E7" s="30">
        <f t="shared" si="1"/>
        <v>0.16666666666666666</v>
      </c>
      <c r="F7" s="29">
        <v>32</v>
      </c>
      <c r="G7" s="30">
        <f t="shared" ref="G7" si="4">H7/F7</f>
        <v>0.21875</v>
      </c>
      <c r="H7" s="29">
        <v>7</v>
      </c>
      <c r="I7" s="31">
        <f t="shared" si="3"/>
        <v>3.6458333333333336E-2</v>
      </c>
      <c r="J7" s="30">
        <f t="shared" si="2"/>
        <v>0</v>
      </c>
      <c r="K7" s="29">
        <v>0</v>
      </c>
    </row>
    <row r="8" spans="1:11" ht="39" customHeight="1" thickTop="1">
      <c r="A8" s="19" t="s">
        <v>17</v>
      </c>
      <c r="B8" s="20">
        <f>SUM(B4:B7)</f>
        <v>112129</v>
      </c>
      <c r="C8" s="21">
        <f>D8/B8</f>
        <v>7.4824532458150879E-3</v>
      </c>
      <c r="D8" s="22">
        <f>SUM(D4:D7)</f>
        <v>839</v>
      </c>
      <c r="E8" s="23">
        <f>F8/D8</f>
        <v>0.19189511323003575</v>
      </c>
      <c r="F8" s="22">
        <f>SUM(F4:F7)</f>
        <v>161</v>
      </c>
      <c r="G8" s="23">
        <f>H8/F8</f>
        <v>0.45962732919254656</v>
      </c>
      <c r="H8" s="22">
        <f>SUM(H4:H7)</f>
        <v>74</v>
      </c>
      <c r="I8" s="24">
        <f t="shared" si="3"/>
        <v>8.8200238379022647E-2</v>
      </c>
      <c r="J8" s="21">
        <f>K8/H8</f>
        <v>0.16216216216216217</v>
      </c>
      <c r="K8" s="22">
        <f>SUM(K4:K7)</f>
        <v>12</v>
      </c>
    </row>
    <row r="9" spans="1:11" ht="31.15" customHeight="1">
      <c r="A9" s="14"/>
      <c r="B9" s="15"/>
      <c r="C9" s="15"/>
      <c r="D9" s="15"/>
      <c r="E9" s="15"/>
      <c r="F9" s="15"/>
      <c r="G9" s="15"/>
      <c r="H9" s="15"/>
      <c r="I9" s="15"/>
      <c r="J9" s="15"/>
      <c r="K9" s="15"/>
    </row>
    <row r="10" spans="1:11" ht="72">
      <c r="A10" s="9" t="s">
        <v>18</v>
      </c>
      <c r="B10" s="11" t="s">
        <v>19</v>
      </c>
      <c r="C10" s="11" t="s">
        <v>20</v>
      </c>
      <c r="D10" s="11"/>
      <c r="E10" s="11" t="s">
        <v>21</v>
      </c>
      <c r="F10" s="11"/>
      <c r="G10" s="11" t="s">
        <v>22</v>
      </c>
      <c r="H10" s="11"/>
      <c r="I10" s="11"/>
      <c r="J10" s="11" t="s">
        <v>23</v>
      </c>
      <c r="K10" s="10"/>
    </row>
    <row r="11" spans="1:11" ht="36">
      <c r="B11" s="11" t="s">
        <v>24</v>
      </c>
      <c r="C11" s="11" t="s">
        <v>25</v>
      </c>
      <c r="D11" s="11"/>
      <c r="E11" s="11" t="s">
        <v>26</v>
      </c>
      <c r="F11" s="11"/>
      <c r="G11" s="11" t="s">
        <v>27</v>
      </c>
      <c r="H11" s="11"/>
      <c r="I11" s="11"/>
      <c r="J11" s="11" t="s">
        <v>28</v>
      </c>
      <c r="K11" s="10"/>
    </row>
    <row r="12" spans="1:11" ht="36">
      <c r="B12" s="11" t="s">
        <v>29</v>
      </c>
      <c r="C12" s="11" t="s">
        <v>30</v>
      </c>
      <c r="D12" s="11"/>
      <c r="E12" s="11" t="s">
        <v>31</v>
      </c>
      <c r="F12" s="11"/>
      <c r="G12" s="11" t="s">
        <v>32</v>
      </c>
      <c r="H12" s="11"/>
      <c r="I12" s="11"/>
      <c r="J12" s="11" t="s">
        <v>33</v>
      </c>
      <c r="K12" s="10"/>
    </row>
    <row r="13" spans="1:11" ht="72">
      <c r="B13" s="11" t="s">
        <v>34</v>
      </c>
      <c r="C13" s="11" t="s">
        <v>35</v>
      </c>
      <c r="D13" s="11"/>
      <c r="E13" s="11" t="s">
        <v>36</v>
      </c>
      <c r="F13" s="11"/>
      <c r="G13" s="11" t="s">
        <v>37</v>
      </c>
      <c r="H13" s="11"/>
      <c r="I13" s="11"/>
      <c r="J13" s="11" t="s">
        <v>38</v>
      </c>
      <c r="K13" s="10"/>
    </row>
    <row r="14" spans="1:11" ht="36">
      <c r="B14" s="11" t="s">
        <v>39</v>
      </c>
      <c r="C14" s="11" t="s">
        <v>40</v>
      </c>
      <c r="D14" s="11"/>
      <c r="E14" s="11" t="s">
        <v>41</v>
      </c>
      <c r="F14" s="11"/>
      <c r="G14" s="11" t="s">
        <v>42</v>
      </c>
      <c r="H14" s="11"/>
      <c r="I14" s="11"/>
      <c r="J14" s="11" t="s">
        <v>43</v>
      </c>
      <c r="K14" s="10"/>
    </row>
    <row r="15" spans="1:11">
      <c r="B15" s="11" t="s">
        <v>44</v>
      </c>
      <c r="C15" s="11" t="s">
        <v>45</v>
      </c>
      <c r="D15" s="11"/>
      <c r="E15" s="11"/>
      <c r="F15" s="11"/>
      <c r="G15" s="11"/>
      <c r="H15" s="11"/>
      <c r="I15" s="11"/>
      <c r="J15" s="11" t="s">
        <v>46</v>
      </c>
      <c r="K15" s="10"/>
    </row>
    <row r="16" spans="1:11" ht="36">
      <c r="B16" s="11" t="s">
        <v>47</v>
      </c>
      <c r="C16" s="11"/>
      <c r="D16" s="11"/>
      <c r="E16" s="11"/>
      <c r="F16" s="11"/>
      <c r="G16" s="11"/>
      <c r="H16" s="11"/>
      <c r="I16" s="11"/>
      <c r="J16" s="11" t="s">
        <v>48</v>
      </c>
      <c r="K16" s="10"/>
    </row>
    <row r="17" spans="1:11">
      <c r="B17" s="10"/>
      <c r="C17" s="10"/>
      <c r="D17" s="10"/>
      <c r="E17" s="10"/>
      <c r="F17" s="10"/>
      <c r="G17" s="10"/>
      <c r="H17" s="10"/>
      <c r="I17" s="10"/>
      <c r="J17" s="10"/>
      <c r="K17" s="10"/>
    </row>
    <row r="18" spans="1:11">
      <c r="B18" s="10"/>
      <c r="C18" s="10"/>
      <c r="D18" s="10"/>
      <c r="E18" s="10"/>
      <c r="F18" s="10"/>
      <c r="G18" s="10"/>
      <c r="H18" s="10"/>
      <c r="I18" s="10"/>
      <c r="J18" s="10"/>
      <c r="K18" s="10"/>
    </row>
    <row r="19" spans="1:11">
      <c r="B19" s="10"/>
      <c r="C19" s="10"/>
      <c r="D19" s="10"/>
      <c r="E19" s="10"/>
      <c r="F19" s="10"/>
      <c r="G19" s="10"/>
      <c r="H19" s="10"/>
      <c r="I19" s="10"/>
      <c r="J19" s="10"/>
      <c r="K19" s="10"/>
    </row>
    <row r="20" spans="1:11">
      <c r="B20" s="10"/>
      <c r="C20" s="10"/>
      <c r="D20" s="10"/>
      <c r="E20" s="10"/>
      <c r="F20" s="10"/>
      <c r="G20" s="10"/>
      <c r="H20" s="10"/>
      <c r="I20" s="10"/>
      <c r="J20" s="10"/>
      <c r="K20" s="10"/>
    </row>
    <row r="22" spans="1:11">
      <c r="D22" s="35" t="s">
        <v>49</v>
      </c>
      <c r="I22" s="35" t="s">
        <v>50</v>
      </c>
    </row>
    <row r="23" spans="1:11">
      <c r="A23" s="5"/>
      <c r="B23" s="67" t="s">
        <v>51</v>
      </c>
      <c r="C23" s="48" t="s">
        <v>13</v>
      </c>
      <c r="D23" s="48" t="s">
        <v>14</v>
      </c>
      <c r="E23" s="48" t="s">
        <v>15</v>
      </c>
      <c r="F23" s="55" t="s">
        <v>16</v>
      </c>
      <c r="G23" s="61" t="s">
        <v>51</v>
      </c>
      <c r="H23" s="48" t="s">
        <v>13</v>
      </c>
      <c r="I23" s="48" t="s">
        <v>14</v>
      </c>
      <c r="J23" s="48" t="s">
        <v>15</v>
      </c>
      <c r="K23" s="48" t="s">
        <v>16</v>
      </c>
    </row>
    <row r="24" spans="1:11">
      <c r="A24" s="2" t="s">
        <v>52</v>
      </c>
      <c r="B24" s="68">
        <v>2025</v>
      </c>
      <c r="C24" s="35">
        <v>2025</v>
      </c>
      <c r="D24" s="35">
        <v>2025</v>
      </c>
      <c r="E24" s="35">
        <v>2025</v>
      </c>
      <c r="F24" s="54">
        <v>2025</v>
      </c>
      <c r="G24" s="62">
        <v>2026</v>
      </c>
      <c r="H24" s="35">
        <v>2026</v>
      </c>
      <c r="I24" s="35">
        <v>2026</v>
      </c>
      <c r="J24" s="35">
        <v>2026</v>
      </c>
      <c r="K24" s="35">
        <v>2026</v>
      </c>
    </row>
    <row r="25" spans="1:11">
      <c r="A25" s="40" t="s">
        <v>53</v>
      </c>
      <c r="B25" s="69"/>
      <c r="C25" s="41"/>
      <c r="D25" s="41"/>
      <c r="E25" s="41"/>
      <c r="F25" s="50"/>
      <c r="G25" s="63"/>
      <c r="H25" s="41"/>
      <c r="I25" s="41"/>
      <c r="J25" s="41"/>
      <c r="K25" s="41"/>
    </row>
    <row r="26" spans="1:11">
      <c r="A26" s="45" t="s">
        <v>54</v>
      </c>
      <c r="B26" s="70">
        <v>0.1</v>
      </c>
      <c r="C26" s="42">
        <v>0.1</v>
      </c>
      <c r="D26" s="42">
        <v>0.1</v>
      </c>
      <c r="E26" s="42">
        <v>0.1</v>
      </c>
      <c r="F26" s="51">
        <v>0.1</v>
      </c>
      <c r="G26" s="64">
        <v>0.1</v>
      </c>
      <c r="H26" s="42">
        <v>0.1</v>
      </c>
      <c r="I26" s="42">
        <v>0.1</v>
      </c>
      <c r="J26" s="42">
        <v>0.1</v>
      </c>
      <c r="K26" s="42">
        <v>0.1</v>
      </c>
    </row>
    <row r="27" spans="1:11">
      <c r="A27" s="44" t="s">
        <v>55</v>
      </c>
      <c r="B27" s="69"/>
      <c r="C27" s="41"/>
      <c r="D27" s="41"/>
      <c r="E27" s="41"/>
      <c r="F27" s="50"/>
      <c r="G27" s="63"/>
      <c r="H27" s="41"/>
      <c r="I27" s="41"/>
      <c r="J27" s="41"/>
      <c r="K27" s="41"/>
    </row>
    <row r="28" spans="1:11">
      <c r="A28" s="46" t="s">
        <v>56</v>
      </c>
      <c r="B28" s="71"/>
      <c r="C28" s="47"/>
      <c r="D28" s="47"/>
      <c r="E28" s="47"/>
      <c r="F28" s="52"/>
      <c r="G28" s="65"/>
      <c r="H28" s="47"/>
      <c r="I28" s="47"/>
      <c r="J28" s="47"/>
      <c r="K28" s="47"/>
    </row>
    <row r="29" spans="1:11">
      <c r="A29" t="s">
        <v>57</v>
      </c>
      <c r="B29" s="72">
        <v>12</v>
      </c>
      <c r="C29">
        <v>6</v>
      </c>
      <c r="D29">
        <v>3</v>
      </c>
      <c r="E29">
        <v>3</v>
      </c>
      <c r="F29" s="49">
        <v>0</v>
      </c>
      <c r="G29" s="66">
        <f>SUM(H29:K29)</f>
        <v>27</v>
      </c>
      <c r="H29" s="56">
        <v>8</v>
      </c>
      <c r="I29" s="56">
        <v>5</v>
      </c>
      <c r="J29" s="56">
        <v>10</v>
      </c>
      <c r="K29" s="56">
        <v>4</v>
      </c>
    </row>
    <row r="30" spans="1:11">
      <c r="A30" t="s">
        <v>58</v>
      </c>
      <c r="B30" s="73">
        <f>B29/B31</f>
        <v>0.16216216216216217</v>
      </c>
      <c r="C30" s="43">
        <f t="shared" ref="C30:F30" si="5">C29/C31</f>
        <v>0.13333333333333333</v>
      </c>
      <c r="D30" s="43">
        <f t="shared" si="5"/>
        <v>0.42857142857142855</v>
      </c>
      <c r="E30" s="43">
        <f t="shared" si="5"/>
        <v>0.2</v>
      </c>
      <c r="F30" s="53">
        <f t="shared" si="5"/>
        <v>0</v>
      </c>
      <c r="G30" s="110">
        <f>AVERAGE(H30:K30)</f>
        <v>0.28333333333333333</v>
      </c>
      <c r="H30" s="57">
        <f>H29/H31</f>
        <v>0.13333333333333333</v>
      </c>
      <c r="I30" s="57">
        <f t="shared" ref="I30" si="6">I29/I31</f>
        <v>0.33333333333333331</v>
      </c>
      <c r="J30" s="57">
        <f t="shared" ref="J30" si="7">J29/J31</f>
        <v>0.33333333333333331</v>
      </c>
      <c r="K30" s="57">
        <f t="shared" ref="K30" si="8">K29/K31</f>
        <v>0.33333333333333331</v>
      </c>
    </row>
    <row r="31" spans="1:11">
      <c r="A31" t="s">
        <v>59</v>
      </c>
      <c r="B31" s="72">
        <v>74</v>
      </c>
      <c r="C31">
        <v>45</v>
      </c>
      <c r="D31">
        <v>7</v>
      </c>
      <c r="E31">
        <v>15</v>
      </c>
      <c r="F31" s="49">
        <v>7</v>
      </c>
      <c r="G31" s="66">
        <f>SUM(H31:K31)</f>
        <v>117</v>
      </c>
      <c r="H31" s="56">
        <v>60</v>
      </c>
      <c r="I31" s="56">
        <v>15</v>
      </c>
      <c r="J31" s="56">
        <v>30</v>
      </c>
      <c r="K31" s="56">
        <v>12</v>
      </c>
    </row>
    <row r="32" spans="1:11">
      <c r="A32" t="s">
        <v>60</v>
      </c>
      <c r="B32" s="73">
        <f>B31/B33</f>
        <v>0.45962732919254656</v>
      </c>
      <c r="C32" s="43">
        <f t="shared" ref="C32:F32" si="9">C31/C33</f>
        <v>0.84905660377358494</v>
      </c>
      <c r="D32" s="43">
        <f t="shared" si="9"/>
        <v>1</v>
      </c>
      <c r="E32" s="43">
        <f t="shared" si="9"/>
        <v>0.21739130434782608</v>
      </c>
      <c r="F32" s="53">
        <f t="shared" si="9"/>
        <v>0.21875</v>
      </c>
      <c r="G32" s="110">
        <f>AVERAGE(H32:K32)</f>
        <v>0.57129947703035278</v>
      </c>
      <c r="H32" s="58">
        <v>0.84905660377358494</v>
      </c>
      <c r="I32" s="58">
        <v>1</v>
      </c>
      <c r="J32" s="58">
        <v>0.21739130434782608</v>
      </c>
      <c r="K32" s="58">
        <v>0.21875</v>
      </c>
    </row>
    <row r="33" spans="1:14">
      <c r="A33" t="s">
        <v>61</v>
      </c>
      <c r="B33" s="72">
        <v>161</v>
      </c>
      <c r="C33">
        <v>53</v>
      </c>
      <c r="D33">
        <v>7</v>
      </c>
      <c r="E33">
        <v>69</v>
      </c>
      <c r="F33" s="49">
        <v>32</v>
      </c>
      <c r="G33" s="111">
        <f>SUM(H33:K33)</f>
        <v>278.52380952380952</v>
      </c>
      <c r="H33" s="59">
        <f>H31/H32</f>
        <v>70.666666666666657</v>
      </c>
      <c r="I33" s="59">
        <f t="shared" ref="I33:K33" si="10">I31/I32</f>
        <v>15</v>
      </c>
      <c r="J33" s="59">
        <f t="shared" si="10"/>
        <v>138</v>
      </c>
      <c r="K33" s="59">
        <f t="shared" si="10"/>
        <v>54.857142857142854</v>
      </c>
    </row>
    <row r="34" spans="1:14">
      <c r="A34" t="s">
        <v>62</v>
      </c>
      <c r="B34" s="73">
        <f>B33/B35</f>
        <v>0.19189511323003575</v>
      </c>
      <c r="C34" s="43">
        <f t="shared" ref="C34:F34" si="11">C33/C35</f>
        <v>0.19924812030075187</v>
      </c>
      <c r="D34" s="43">
        <f t="shared" si="11"/>
        <v>0.17948717948717949</v>
      </c>
      <c r="E34" s="43">
        <f t="shared" si="11"/>
        <v>0.20175438596491227</v>
      </c>
      <c r="F34" s="53">
        <f t="shared" si="11"/>
        <v>0.16666666666666666</v>
      </c>
      <c r="G34" s="110">
        <f>AVERAGE(H34:K34)</f>
        <v>0.23881642512077295</v>
      </c>
      <c r="H34" s="60">
        <f>H33/H35</f>
        <v>0.23555555555555552</v>
      </c>
      <c r="I34" s="60">
        <f t="shared" ref="I34:K34" si="12">I33/I35</f>
        <v>0.21428571428571427</v>
      </c>
      <c r="J34" s="60">
        <f t="shared" si="12"/>
        <v>0.30666666666666664</v>
      </c>
      <c r="K34" s="60">
        <f t="shared" si="12"/>
        <v>0.19875776397515527</v>
      </c>
    </row>
    <row r="35" spans="1:14">
      <c r="A35" t="s">
        <v>63</v>
      </c>
      <c r="B35" s="74">
        <v>839</v>
      </c>
      <c r="C35">
        <v>266</v>
      </c>
      <c r="D35">
        <v>39</v>
      </c>
      <c r="E35">
        <v>342</v>
      </c>
      <c r="F35" s="49">
        <v>192</v>
      </c>
      <c r="G35" s="112">
        <f>SUM(H35:K35)</f>
        <v>1096</v>
      </c>
      <c r="H35" s="56">
        <v>300</v>
      </c>
      <c r="I35" s="56">
        <v>70</v>
      </c>
      <c r="J35" s="56">
        <v>450</v>
      </c>
      <c r="K35" s="56">
        <v>276</v>
      </c>
    </row>
    <row r="36" spans="1:14">
      <c r="A36" t="s">
        <v>64</v>
      </c>
      <c r="B36" s="73">
        <f>B35/B37</f>
        <v>7.4824532458150879E-3</v>
      </c>
      <c r="C36" s="43">
        <f t="shared" ref="C36:F36" si="13">C35/C37</f>
        <v>7.5707983492244203E-3</v>
      </c>
      <c r="D36" s="43">
        <f t="shared" si="13"/>
        <v>1.6320723133578842E-3</v>
      </c>
      <c r="E36" s="43">
        <f t="shared" si="13"/>
        <v>9.6086309105723033E-3</v>
      </c>
      <c r="F36" s="53">
        <f t="shared" si="13"/>
        <v>1.0968294772922021E-2</v>
      </c>
      <c r="G36" s="110">
        <f>AVERAGE(H36:K36)</f>
        <v>7.4449490865191575E-3</v>
      </c>
      <c r="H36" s="58">
        <v>7.5707983492244203E-3</v>
      </c>
      <c r="I36" s="58">
        <v>1.6320723133578842E-3</v>
      </c>
      <c r="J36" s="58">
        <v>9.6086309105723033E-3</v>
      </c>
      <c r="K36" s="58">
        <v>1.0968294772922021E-2</v>
      </c>
      <c r="N36" t="s">
        <v>65</v>
      </c>
    </row>
    <row r="37" spans="1:14">
      <c r="A37" s="80" t="s">
        <v>66</v>
      </c>
      <c r="B37" s="81">
        <v>112129</v>
      </c>
      <c r="C37" s="82">
        <v>35135</v>
      </c>
      <c r="D37" s="82">
        <v>23896</v>
      </c>
      <c r="E37" s="82">
        <v>35593</v>
      </c>
      <c r="F37" s="82">
        <v>17505</v>
      </c>
      <c r="G37" s="113">
        <f>SUM(H37:K37)</f>
        <v>154512.52849672257</v>
      </c>
      <c r="H37" s="231">
        <f>H35/H36</f>
        <v>39625.939849624061</v>
      </c>
      <c r="I37" s="231">
        <f t="shared" ref="I37:K37" si="14">I35/I36</f>
        <v>42890.256410256414</v>
      </c>
      <c r="J37" s="231">
        <f t="shared" si="14"/>
        <v>46832.894736842107</v>
      </c>
      <c r="K37" s="232">
        <f t="shared" si="14"/>
        <v>25163.437500000004</v>
      </c>
      <c r="N37" s="83" t="e">
        <f t="shared" ref="N37" si="15">N35/N36</f>
        <v>#VALUE!</v>
      </c>
    </row>
    <row r="38" spans="1:14">
      <c r="A38" t="s">
        <v>67</v>
      </c>
      <c r="C38" s="75">
        <v>16558</v>
      </c>
      <c r="D38" s="75">
        <v>14913</v>
      </c>
      <c r="E38" s="75">
        <v>20571</v>
      </c>
      <c r="F38" s="75">
        <v>3123</v>
      </c>
      <c r="H38" s="233">
        <f>(H$37-SUM(H$40,H$41,H$44))*C38/SUM(C$38,C$39,C$42,C$43)</f>
        <v>18717.013530417073</v>
      </c>
      <c r="I38" s="233">
        <f>(I$37-SUM(I$39,I$41,I$44))*D38/SUM(D$38,D$40,D$42,D$43)</f>
        <v>28542.521038413641</v>
      </c>
      <c r="J38" s="233">
        <f>(J$37-SUM(J$40,J$41,J$44))*E38/SUM(E$38,E$39,E$42,E$43)</f>
        <v>28944.682677946454</v>
      </c>
      <c r="K38" s="233">
        <f>(K$37-SUM(K$39,K$41,K$44))*F38/SUM(F$38,F$40,F$42,F$43)</f>
        <v>5649.7099535809039</v>
      </c>
      <c r="N38" s="79" t="e">
        <f>N36*(I38/I37)</f>
        <v>#VALUE!</v>
      </c>
    </row>
    <row r="39" spans="1:14">
      <c r="A39" t="s">
        <v>68</v>
      </c>
      <c r="C39" s="75">
        <v>7612</v>
      </c>
      <c r="D39" s="32">
        <v>0</v>
      </c>
      <c r="E39" s="75">
        <v>5287</v>
      </c>
      <c r="F39" s="32">
        <v>1155</v>
      </c>
      <c r="H39" s="233">
        <f>(H$37-SUM(H$40,H$41,H$44))*C39/SUM(C$38,C$39,C$42,C$43)</f>
        <v>8604.535994294889</v>
      </c>
      <c r="I39" s="213">
        <v>0</v>
      </c>
      <c r="J39" s="233">
        <f>(J$37-SUM(J$40,J$41,J$44))*E39/SUM(E$38,E$39,E$42,E$43)</f>
        <v>7439.1394350446217</v>
      </c>
      <c r="K39" s="195">
        <v>1155</v>
      </c>
      <c r="N39" s="195">
        <v>1155</v>
      </c>
    </row>
    <row r="40" spans="1:14">
      <c r="A40" t="s">
        <v>69</v>
      </c>
      <c r="C40" s="32">
        <v>0</v>
      </c>
      <c r="D40" s="75">
        <f>2947+494</f>
        <v>3441</v>
      </c>
      <c r="E40" s="32">
        <v>1652</v>
      </c>
      <c r="F40" s="75">
        <f>979+835</f>
        <v>1814</v>
      </c>
      <c r="H40" s="213">
        <v>0</v>
      </c>
      <c r="I40" s="233">
        <f>(I$37-SUM(I$39,I$41,I$44))*D40/SUM(D$38,D$40,D$42,D$43)</f>
        <v>6585.8522693744617</v>
      </c>
      <c r="J40" s="195">
        <v>1652</v>
      </c>
      <c r="K40" s="233">
        <f>(K$37-SUM(K$39,K$41,K$44))*F40/SUM(F$38,F$40,F$42,F$43)</f>
        <v>3281.6438859416453</v>
      </c>
      <c r="N40" s="78" t="e">
        <f>N36*(I41/I37)</f>
        <v>#VALUE!</v>
      </c>
    </row>
    <row r="41" spans="1:14">
      <c r="A41" t="s">
        <v>70</v>
      </c>
      <c r="C41" s="32">
        <v>7528</v>
      </c>
      <c r="D41" s="32">
        <v>4146</v>
      </c>
      <c r="E41" s="32">
        <v>3976</v>
      </c>
      <c r="F41" s="32">
        <v>6469</v>
      </c>
      <c r="H41" s="76">
        <v>7528</v>
      </c>
      <c r="I41" s="76">
        <v>4146</v>
      </c>
      <c r="J41" s="76">
        <v>3976</v>
      </c>
      <c r="K41" s="76">
        <v>6469</v>
      </c>
      <c r="N41" s="76">
        <v>6469</v>
      </c>
    </row>
    <row r="42" spans="1:14">
      <c r="A42" t="s">
        <v>71</v>
      </c>
      <c r="C42" s="75">
        <v>2426</v>
      </c>
      <c r="D42" s="75">
        <v>480</v>
      </c>
      <c r="E42" s="75">
        <v>633</v>
      </c>
      <c r="F42" s="75">
        <v>3379</v>
      </c>
      <c r="H42" s="233">
        <f>(H$37-SUM(H$40,H$41,H$44))*C42/SUM(C$38,C$39,C$42,C$43)</f>
        <v>2742.3284711192064</v>
      </c>
      <c r="I42" s="233">
        <f>(I$37-SUM(I$39,I$41,I$44))*D42/SUM(D$38,D$40,D$42,D$43)</f>
        <v>918.68906983427541</v>
      </c>
      <c r="J42" s="233">
        <f>(J$37-SUM(J$40,J$41,J$44))*E42/SUM(E$38,E$39,E$42,E$43)</f>
        <v>890.67056220602342</v>
      </c>
      <c r="K42" s="233">
        <f>(K$37-SUM(K$39,K$41,K$44))*F42/SUM(F$38,F$40,F$42,F$43)</f>
        <v>6112.8305901856784</v>
      </c>
      <c r="N42" s="78" t="e">
        <f>N36*(I42/I37)</f>
        <v>#VALUE!</v>
      </c>
    </row>
    <row r="43" spans="1:14">
      <c r="A43" t="s">
        <v>72</v>
      </c>
      <c r="C43" s="75">
        <v>1565</v>
      </c>
      <c r="D43" s="75">
        <f>1735-494</f>
        <v>1241</v>
      </c>
      <c r="E43" s="75">
        <v>1841</v>
      </c>
      <c r="F43" s="75">
        <f>1944-835</f>
        <v>1109</v>
      </c>
      <c r="H43" s="233">
        <f>(H$37-SUM(H$40,H$41,H$44))*C43/SUM(C$38,C$39,C$42,C$43)</f>
        <v>1769.0618537928929</v>
      </c>
      <c r="I43" s="233">
        <f>(I$37-SUM(I$39,I$41,I$44))*D43/SUM(D$38,D$40,D$42,D$43)</f>
        <v>2375.1940326340327</v>
      </c>
      <c r="J43" s="233">
        <f>(J$37-SUM(J$40,J$41,J$44))*E43/SUM(E$38,E$39,E$42,E$43)</f>
        <v>2590.4020616450061</v>
      </c>
      <c r="K43" s="233">
        <f>(K$37-SUM(K$39,K$41,K$44))*F43/SUM(F$38,F$40,F$42,F$43)</f>
        <v>2006.2530702917775</v>
      </c>
      <c r="N43" s="76">
        <v>1944</v>
      </c>
    </row>
    <row r="44" spans="1:14">
      <c r="A44" t="s">
        <v>73</v>
      </c>
      <c r="C44" s="32">
        <v>265</v>
      </c>
      <c r="D44" s="32">
        <v>322</v>
      </c>
      <c r="E44" s="32">
        <v>1340</v>
      </c>
      <c r="F44" s="32">
        <v>489</v>
      </c>
      <c r="H44" s="195">
        <v>265</v>
      </c>
      <c r="I44" s="195">
        <v>322</v>
      </c>
      <c r="J44" s="195">
        <v>1340</v>
      </c>
      <c r="K44" s="195">
        <v>489</v>
      </c>
      <c r="N44" s="195">
        <v>489</v>
      </c>
    </row>
    <row r="45" spans="1:14">
      <c r="H45" s="199"/>
    </row>
    <row r="46" spans="1:14">
      <c r="A46" s="77"/>
      <c r="B46" t="s">
        <v>74</v>
      </c>
      <c r="H46" s="56"/>
      <c r="I46" t="s">
        <v>75</v>
      </c>
    </row>
    <row r="47" spans="1:14">
      <c r="A47" t="s">
        <v>67</v>
      </c>
      <c r="B47" t="s">
        <v>76</v>
      </c>
      <c r="C47" t="s">
        <v>77</v>
      </c>
      <c r="D47" t="s">
        <v>78</v>
      </c>
      <c r="E47" t="s">
        <v>79</v>
      </c>
    </row>
    <row r="48" spans="1:14">
      <c r="A48" t="s">
        <v>68</v>
      </c>
      <c r="B48" t="s">
        <v>80</v>
      </c>
    </row>
    <row r="49" spans="1:4">
      <c r="A49" t="s">
        <v>69</v>
      </c>
      <c r="B49" t="s">
        <v>80</v>
      </c>
    </row>
    <row r="50" spans="1:4">
      <c r="A50" t="s">
        <v>71</v>
      </c>
      <c r="B50" t="s">
        <v>81</v>
      </c>
      <c r="C50" t="s">
        <v>82</v>
      </c>
      <c r="D50" t="s">
        <v>83</v>
      </c>
    </row>
  </sheetData>
  <phoneticPr fontId="1"/>
  <conditionalFormatting sqref="B4:B7">
    <cfRule type="cellIs" dxfId="6" priority="9" operator="lessThan">
      <formula>20000</formula>
    </cfRule>
  </conditionalFormatting>
  <conditionalFormatting sqref="C4:C7">
    <cfRule type="cellIs" dxfId="5" priority="8" operator="lessThan">
      <formula>0.01</formula>
    </cfRule>
  </conditionalFormatting>
  <conditionalFormatting sqref="E4:E7">
    <cfRule type="cellIs" dxfId="4" priority="7" operator="lessThan">
      <formula>0.19</formula>
    </cfRule>
  </conditionalFormatting>
  <conditionalFormatting sqref="G4:G7">
    <cfRule type="cellIs" dxfId="3" priority="6" operator="lessThan">
      <formula>0.6</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AC14A-85D8-40A0-ACE0-E1296F2CE939}">
  <sheetPr>
    <tabColor theme="5" tint="0.39997558519241921"/>
    <pageSetUpPr fitToPage="1"/>
  </sheetPr>
  <dimension ref="A1:AF71"/>
  <sheetViews>
    <sheetView topLeftCell="K6" zoomScale="85" zoomScaleNormal="85" workbookViewId="0">
      <selection activeCell="AD18" sqref="AD18"/>
    </sheetView>
  </sheetViews>
  <sheetFormatPr defaultRowHeight="15.75" customHeight="1"/>
  <cols>
    <col min="3" max="4" width="5.08203125" customWidth="1"/>
    <col min="6" max="7" width="4.33203125" customWidth="1"/>
    <col min="9" max="10" width="4.83203125" customWidth="1"/>
    <col min="12" max="13" width="4.33203125" customWidth="1"/>
    <col min="16" max="17" width="0" hidden="1" customWidth="1"/>
    <col min="19" max="19" width="9" style="214"/>
    <col min="20" max="20" width="9" style="224"/>
    <col min="23" max="23" width="19.75" customWidth="1"/>
    <col min="24" max="24" width="9.25" customWidth="1"/>
    <col min="25" max="25" width="9.5" customWidth="1"/>
  </cols>
  <sheetData>
    <row r="1" spans="1:32" ht="18">
      <c r="A1" s="6" t="s">
        <v>84</v>
      </c>
    </row>
    <row r="2" spans="1:32" ht="18">
      <c r="A2" t="s">
        <v>85</v>
      </c>
      <c r="H2" s="180" t="s">
        <v>86</v>
      </c>
      <c r="I2" s="181"/>
      <c r="J2" s="181"/>
      <c r="K2" s="181"/>
      <c r="L2" s="181"/>
      <c r="M2" s="181"/>
      <c r="N2" s="182"/>
    </row>
    <row r="3" spans="1:32" ht="18">
      <c r="H3" s="183" t="s">
        <v>87</v>
      </c>
      <c r="I3" s="184"/>
      <c r="J3" s="184"/>
      <c r="K3" s="184"/>
      <c r="L3" s="184"/>
      <c r="M3" s="184"/>
      <c r="N3" s="185"/>
    </row>
    <row r="4" spans="1:32" ht="18">
      <c r="H4" s="243"/>
      <c r="I4" t="s">
        <v>88</v>
      </c>
    </row>
    <row r="5" spans="1:32" ht="18">
      <c r="H5" s="226"/>
      <c r="I5" t="s">
        <v>89</v>
      </c>
    </row>
    <row r="6" spans="1:32" ht="18">
      <c r="H6" s="77"/>
      <c r="I6" t="s">
        <v>74</v>
      </c>
    </row>
    <row r="8" spans="1:32" ht="18">
      <c r="B8" s="89" t="s">
        <v>90</v>
      </c>
      <c r="N8" s="35"/>
      <c r="P8" s="108"/>
      <c r="R8" s="223" t="s">
        <v>91</v>
      </c>
      <c r="Z8" s="201" t="s">
        <v>92</v>
      </c>
      <c r="AF8" s="259" t="s">
        <v>93</v>
      </c>
    </row>
    <row r="9" spans="1:32" ht="18">
      <c r="B9" s="90" t="s">
        <v>12</v>
      </c>
      <c r="E9" s="90" t="s">
        <v>94</v>
      </c>
      <c r="F9" s="86"/>
      <c r="H9" s="90" t="s">
        <v>95</v>
      </c>
      <c r="I9" s="86"/>
      <c r="J9" s="87"/>
      <c r="K9" s="90" t="s">
        <v>96</v>
      </c>
      <c r="N9" s="186" t="s">
        <v>97</v>
      </c>
      <c r="P9" s="107">
        <f>SUM(R9,R27,R38,R42,R46,R58)</f>
        <v>0.99331246145818497</v>
      </c>
      <c r="R9" s="242">
        <f>S10/$N$10</f>
        <v>0.47234245046164236</v>
      </c>
      <c r="S9" s="217" t="s">
        <v>98</v>
      </c>
      <c r="T9" s="221" t="s">
        <v>96</v>
      </c>
      <c r="U9" s="90" t="s">
        <v>96</v>
      </c>
      <c r="V9" s="187" t="s">
        <v>99</v>
      </c>
      <c r="W9" s="197" t="s">
        <v>100</v>
      </c>
      <c r="X9" s="220" t="s">
        <v>98</v>
      </c>
      <c r="Y9" s="220" t="s">
        <v>101</v>
      </c>
      <c r="Z9" t="s">
        <v>102</v>
      </c>
      <c r="AE9" t="str">
        <f>R8</f>
        <v>Organic</v>
      </c>
      <c r="AF9" s="199">
        <f>S10/12</f>
        <v>1559.7511275347561</v>
      </c>
    </row>
    <row r="10" spans="1:32" ht="18">
      <c r="B10" s="103">
        <f>'2025年度実績確認'!H29</f>
        <v>8</v>
      </c>
      <c r="C10" s="91"/>
      <c r="D10" s="90"/>
      <c r="E10" s="103">
        <f>'2025年度実績確認'!H31</f>
        <v>60</v>
      </c>
      <c r="F10" s="92"/>
      <c r="G10" s="90"/>
      <c r="H10" s="102">
        <f>'2025年度実績確認'!H33</f>
        <v>70.666666666666657</v>
      </c>
      <c r="I10" s="93"/>
      <c r="J10" s="94"/>
      <c r="K10" s="103">
        <f>'2025年度実績確認'!H35</f>
        <v>300</v>
      </c>
      <c r="L10" s="91"/>
      <c r="M10" s="94"/>
      <c r="N10" s="234">
        <f>K10/N28</f>
        <v>39625.939849624061</v>
      </c>
      <c r="O10" s="88"/>
      <c r="P10" s="105">
        <f>SUM(S10,S28,S39,S43,S47,S59)</f>
        <v>39360.939849624054</v>
      </c>
      <c r="Q10" s="88"/>
      <c r="R10" s="216"/>
      <c r="S10" s="236">
        <f>'2025年度実績確認'!H38</f>
        <v>18717.013530417073</v>
      </c>
      <c r="T10" s="237">
        <f>(K$10-SUM(U$39,U$43,U$70))*U10/SUM(U$10,U$28,U$47,U$59)</f>
        <v>78.970760233918128</v>
      </c>
      <c r="U10" s="189">
        <v>64</v>
      </c>
      <c r="V10" s="188">
        <f>IF(S10=0,0,U10/S10)</f>
        <v>3.4193489199542126E-3</v>
      </c>
      <c r="W10" s="197"/>
      <c r="X10" s="240">
        <f>(S$10-Y$22)*Y10/SUM(Y$16,Y$13,Y$19,Y$10)</f>
        <v>6924.0248067852817</v>
      </c>
      <c r="Y10" s="227">
        <v>5888</v>
      </c>
      <c r="Z10" t="s">
        <v>103</v>
      </c>
      <c r="AE10" t="str">
        <f>R26</f>
        <v>Paid</v>
      </c>
      <c r="AF10" s="199">
        <f>S28/12</f>
        <v>717.04466619124071</v>
      </c>
    </row>
    <row r="11" spans="1:32" ht="18">
      <c r="B11" s="104" t="s">
        <v>104</v>
      </c>
      <c r="C11" s="9"/>
      <c r="D11" s="97"/>
      <c r="E11" s="104" t="s">
        <v>104</v>
      </c>
      <c r="F11" s="9"/>
      <c r="G11" s="97"/>
      <c r="H11" s="106" t="s">
        <v>105</v>
      </c>
      <c r="I11" s="93"/>
      <c r="J11" s="97"/>
      <c r="K11" s="104" t="s">
        <v>104</v>
      </c>
      <c r="M11" s="85"/>
      <c r="N11" s="235" t="s">
        <v>106</v>
      </c>
      <c r="P11" s="109">
        <f>P10-N10</f>
        <v>-265.00000000000728</v>
      </c>
      <c r="R11" s="193"/>
      <c r="S11" s="238" t="s">
        <v>107</v>
      </c>
      <c r="T11" s="239" t="s">
        <v>108</v>
      </c>
      <c r="U11" s="99" t="s">
        <v>109</v>
      </c>
      <c r="V11" s="99" t="s">
        <v>109</v>
      </c>
      <c r="W11" s="197"/>
      <c r="X11" s="77" t="s">
        <v>110</v>
      </c>
      <c r="Y11" s="226" t="s">
        <v>89</v>
      </c>
      <c r="Z11" t="s">
        <v>111</v>
      </c>
      <c r="AE11" t="str">
        <f>R37</f>
        <v>Display</v>
      </c>
      <c r="AF11" s="199"/>
    </row>
    <row r="12" spans="1:32" ht="18">
      <c r="D12" s="85"/>
      <c r="G12" s="85"/>
      <c r="J12" s="85"/>
      <c r="M12" s="85"/>
      <c r="R12" s="193"/>
      <c r="W12" t="s">
        <v>112</v>
      </c>
      <c r="X12" s="220" t="s">
        <v>98</v>
      </c>
      <c r="Y12" s="220" t="s">
        <v>101</v>
      </c>
      <c r="Z12" t="s">
        <v>113</v>
      </c>
      <c r="AE12" t="str">
        <f>R41</f>
        <v>Direct</v>
      </c>
      <c r="AF12" s="199">
        <f>S43/12</f>
        <v>627.33333333333337</v>
      </c>
    </row>
    <row r="13" spans="1:32" ht="18">
      <c r="D13" s="84"/>
      <c r="E13" s="90" t="s">
        <v>11</v>
      </c>
      <c r="G13" s="84"/>
      <c r="H13" s="90" t="s">
        <v>8</v>
      </c>
      <c r="J13" s="84"/>
      <c r="K13" s="90" t="s">
        <v>6</v>
      </c>
      <c r="M13" s="85"/>
      <c r="R13" s="193"/>
      <c r="W13" s="197"/>
      <c r="X13" s="240">
        <f>(S$10-Y$22)*Y13/SUM(Y$16,Y$13,Y$19,Y$10)</f>
        <v>4893.1500035722756</v>
      </c>
      <c r="Y13" s="227">
        <v>4161</v>
      </c>
      <c r="Z13" t="s">
        <v>114</v>
      </c>
      <c r="AE13" t="str">
        <f>R45</f>
        <v>Email</v>
      </c>
      <c r="AF13" s="199">
        <f>S47/12</f>
        <v>228.52737259326719</v>
      </c>
    </row>
    <row r="14" spans="1:32" ht="18">
      <c r="E14" s="100">
        <f>B10/E10</f>
        <v>0.13333333333333333</v>
      </c>
      <c r="F14" s="95"/>
      <c r="G14" s="35"/>
      <c r="H14" s="98">
        <f>E10/H10</f>
        <v>0.84905660377358505</v>
      </c>
      <c r="I14" s="95"/>
      <c r="J14" s="35"/>
      <c r="K14" s="100">
        <f>H10/K10</f>
        <v>0.23555555555555552</v>
      </c>
      <c r="M14" s="85"/>
      <c r="R14" s="193"/>
      <c r="X14" s="77" t="s">
        <v>110</v>
      </c>
      <c r="Y14" s="226" t="s">
        <v>89</v>
      </c>
      <c r="Z14" t="s">
        <v>115</v>
      </c>
      <c r="AE14" t="str">
        <f>R57</f>
        <v>Referral</v>
      </c>
      <c r="AF14" s="199">
        <f>S59/12</f>
        <v>147.42182114940775</v>
      </c>
    </row>
    <row r="15" spans="1:32" ht="18">
      <c r="E15" s="101" t="s">
        <v>116</v>
      </c>
      <c r="H15" s="99" t="s">
        <v>109</v>
      </c>
      <c r="K15" s="101" t="s">
        <v>117</v>
      </c>
      <c r="M15" s="85"/>
      <c r="R15" s="193"/>
      <c r="W15" t="s">
        <v>118</v>
      </c>
      <c r="X15" s="220" t="s">
        <v>98</v>
      </c>
      <c r="Y15" s="219" t="s">
        <v>101</v>
      </c>
      <c r="AE15" t="s">
        <v>119</v>
      </c>
      <c r="AF15" s="199">
        <f>S70/12</f>
        <v>22.083333333333332</v>
      </c>
    </row>
    <row r="16" spans="1:32" ht="18">
      <c r="M16" s="85"/>
      <c r="R16" s="193"/>
      <c r="W16" s="197"/>
      <c r="X16" s="240">
        <f>(S$10-Y$22)*Y16/SUM(Y$16,Y$13,Y$19,Y$10)</f>
        <v>4011.1835285231991</v>
      </c>
      <c r="Y16" s="225">
        <v>3411</v>
      </c>
    </row>
    <row r="17" spans="13:27" ht="18">
      <c r="M17" s="85"/>
      <c r="R17" s="193"/>
      <c r="X17" s="77" t="s">
        <v>110</v>
      </c>
      <c r="Y17" s="226" t="s">
        <v>89</v>
      </c>
    </row>
    <row r="18" spans="13:27" ht="18">
      <c r="M18" s="85"/>
      <c r="R18" s="193"/>
      <c r="W18" t="s">
        <v>120</v>
      </c>
      <c r="X18" s="220" t="s">
        <v>98</v>
      </c>
      <c r="Y18" s="220" t="s">
        <v>101</v>
      </c>
    </row>
    <row r="19" spans="13:27" ht="18">
      <c r="M19" s="85"/>
      <c r="R19" s="193"/>
      <c r="W19" s="197"/>
      <c r="X19" s="240">
        <f>(S$10-Y$22)*Y19/SUM(Y$16,Y$13,Y$19,Y$10)</f>
        <v>652.65519153631647</v>
      </c>
      <c r="Y19" s="227">
        <f>176+70+309</f>
        <v>555</v>
      </c>
    </row>
    <row r="20" spans="13:27" ht="18">
      <c r="M20" s="85"/>
      <c r="R20" s="193"/>
      <c r="W20" s="197"/>
      <c r="X20" s="77" t="s">
        <v>110</v>
      </c>
      <c r="Y20" s="226" t="s">
        <v>89</v>
      </c>
    </row>
    <row r="21" spans="13:27" ht="18">
      <c r="M21" s="85"/>
      <c r="R21" s="193"/>
      <c r="W21" s="197" t="s">
        <v>121</v>
      </c>
      <c r="X21" s="220" t="s">
        <v>98</v>
      </c>
      <c r="Y21" s="220" t="s">
        <v>101</v>
      </c>
    </row>
    <row r="22" spans="13:27" ht="18">
      <c r="M22" s="85"/>
      <c r="R22" s="193"/>
      <c r="W22" s="197"/>
      <c r="X22" s="227">
        <v>2236</v>
      </c>
      <c r="Y22" s="227">
        <f>16251-SUM(Y10,Y19,Y13,Y16)</f>
        <v>2236</v>
      </c>
    </row>
    <row r="23" spans="13:27" ht="18">
      <c r="M23" s="85"/>
      <c r="R23" s="193"/>
      <c r="W23" s="197"/>
      <c r="X23" s="226" t="s">
        <v>89</v>
      </c>
      <c r="Y23" s="226" t="s">
        <v>89</v>
      </c>
    </row>
    <row r="24" spans="13:27" ht="18">
      <c r="M24" s="85"/>
      <c r="R24" s="193"/>
      <c r="W24" s="96" t="s">
        <v>122</v>
      </c>
      <c r="X24" s="96"/>
      <c r="Y24" s="96"/>
      <c r="Z24" s="96"/>
      <c r="AA24" s="96"/>
    </row>
    <row r="25" spans="13:27" ht="18">
      <c r="M25" s="85"/>
      <c r="R25" s="193"/>
      <c r="W25" s="96" t="s">
        <v>123</v>
      </c>
      <c r="X25" s="96"/>
      <c r="Y25" s="96"/>
      <c r="Z25" s="96" t="s">
        <v>124</v>
      </c>
      <c r="AA25" s="96"/>
    </row>
    <row r="26" spans="13:27" ht="18">
      <c r="M26" s="85"/>
      <c r="R26" s="223" t="s">
        <v>125</v>
      </c>
    </row>
    <row r="27" spans="13:27" ht="18">
      <c r="M27" s="86"/>
      <c r="N27" s="187" t="s">
        <v>99</v>
      </c>
      <c r="O27" t="s">
        <v>126</v>
      </c>
      <c r="R27" s="242">
        <f>S28/$N$10</f>
        <v>0.21714402300483282</v>
      </c>
      <c r="S27" s="217" t="s">
        <v>98</v>
      </c>
      <c r="T27" s="221" t="s">
        <v>96</v>
      </c>
      <c r="U27" s="90" t="s">
        <v>96</v>
      </c>
      <c r="V27" s="187" t="s">
        <v>99</v>
      </c>
      <c r="W27" s="197" t="s">
        <v>100</v>
      </c>
      <c r="X27" s="220" t="s">
        <v>98</v>
      </c>
      <c r="Y27" s="220" t="s">
        <v>101</v>
      </c>
      <c r="Z27" t="s">
        <v>115</v>
      </c>
    </row>
    <row r="28" spans="13:27" ht="18">
      <c r="N28" s="188">
        <f>'2025年度実績確認'!H36</f>
        <v>7.5707983492244203E-3</v>
      </c>
      <c r="O28" t="s">
        <v>127</v>
      </c>
      <c r="R28" s="193"/>
      <c r="S28" s="241">
        <f>'2025年度実績確認'!H39</f>
        <v>8604.535994294889</v>
      </c>
      <c r="T28" s="237">
        <f>(K$10-SUM(U$39,U$43,U$70))*U28/SUM(U$10,U$28,U$47,U$59)</f>
        <v>83.906432748538009</v>
      </c>
      <c r="U28" s="189">
        <v>68</v>
      </c>
      <c r="V28" s="188">
        <f>IF(S28=0,0,U28/S28)</f>
        <v>7.9028084774224201E-3</v>
      </c>
      <c r="W28" s="197"/>
      <c r="X28" s="240">
        <f>(S$28-Y$34)*Y28/SUM(Y$28,Y$31)</f>
        <v>5036.3283668622544</v>
      </c>
      <c r="Y28" s="227">
        <v>4300</v>
      </c>
      <c r="Z28" t="s">
        <v>128</v>
      </c>
    </row>
    <row r="29" spans="13:27" ht="18">
      <c r="N29" s="99" t="s">
        <v>109</v>
      </c>
      <c r="O29" t="s">
        <v>129</v>
      </c>
      <c r="R29" s="193"/>
      <c r="S29" s="238" t="s">
        <v>107</v>
      </c>
      <c r="T29" s="239" t="s">
        <v>108</v>
      </c>
      <c r="U29" s="99" t="s">
        <v>109</v>
      </c>
      <c r="V29" s="99" t="s">
        <v>109</v>
      </c>
      <c r="W29" s="197"/>
      <c r="X29" s="77" t="s">
        <v>110</v>
      </c>
      <c r="Y29" s="226" t="s">
        <v>89</v>
      </c>
      <c r="Z29" t="s">
        <v>130</v>
      </c>
    </row>
    <row r="30" spans="13:27" ht="18">
      <c r="R30" s="193"/>
      <c r="W30" t="s">
        <v>120</v>
      </c>
      <c r="X30" s="220" t="s">
        <v>98</v>
      </c>
      <c r="Y30" s="220" t="s">
        <v>101</v>
      </c>
      <c r="Z30" t="s">
        <v>131</v>
      </c>
    </row>
    <row r="31" spans="13:27" ht="18">
      <c r="R31" s="193"/>
      <c r="W31" s="197"/>
      <c r="X31" s="240">
        <f>(S$28-Y$34)*Y31/SUM(Y$28,Y$31)</f>
        <v>2956.207627432635</v>
      </c>
      <c r="Y31" s="227">
        <f>249+1710+565</f>
        <v>2524</v>
      </c>
      <c r="Z31" t="s">
        <v>132</v>
      </c>
    </row>
    <row r="32" spans="13:27" ht="18">
      <c r="R32" s="193"/>
      <c r="W32" s="197"/>
      <c r="X32" s="77" t="s">
        <v>110</v>
      </c>
      <c r="Y32" s="226" t="s">
        <v>89</v>
      </c>
    </row>
    <row r="33" spans="18:28" ht="18">
      <c r="R33" s="193"/>
      <c r="W33" s="197" t="s">
        <v>133</v>
      </c>
      <c r="X33" s="220" t="s">
        <v>98</v>
      </c>
      <c r="Y33" s="220" t="s">
        <v>101</v>
      </c>
    </row>
    <row r="34" spans="18:28" ht="18">
      <c r="R34" s="193"/>
      <c r="W34" s="197"/>
      <c r="X34" s="227">
        <v>612</v>
      </c>
      <c r="Y34" s="227">
        <f>7436-SUM(Y28,Y31)</f>
        <v>612</v>
      </c>
    </row>
    <row r="35" spans="18:28" ht="18">
      <c r="R35" s="193"/>
      <c r="W35" s="197"/>
      <c r="X35" s="226" t="s">
        <v>89</v>
      </c>
      <c r="Y35" s="226" t="s">
        <v>89</v>
      </c>
    </row>
    <row r="36" spans="18:28" ht="18">
      <c r="R36" s="193"/>
    </row>
    <row r="37" spans="18:28" ht="18">
      <c r="R37" s="222" t="s">
        <v>134</v>
      </c>
    </row>
    <row r="38" spans="18:28" ht="18">
      <c r="R38" s="242">
        <f>S39/$N$10</f>
        <v>0</v>
      </c>
      <c r="S38" s="217" t="s">
        <v>98</v>
      </c>
      <c r="T38" s="221" t="s">
        <v>96</v>
      </c>
      <c r="U38" s="90" t="s">
        <v>96</v>
      </c>
      <c r="V38" s="187" t="s">
        <v>99</v>
      </c>
      <c r="W38" t="s">
        <v>135</v>
      </c>
    </row>
    <row r="39" spans="18:28" ht="18">
      <c r="R39" s="193"/>
      <c r="S39" s="228">
        <f>'2025年度実績確認'!H40</f>
        <v>0</v>
      </c>
      <c r="T39" s="228">
        <f>K$10*U39/SUM(U$10,U$28,U$39,U$43,U$47,U$59,U$70)</f>
        <v>0</v>
      </c>
      <c r="U39" s="189">
        <v>0</v>
      </c>
      <c r="V39" s="188">
        <f>IF(S39=0,0,U39/S39)</f>
        <v>0</v>
      </c>
    </row>
    <row r="40" spans="18:28" ht="18">
      <c r="R40" s="193"/>
      <c r="S40" s="229" t="s">
        <v>89</v>
      </c>
      <c r="T40" s="230" t="s">
        <v>108</v>
      </c>
      <c r="U40" s="99" t="s">
        <v>109</v>
      </c>
      <c r="V40" s="99" t="s">
        <v>109</v>
      </c>
    </row>
    <row r="41" spans="18:28" ht="18">
      <c r="R41" s="222" t="s">
        <v>136</v>
      </c>
      <c r="U41" s="190"/>
      <c r="V41" s="191"/>
    </row>
    <row r="42" spans="18:28" ht="18">
      <c r="R42" s="242">
        <f>S43/$N$10</f>
        <v>0.18997656657653811</v>
      </c>
      <c r="S42" s="217" t="s">
        <v>98</v>
      </c>
      <c r="T42" s="221" t="s">
        <v>96</v>
      </c>
      <c r="U42" s="90" t="s">
        <v>96</v>
      </c>
      <c r="V42" s="187" t="s">
        <v>99</v>
      </c>
      <c r="W42" s="96" t="s">
        <v>137</v>
      </c>
      <c r="X42" s="96"/>
      <c r="Y42" s="96"/>
      <c r="Z42" s="96"/>
      <c r="AA42" s="96"/>
      <c r="AB42" s="96"/>
    </row>
    <row r="43" spans="18:28" ht="18">
      <c r="R43" s="193"/>
      <c r="S43" s="228">
        <f>'2025年度実績確認'!H41</f>
        <v>7528</v>
      </c>
      <c r="T43" s="228">
        <v>58</v>
      </c>
      <c r="U43" s="189">
        <v>58</v>
      </c>
      <c r="V43" s="188">
        <f>IF(S43=0,0,U43/S43)</f>
        <v>7.7045696068012755E-3</v>
      </c>
      <c r="W43" s="96" t="s">
        <v>138</v>
      </c>
      <c r="X43" s="96"/>
      <c r="Y43" s="96"/>
      <c r="Z43" s="96"/>
      <c r="AA43" s="96"/>
      <c r="AB43" s="96"/>
    </row>
    <row r="44" spans="18:28" ht="18">
      <c r="R44" s="193"/>
      <c r="S44" s="229" t="s">
        <v>89</v>
      </c>
      <c r="T44" s="230" t="s">
        <v>108</v>
      </c>
      <c r="U44" s="99" t="s">
        <v>109</v>
      </c>
      <c r="V44" s="99" t="s">
        <v>109</v>
      </c>
    </row>
    <row r="45" spans="18:28" ht="18">
      <c r="R45" s="223" t="s">
        <v>139</v>
      </c>
      <c r="U45" s="190"/>
      <c r="V45" s="191"/>
    </row>
    <row r="46" spans="18:28" ht="18">
      <c r="R46" s="242">
        <f>S47/$N$10</f>
        <v>6.9205386207268044E-2</v>
      </c>
      <c r="S46" s="217" t="s">
        <v>98</v>
      </c>
      <c r="T46" s="221" t="s">
        <v>96</v>
      </c>
      <c r="U46" s="90" t="s">
        <v>96</v>
      </c>
      <c r="V46" s="187" t="s">
        <v>99</v>
      </c>
      <c r="W46" s="197" t="s">
        <v>100</v>
      </c>
      <c r="X46" s="220" t="s">
        <v>98</v>
      </c>
      <c r="Y46" s="220" t="s">
        <v>101</v>
      </c>
      <c r="Z46" t="s">
        <v>140</v>
      </c>
    </row>
    <row r="47" spans="18:28" ht="18">
      <c r="R47" s="193"/>
      <c r="S47" s="241">
        <f>'2025年度実績確認'!H42</f>
        <v>2742.3284711192064</v>
      </c>
      <c r="T47" s="237">
        <f>(K$10-SUM(U$39,U$43,U$70))*U47/SUM(U$10,U$28,U$47,U$59)</f>
        <v>4.935672514619883</v>
      </c>
      <c r="U47" s="189">
        <v>4</v>
      </c>
      <c r="V47" s="188">
        <f>IF(S47=0,0,U47/S47)</f>
        <v>1.4586144738407318E-3</v>
      </c>
      <c r="W47" s="197"/>
      <c r="X47" s="240">
        <f>(S$47-Y$56)*Y47/SUM(Y$53,Y$50,Y$47)</f>
        <v>738.61941097270994</v>
      </c>
      <c r="Y47" s="227">
        <v>499</v>
      </c>
      <c r="Z47" t="s">
        <v>141</v>
      </c>
    </row>
    <row r="48" spans="18:28" ht="18">
      <c r="R48" s="193"/>
      <c r="S48" s="238" t="s">
        <v>107</v>
      </c>
      <c r="T48" s="239" t="s">
        <v>108</v>
      </c>
      <c r="U48" s="99" t="s">
        <v>109</v>
      </c>
      <c r="V48" s="99" t="s">
        <v>109</v>
      </c>
      <c r="W48" s="197"/>
      <c r="X48" s="77" t="s">
        <v>110</v>
      </c>
      <c r="Y48" s="226" t="s">
        <v>89</v>
      </c>
      <c r="Z48" t="s">
        <v>142</v>
      </c>
    </row>
    <row r="49" spans="18:26" ht="18">
      <c r="R49" s="193"/>
      <c r="W49" t="s">
        <v>112</v>
      </c>
      <c r="X49" s="220" t="s">
        <v>98</v>
      </c>
      <c r="Y49" s="220" t="s">
        <v>101</v>
      </c>
      <c r="Z49" t="s">
        <v>143</v>
      </c>
    </row>
    <row r="50" spans="18:26" ht="18">
      <c r="R50" s="193"/>
      <c r="W50" s="197"/>
      <c r="X50" s="240">
        <f>(S$47-Y$56)*Y50/SUM(Y$53,Y$50,Y$47)</f>
        <v>737.13921175232383</v>
      </c>
      <c r="Y50" s="227">
        <v>498</v>
      </c>
      <c r="Z50" t="s">
        <v>144</v>
      </c>
    </row>
    <row r="51" spans="18:26" ht="18">
      <c r="R51" s="193"/>
      <c r="X51" s="77" t="s">
        <v>110</v>
      </c>
      <c r="Y51" s="226" t="s">
        <v>89</v>
      </c>
    </row>
    <row r="52" spans="18:26" ht="18">
      <c r="R52" s="215"/>
      <c r="W52" t="s">
        <v>118</v>
      </c>
      <c r="X52" s="220" t="s">
        <v>98</v>
      </c>
      <c r="Y52" s="219" t="s">
        <v>101</v>
      </c>
    </row>
    <row r="53" spans="18:26" ht="18">
      <c r="R53" s="215"/>
      <c r="W53" s="197"/>
      <c r="X53" s="240">
        <f>(S$47-Y$56)*Y53/SUM(Y$53,Y$50,Y$47)</f>
        <v>667.56984839417271</v>
      </c>
      <c r="Y53" s="225">
        <v>451</v>
      </c>
    </row>
    <row r="54" spans="18:26" ht="18">
      <c r="R54" s="215"/>
      <c r="X54" s="77" t="s">
        <v>110</v>
      </c>
      <c r="Y54" s="226" t="s">
        <v>89</v>
      </c>
    </row>
    <row r="55" spans="18:26" ht="18">
      <c r="R55" s="215"/>
      <c r="W55" s="197" t="s">
        <v>145</v>
      </c>
      <c r="X55" s="220" t="s">
        <v>98</v>
      </c>
      <c r="Y55" s="220" t="s">
        <v>101</v>
      </c>
    </row>
    <row r="56" spans="18:26" ht="18">
      <c r="R56" s="215"/>
      <c r="W56" s="197"/>
      <c r="X56" s="227">
        <v>599</v>
      </c>
      <c r="Y56" s="227">
        <f>2047-SUM(Y53,Y50,Y47)</f>
        <v>599</v>
      </c>
    </row>
    <row r="57" spans="18:26" ht="18">
      <c r="R57" s="223" t="s">
        <v>146</v>
      </c>
      <c r="W57" s="197"/>
      <c r="X57" s="226" t="s">
        <v>89</v>
      </c>
      <c r="Y57" s="226" t="s">
        <v>89</v>
      </c>
    </row>
    <row r="58" spans="18:26" ht="18">
      <c r="R58" s="242">
        <f>S59/$N$10</f>
        <v>4.4644035207903748E-2</v>
      </c>
      <c r="S58" s="217" t="s">
        <v>98</v>
      </c>
      <c r="T58" s="221" t="s">
        <v>96</v>
      </c>
      <c r="U58" s="90" t="s">
        <v>96</v>
      </c>
      <c r="V58" s="187" t="s">
        <v>99</v>
      </c>
      <c r="W58" s="197" t="s">
        <v>100</v>
      </c>
      <c r="X58" s="220" t="s">
        <v>98</v>
      </c>
      <c r="Y58" s="220" t="s">
        <v>101</v>
      </c>
      <c r="Z58" t="s">
        <v>147</v>
      </c>
    </row>
    <row r="59" spans="18:26" ht="18">
      <c r="R59" s="193"/>
      <c r="S59" s="241">
        <f>'2025年度実績確認'!H43</f>
        <v>1769.0618537928929</v>
      </c>
      <c r="T59" s="237">
        <f>(K$10-SUM(U$39,U$43,U$70))*U59/SUM(U$10,U$28,U$47,U$59)</f>
        <v>43.187134502923975</v>
      </c>
      <c r="U59" s="189">
        <v>35</v>
      </c>
      <c r="V59" s="188">
        <f>IF(S59=0,0,U59/S59)</f>
        <v>1.9784497599651205E-2</v>
      </c>
      <c r="X59" s="240">
        <f>(S$59-Y$65)*Y59/SUM(Y$59,Y$62)</f>
        <v>755.42598849391402</v>
      </c>
      <c r="Y59" s="227">
        <v>629</v>
      </c>
      <c r="Z59" t="s">
        <v>148</v>
      </c>
    </row>
    <row r="60" spans="18:26" ht="18">
      <c r="R60" s="193"/>
      <c r="S60" s="238" t="s">
        <v>107</v>
      </c>
      <c r="T60" s="239" t="s">
        <v>108</v>
      </c>
      <c r="U60" s="99" t="s">
        <v>109</v>
      </c>
      <c r="V60" s="99" t="s">
        <v>109</v>
      </c>
      <c r="X60" s="77" t="s">
        <v>110</v>
      </c>
      <c r="Y60" s="226" t="s">
        <v>89</v>
      </c>
      <c r="Z60" t="s">
        <v>149</v>
      </c>
    </row>
    <row r="61" spans="18:26" ht="18">
      <c r="R61" s="193"/>
      <c r="W61" t="s">
        <v>112</v>
      </c>
      <c r="X61" s="220" t="s">
        <v>98</v>
      </c>
      <c r="Y61" s="219" t="s">
        <v>101</v>
      </c>
      <c r="Z61" t="s">
        <v>150</v>
      </c>
    </row>
    <row r="62" spans="18:26" ht="18">
      <c r="R62" s="193"/>
      <c r="X62" s="240">
        <f>(S$59-Y$65)*Y62/SUM(Y$59,Y$62)</f>
        <v>284.63586529897879</v>
      </c>
      <c r="Y62" s="225">
        <v>237</v>
      </c>
      <c r="Z62" t="s">
        <v>151</v>
      </c>
    </row>
    <row r="63" spans="18:26" ht="15.75" customHeight="1">
      <c r="R63" s="193"/>
      <c r="X63" s="77" t="s">
        <v>110</v>
      </c>
      <c r="Y63" s="226" t="s">
        <v>89</v>
      </c>
    </row>
    <row r="64" spans="18:26" ht="15.75" customHeight="1">
      <c r="R64" s="193"/>
      <c r="W64" s="197" t="s">
        <v>152</v>
      </c>
      <c r="X64" s="220" t="s">
        <v>98</v>
      </c>
      <c r="Y64" s="220" t="s">
        <v>101</v>
      </c>
    </row>
    <row r="65" spans="18:25" ht="15.75" customHeight="1">
      <c r="R65" s="193"/>
      <c r="X65" s="227">
        <v>729</v>
      </c>
      <c r="Y65" s="227">
        <f>1595-SUM(Y59,Y62)</f>
        <v>729</v>
      </c>
    </row>
    <row r="66" spans="18:25" ht="15.75" customHeight="1">
      <c r="R66" s="193"/>
      <c r="X66" s="226" t="s">
        <v>89</v>
      </c>
      <c r="Y66" s="226" t="s">
        <v>89</v>
      </c>
    </row>
    <row r="67" spans="18:25" ht="15.75" customHeight="1">
      <c r="R67" s="193"/>
    </row>
    <row r="68" spans="18:25" ht="15.75" customHeight="1">
      <c r="R68" s="222" t="s">
        <v>119</v>
      </c>
    </row>
    <row r="69" spans="18:25" ht="15.75" customHeight="1">
      <c r="R69" s="242">
        <f>S70/$N$10</f>
        <v>6.6875385418149044E-3</v>
      </c>
      <c r="S69" s="217" t="s">
        <v>98</v>
      </c>
      <c r="T69" s="221" t="s">
        <v>96</v>
      </c>
      <c r="U69" s="90" t="s">
        <v>96</v>
      </c>
      <c r="V69" s="187" t="s">
        <v>99</v>
      </c>
    </row>
    <row r="70" spans="18:25" ht="15.75" customHeight="1">
      <c r="S70" s="228">
        <f>'2025年度実績確認'!H44</f>
        <v>265</v>
      </c>
      <c r="T70" s="228">
        <v>31</v>
      </c>
      <c r="U70" s="189">
        <v>31</v>
      </c>
      <c r="V70" s="188">
        <f>IF(S70=0,0,U70/S70)</f>
        <v>0.1169811320754717</v>
      </c>
    </row>
    <row r="71" spans="18:25" ht="15.75" customHeight="1">
      <c r="S71" s="229" t="s">
        <v>89</v>
      </c>
      <c r="T71" s="230" t="s">
        <v>108</v>
      </c>
      <c r="U71" s="99" t="s">
        <v>109</v>
      </c>
      <c r="V71" s="99" t="s">
        <v>109</v>
      </c>
    </row>
  </sheetData>
  <phoneticPr fontId="1"/>
  <hyperlinks>
    <hyperlink ref="H3" r:id="rId1" xr:uid="{D77BD2CB-E928-4FA5-BCFD-1DDC17916043}"/>
  </hyperlinks>
  <pageMargins left="0.7" right="0.7" top="0.75" bottom="0.75" header="0.3" footer="0.3"/>
  <pageSetup paperSize="9" scale="63" orientation="landscape"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9C92E-3DC0-430C-B703-83C39492B85A}">
  <sheetPr>
    <tabColor theme="5" tint="0.39997558519241921"/>
    <pageSetUpPr fitToPage="1"/>
  </sheetPr>
  <dimension ref="A1:Z77"/>
  <sheetViews>
    <sheetView zoomScale="85" zoomScaleNormal="85" workbookViewId="0">
      <selection activeCell="I23" sqref="I23"/>
    </sheetView>
  </sheetViews>
  <sheetFormatPr defaultRowHeight="15.75" customHeight="1"/>
  <cols>
    <col min="3" max="4" width="5.08203125" customWidth="1"/>
    <col min="6" max="7" width="4.33203125" customWidth="1"/>
    <col min="9" max="10" width="4.83203125" customWidth="1"/>
    <col min="12" max="13" width="4.33203125" customWidth="1"/>
    <col min="16" max="17" width="0" hidden="1" customWidth="1"/>
    <col min="19" max="19" width="9" style="214"/>
    <col min="20" max="20" width="9" style="224"/>
    <col min="23" max="23" width="19.75" customWidth="1"/>
    <col min="24" max="24" width="9.25" customWidth="1"/>
    <col min="25" max="25" width="9.5" customWidth="1"/>
    <col min="27" max="28" width="9"/>
  </cols>
  <sheetData>
    <row r="1" spans="1:26" ht="18">
      <c r="A1" s="6" t="s">
        <v>84</v>
      </c>
    </row>
    <row r="2" spans="1:26" ht="18">
      <c r="A2" t="s">
        <v>153</v>
      </c>
      <c r="H2" s="180" t="s">
        <v>86</v>
      </c>
      <c r="I2" s="181"/>
      <c r="J2" s="181"/>
      <c r="K2" s="181"/>
      <c r="L2" s="181"/>
      <c r="M2" s="181"/>
      <c r="N2" s="182"/>
    </row>
    <row r="3" spans="1:26" ht="18">
      <c r="H3" s="183" t="s">
        <v>87</v>
      </c>
      <c r="I3" s="184"/>
      <c r="J3" s="184"/>
      <c r="K3" s="184"/>
      <c r="L3" s="184"/>
      <c r="M3" s="184"/>
      <c r="N3" s="185"/>
    </row>
    <row r="4" spans="1:26" ht="18">
      <c r="H4" s="243"/>
      <c r="I4" t="s">
        <v>88</v>
      </c>
    </row>
    <row r="5" spans="1:26" ht="18">
      <c r="H5" s="226"/>
      <c r="I5" t="s">
        <v>89</v>
      </c>
    </row>
    <row r="6" spans="1:26" ht="18">
      <c r="H6" s="77"/>
      <c r="I6" t="s">
        <v>74</v>
      </c>
    </row>
    <row r="8" spans="1:26" ht="18">
      <c r="B8" s="89" t="s">
        <v>90</v>
      </c>
      <c r="N8" s="35"/>
      <c r="P8" s="108"/>
      <c r="R8" s="223" t="s">
        <v>91</v>
      </c>
      <c r="Z8" s="201" t="s">
        <v>92</v>
      </c>
    </row>
    <row r="9" spans="1:26" ht="18">
      <c r="B9" s="90" t="s">
        <v>12</v>
      </c>
      <c r="E9" s="90" t="s">
        <v>94</v>
      </c>
      <c r="F9" s="86"/>
      <c r="H9" s="90" t="s">
        <v>95</v>
      </c>
      <c r="I9" s="86"/>
      <c r="J9" s="87"/>
      <c r="K9" s="90" t="s">
        <v>96</v>
      </c>
      <c r="N9" s="186" t="s">
        <v>97</v>
      </c>
      <c r="P9" s="107">
        <f>SUM(R9,R27,R38,R48,R52,R64)</f>
        <v>0.99249246735855368</v>
      </c>
      <c r="R9" s="242">
        <f>S10/$N$10</f>
        <v>0.66547797628899752</v>
      </c>
      <c r="S9" s="217" t="s">
        <v>98</v>
      </c>
      <c r="T9" s="221" t="s">
        <v>96</v>
      </c>
      <c r="U9" s="90" t="s">
        <v>96</v>
      </c>
      <c r="V9" s="187" t="s">
        <v>99</v>
      </c>
      <c r="W9" s="197" t="s">
        <v>100</v>
      </c>
      <c r="X9" s="220" t="s">
        <v>98</v>
      </c>
      <c r="Y9" s="220" t="s">
        <v>101</v>
      </c>
      <c r="Z9" t="s">
        <v>102</v>
      </c>
    </row>
    <row r="10" spans="1:26" ht="18">
      <c r="B10" s="103">
        <f>'2025年度実績確認'!I29</f>
        <v>5</v>
      </c>
      <c r="C10" s="91"/>
      <c r="D10" s="90"/>
      <c r="E10" s="103">
        <f>'2025年度実績確認'!I31</f>
        <v>15</v>
      </c>
      <c r="F10" s="92"/>
      <c r="G10" s="90"/>
      <c r="H10" s="102">
        <f>'2025年度実績確認'!I33</f>
        <v>15</v>
      </c>
      <c r="I10" s="93"/>
      <c r="J10" s="94"/>
      <c r="K10" s="103">
        <f>'2025年度実績確認'!I35</f>
        <v>70</v>
      </c>
      <c r="L10" s="91"/>
      <c r="M10" s="94"/>
      <c r="N10" s="234">
        <f>K10/N28</f>
        <v>42890.256410256414</v>
      </c>
      <c r="O10" s="88"/>
      <c r="P10" s="105">
        <f>SUM(S10,S28,S39,S49,S53,S65)</f>
        <v>42568.256410256414</v>
      </c>
      <c r="Q10" s="88"/>
      <c r="R10" s="216"/>
      <c r="S10" s="237">
        <f>'2025年度実績確認'!I38</f>
        <v>28542.521038413641</v>
      </c>
      <c r="T10" s="237">
        <f>(K$10-SUM(U$28,U$49,U$76))*U10/SUM(U$10,U$39,U$53,U$65)</f>
        <v>25.826086956521738</v>
      </c>
      <c r="U10" s="189">
        <v>11</v>
      </c>
      <c r="V10" s="188">
        <f>IF(S10=0,0,U10/S10)</f>
        <v>3.8538992351781998E-4</v>
      </c>
      <c r="W10" s="197"/>
      <c r="X10" s="240">
        <f>(S$10-Y$22)*Y10/SUM(Y$16,Y$13,Y$19,Y$10)</f>
        <v>5300.3676222763825</v>
      </c>
      <c r="Y10" s="227">
        <v>2472</v>
      </c>
      <c r="Z10" t="s">
        <v>103</v>
      </c>
    </row>
    <row r="11" spans="1:26" ht="18">
      <c r="B11" s="104" t="s">
        <v>104</v>
      </c>
      <c r="C11" s="9"/>
      <c r="D11" s="97"/>
      <c r="E11" s="104" t="s">
        <v>104</v>
      </c>
      <c r="F11" s="9"/>
      <c r="G11" s="97"/>
      <c r="H11" s="106" t="s">
        <v>105</v>
      </c>
      <c r="I11" s="93"/>
      <c r="J11" s="97"/>
      <c r="K11" s="104" t="s">
        <v>104</v>
      </c>
      <c r="M11" s="85"/>
      <c r="N11" s="235" t="s">
        <v>106</v>
      </c>
      <c r="P11" s="109">
        <f>P10-N10</f>
        <v>-322</v>
      </c>
      <c r="R11" s="193"/>
      <c r="S11" s="238" t="s">
        <v>107</v>
      </c>
      <c r="T11" s="239" t="s">
        <v>108</v>
      </c>
      <c r="U11" s="99" t="s">
        <v>109</v>
      </c>
      <c r="V11" s="99" t="s">
        <v>109</v>
      </c>
      <c r="W11" s="197"/>
      <c r="X11" s="77" t="s">
        <v>110</v>
      </c>
      <c r="Y11" s="226" t="s">
        <v>89</v>
      </c>
      <c r="Z11" t="s">
        <v>111</v>
      </c>
    </row>
    <row r="12" spans="1:26" ht="18">
      <c r="D12" s="85"/>
      <c r="G12" s="85"/>
      <c r="J12" s="85"/>
      <c r="M12" s="85"/>
      <c r="R12" s="193"/>
      <c r="W12" t="s">
        <v>112</v>
      </c>
      <c r="X12" s="220" t="s">
        <v>98</v>
      </c>
      <c r="Y12" s="220" t="s">
        <v>101</v>
      </c>
      <c r="Z12" t="s">
        <v>113</v>
      </c>
    </row>
    <row r="13" spans="1:26" ht="18">
      <c r="D13" s="84"/>
      <c r="E13" s="90" t="s">
        <v>11</v>
      </c>
      <c r="G13" s="84"/>
      <c r="H13" s="90" t="s">
        <v>8</v>
      </c>
      <c r="J13" s="84"/>
      <c r="K13" s="90" t="s">
        <v>6</v>
      </c>
      <c r="M13" s="85"/>
      <c r="R13" s="193"/>
      <c r="W13" s="197"/>
      <c r="X13" s="240">
        <f>(S$10-Y$22)*Y13/SUM(Y$16,Y$13,Y$19,Y$10)</f>
        <v>10131.163841122941</v>
      </c>
      <c r="Y13" s="227">
        <v>4725</v>
      </c>
      <c r="Z13" t="s">
        <v>114</v>
      </c>
    </row>
    <row r="14" spans="1:26" ht="18">
      <c r="E14" s="100">
        <f>B10/E10</f>
        <v>0.33333333333333331</v>
      </c>
      <c r="F14" s="95"/>
      <c r="G14" s="35"/>
      <c r="H14" s="98">
        <f>E10/H10</f>
        <v>1</v>
      </c>
      <c r="I14" s="95"/>
      <c r="J14" s="35"/>
      <c r="K14" s="100">
        <f>H10/K10</f>
        <v>0.21428571428571427</v>
      </c>
      <c r="M14" s="85"/>
      <c r="R14" s="193"/>
      <c r="X14" s="77" t="s">
        <v>110</v>
      </c>
      <c r="Y14" s="226" t="s">
        <v>89</v>
      </c>
      <c r="Z14" t="s">
        <v>115</v>
      </c>
    </row>
    <row r="15" spans="1:26" ht="18">
      <c r="E15" s="101" t="s">
        <v>116</v>
      </c>
      <c r="H15" s="99" t="s">
        <v>109</v>
      </c>
      <c r="K15" s="101" t="s">
        <v>117</v>
      </c>
      <c r="M15" s="85"/>
      <c r="R15" s="193"/>
      <c r="W15" t="s">
        <v>154</v>
      </c>
      <c r="X15" s="220" t="s">
        <v>98</v>
      </c>
      <c r="Y15" s="219" t="s">
        <v>101</v>
      </c>
    </row>
    <row r="16" spans="1:26" ht="18">
      <c r="M16" s="85"/>
      <c r="R16" s="193"/>
      <c r="W16" s="197"/>
      <c r="X16" s="240">
        <f>(S$10-Y$22)*Y16/SUM(Y$16,Y$13,Y$19,Y$10)</f>
        <v>11930.115473440857</v>
      </c>
      <c r="Y16" s="225">
        <v>5564</v>
      </c>
    </row>
    <row r="17" spans="13:26" ht="18">
      <c r="M17" s="85"/>
      <c r="R17" s="193"/>
      <c r="X17" s="77" t="s">
        <v>110</v>
      </c>
      <c r="Y17" s="226" t="s">
        <v>89</v>
      </c>
    </row>
    <row r="18" spans="13:26" ht="18">
      <c r="M18" s="85"/>
      <c r="R18" s="193"/>
      <c r="W18" t="s">
        <v>155</v>
      </c>
      <c r="X18" s="220" t="s">
        <v>98</v>
      </c>
      <c r="Y18" s="220" t="s">
        <v>101</v>
      </c>
    </row>
    <row r="19" spans="13:26" ht="18">
      <c r="M19" s="85"/>
      <c r="R19" s="193"/>
      <c r="W19" s="197"/>
      <c r="X19" s="240">
        <f>(S$10-Y$22)*Y19/SUM(Y$16,Y$13,Y$19,Y$10)</f>
        <v>27.874101573459942</v>
      </c>
      <c r="Y19" s="227">
        <v>13</v>
      </c>
    </row>
    <row r="20" spans="13:26" ht="18">
      <c r="M20" s="85"/>
      <c r="R20" s="193"/>
      <c r="W20" s="197"/>
      <c r="X20" s="77" t="s">
        <v>110</v>
      </c>
      <c r="Y20" s="226" t="s">
        <v>89</v>
      </c>
    </row>
    <row r="21" spans="13:26" ht="18">
      <c r="M21" s="85"/>
      <c r="R21" s="193"/>
      <c r="W21" s="197" t="s">
        <v>156</v>
      </c>
      <c r="X21" s="220" t="s">
        <v>98</v>
      </c>
      <c r="Y21" s="220" t="s">
        <v>101</v>
      </c>
    </row>
    <row r="22" spans="13:26" ht="18">
      <c r="M22" s="85"/>
      <c r="R22" s="193"/>
      <c r="W22" s="197"/>
      <c r="X22" s="253">
        <v>1153</v>
      </c>
      <c r="Y22" s="227">
        <f>13927-SUM(Y10,Y19,Y13,Y16)</f>
        <v>1153</v>
      </c>
    </row>
    <row r="23" spans="13:26" ht="18">
      <c r="M23" s="85"/>
      <c r="R23" s="193"/>
      <c r="W23" s="197"/>
      <c r="X23" s="226" t="s">
        <v>89</v>
      </c>
      <c r="Y23" s="226" t="s">
        <v>89</v>
      </c>
    </row>
    <row r="24" spans="13:26" ht="18">
      <c r="M24" s="85"/>
      <c r="R24" s="193"/>
      <c r="W24" s="96" t="s">
        <v>122</v>
      </c>
      <c r="X24" s="96"/>
      <c r="Y24" s="96"/>
      <c r="Z24" s="96"/>
    </row>
    <row r="25" spans="13:26" ht="18">
      <c r="M25" s="85"/>
      <c r="R25" s="193"/>
      <c r="W25" s="96" t="s">
        <v>123</v>
      </c>
      <c r="X25" s="96"/>
      <c r="Y25" s="96"/>
      <c r="Z25" s="96" t="s">
        <v>124</v>
      </c>
    </row>
    <row r="26" spans="13:26" ht="18">
      <c r="M26" s="85"/>
      <c r="R26" s="222" t="s">
        <v>125</v>
      </c>
    </row>
    <row r="27" spans="13:26" ht="18">
      <c r="M27" s="86"/>
      <c r="N27" s="187" t="s">
        <v>99</v>
      </c>
      <c r="O27" t="s">
        <v>126</v>
      </c>
      <c r="R27" s="242">
        <f>S28/$N$10</f>
        <v>0</v>
      </c>
      <c r="S27" s="217" t="s">
        <v>98</v>
      </c>
      <c r="T27" s="221" t="s">
        <v>96</v>
      </c>
      <c r="U27" s="90" t="s">
        <v>96</v>
      </c>
      <c r="V27" s="187" t="s">
        <v>99</v>
      </c>
      <c r="W27" s="255" t="s">
        <v>100</v>
      </c>
      <c r="X27" s="256" t="s">
        <v>98</v>
      </c>
      <c r="Y27" s="256" t="s">
        <v>101</v>
      </c>
      <c r="Z27" s="96" t="s">
        <v>115</v>
      </c>
    </row>
    <row r="28" spans="13:26" ht="18">
      <c r="N28" s="188">
        <f>'2025年度実績確認'!I36</f>
        <v>1.6320723133578842E-3</v>
      </c>
      <c r="O28" t="s">
        <v>127</v>
      </c>
      <c r="R28" s="193"/>
      <c r="S28" s="246">
        <f>'2025年度実績確認'!I39</f>
        <v>0</v>
      </c>
      <c r="T28" s="247">
        <v>0</v>
      </c>
      <c r="U28" s="189">
        <v>2</v>
      </c>
      <c r="V28" s="188">
        <f>IF(S28=0,0,U28/S28)</f>
        <v>0</v>
      </c>
      <c r="W28" s="255"/>
      <c r="X28" s="257" t="e">
        <f>(S$28-Y$34)*Y28/SUM(Y$28,Y$31)</f>
        <v>#DIV/0!</v>
      </c>
      <c r="Y28" s="258"/>
      <c r="Z28" s="96" t="s">
        <v>128</v>
      </c>
    </row>
    <row r="29" spans="13:26" ht="18">
      <c r="N29" s="99" t="s">
        <v>109</v>
      </c>
      <c r="O29" t="s">
        <v>129</v>
      </c>
      <c r="R29" s="193"/>
      <c r="S29" s="229" t="s">
        <v>89</v>
      </c>
      <c r="T29" s="248" t="s">
        <v>108</v>
      </c>
      <c r="U29" s="99" t="s">
        <v>109</v>
      </c>
      <c r="V29" s="99" t="s">
        <v>109</v>
      </c>
      <c r="W29" s="255"/>
      <c r="X29" s="96" t="s">
        <v>110</v>
      </c>
      <c r="Y29" s="96" t="s">
        <v>89</v>
      </c>
      <c r="Z29" s="96" t="s">
        <v>130</v>
      </c>
    </row>
    <row r="30" spans="13:26" ht="18">
      <c r="R30" s="193"/>
      <c r="W30" s="96" t="s">
        <v>155</v>
      </c>
      <c r="X30" s="256" t="s">
        <v>98</v>
      </c>
      <c r="Y30" s="256" t="s">
        <v>101</v>
      </c>
      <c r="Z30" s="96" t="s">
        <v>131</v>
      </c>
    </row>
    <row r="31" spans="13:26" ht="18">
      <c r="R31" s="193"/>
      <c r="W31" s="255"/>
      <c r="X31" s="257" t="e">
        <f>(S$28-Y$34)*Y31/SUM(Y$28,Y$31)</f>
        <v>#DIV/0!</v>
      </c>
      <c r="Y31" s="258"/>
      <c r="Z31" s="96" t="s">
        <v>132</v>
      </c>
    </row>
    <row r="32" spans="13:26" ht="18">
      <c r="R32" s="193"/>
      <c r="W32" s="255"/>
      <c r="X32" s="96" t="s">
        <v>110</v>
      </c>
      <c r="Y32" s="96" t="s">
        <v>89</v>
      </c>
      <c r="Z32" s="96"/>
    </row>
    <row r="33" spans="18:26" ht="18">
      <c r="R33" s="193"/>
      <c r="W33" s="255" t="s">
        <v>157</v>
      </c>
      <c r="X33" s="256" t="s">
        <v>98</v>
      </c>
      <c r="Y33" s="256" t="s">
        <v>101</v>
      </c>
      <c r="Z33" s="96"/>
    </row>
    <row r="34" spans="18:26" ht="18">
      <c r="R34" s="193"/>
      <c r="W34" s="255"/>
      <c r="X34" s="258"/>
      <c r="Y34" s="258"/>
      <c r="Z34" s="96"/>
    </row>
    <row r="35" spans="18:26" ht="18">
      <c r="R35" s="193"/>
      <c r="W35" s="255"/>
      <c r="X35" s="96" t="s">
        <v>89</v>
      </c>
      <c r="Y35" s="96" t="s">
        <v>89</v>
      </c>
      <c r="Z35" s="96"/>
    </row>
    <row r="36" spans="18:26" ht="18">
      <c r="R36" s="193"/>
    </row>
    <row r="37" spans="18:26" ht="18">
      <c r="R37" s="223" t="s">
        <v>134</v>
      </c>
    </row>
    <row r="38" spans="18:26" ht="18">
      <c r="R38" s="242">
        <f>S39/$N$10</f>
        <v>0.15355124498158926</v>
      </c>
      <c r="S38" s="217" t="s">
        <v>98</v>
      </c>
      <c r="T38" s="221" t="s">
        <v>96</v>
      </c>
      <c r="U38" s="90" t="s">
        <v>96</v>
      </c>
      <c r="V38" s="187" t="s">
        <v>99</v>
      </c>
      <c r="W38" s="197" t="s">
        <v>100</v>
      </c>
      <c r="X38" s="220" t="s">
        <v>98</v>
      </c>
      <c r="Y38" s="220" t="s">
        <v>101</v>
      </c>
      <c r="Z38" t="s">
        <v>115</v>
      </c>
    </row>
    <row r="39" spans="18:26" ht="18">
      <c r="R39" s="193"/>
      <c r="S39" s="241">
        <f>'2025年度実績確認'!I40</f>
        <v>6585.8522693744617</v>
      </c>
      <c r="T39" s="237">
        <v>2</v>
      </c>
      <c r="U39" s="189">
        <v>0</v>
      </c>
      <c r="V39" s="188">
        <f>IF(S39=0,0,U39/S39)</f>
        <v>0</v>
      </c>
      <c r="W39" s="197"/>
      <c r="X39" s="240">
        <f>(S$39-Y$45)*Y39/SUM(Y$39,Y$42)</f>
        <v>3781.0354611860098</v>
      </c>
      <c r="Y39" s="250">
        <f>570+1725</f>
        <v>2295</v>
      </c>
      <c r="Z39" t="s">
        <v>128</v>
      </c>
    </row>
    <row r="40" spans="18:26" ht="18">
      <c r="R40" s="193"/>
      <c r="S40" s="238" t="s">
        <v>107</v>
      </c>
      <c r="T40" s="239" t="s">
        <v>108</v>
      </c>
      <c r="U40" s="99" t="s">
        <v>109</v>
      </c>
      <c r="V40" s="99" t="s">
        <v>109</v>
      </c>
      <c r="W40" s="197"/>
      <c r="X40" s="77" t="s">
        <v>110</v>
      </c>
      <c r="Y40" s="77" t="s">
        <v>89</v>
      </c>
      <c r="Z40" t="s">
        <v>130</v>
      </c>
    </row>
    <row r="41" spans="18:26" ht="18">
      <c r="R41" s="193"/>
      <c r="S41" s="249"/>
      <c r="T41" s="190"/>
      <c r="U41" s="191"/>
      <c r="V41" s="191"/>
      <c r="W41" t="s">
        <v>112</v>
      </c>
      <c r="X41" s="220" t="s">
        <v>98</v>
      </c>
      <c r="Y41" s="220" t="s">
        <v>101</v>
      </c>
      <c r="Z41" t="s">
        <v>131</v>
      </c>
    </row>
    <row r="42" spans="18:26" ht="18">
      <c r="R42" s="193"/>
      <c r="S42" s="249"/>
      <c r="T42" s="190"/>
      <c r="U42" s="191"/>
      <c r="V42" s="191"/>
      <c r="W42" s="197"/>
      <c r="X42" s="240">
        <f>(S$39-Y$45)*Y42/SUM(Y$39,Y$42)</f>
        <v>2767.8168081884519</v>
      </c>
      <c r="Y42" s="250">
        <f>494+1186</f>
        <v>1680</v>
      </c>
      <c r="Z42" t="s">
        <v>132</v>
      </c>
    </row>
    <row r="43" spans="18:26" ht="18">
      <c r="R43" s="193"/>
      <c r="S43" s="249"/>
      <c r="T43" s="190"/>
      <c r="U43" s="191"/>
      <c r="V43" s="191"/>
      <c r="W43" s="197"/>
      <c r="X43" s="77" t="s">
        <v>110</v>
      </c>
      <c r="Y43" s="77" t="s">
        <v>89</v>
      </c>
    </row>
    <row r="44" spans="18:26" ht="18">
      <c r="R44" s="193"/>
      <c r="S44" s="249"/>
      <c r="T44" s="190"/>
      <c r="U44" s="191"/>
      <c r="V44" s="191"/>
      <c r="W44" s="197" t="s">
        <v>158</v>
      </c>
      <c r="X44" s="220" t="s">
        <v>98</v>
      </c>
      <c r="Y44" s="220" t="s">
        <v>101</v>
      </c>
    </row>
    <row r="45" spans="18:26" ht="18">
      <c r="R45" s="193"/>
      <c r="S45" s="249"/>
      <c r="T45" s="190"/>
      <c r="U45" s="191"/>
      <c r="V45" s="191"/>
      <c r="W45" s="197"/>
      <c r="X45" s="254">
        <v>37</v>
      </c>
      <c r="Y45" s="251">
        <f>1065+2947-SUM(Y39,Y42)</f>
        <v>37</v>
      </c>
    </row>
    <row r="46" spans="18:26" ht="18">
      <c r="R46" s="193"/>
      <c r="S46" s="249"/>
      <c r="T46" s="190"/>
      <c r="U46" s="191"/>
      <c r="V46" s="191"/>
      <c r="W46" s="197"/>
      <c r="X46" s="252" t="s">
        <v>89</v>
      </c>
      <c r="Y46" s="252" t="s">
        <v>89</v>
      </c>
    </row>
    <row r="47" spans="18:26" ht="18">
      <c r="R47" s="222" t="s">
        <v>136</v>
      </c>
      <c r="U47" s="190"/>
      <c r="V47" s="191"/>
    </row>
    <row r="48" spans="18:26" ht="18">
      <c r="R48" s="242">
        <f>S49/$N$10</f>
        <v>9.6665311588311251E-2</v>
      </c>
      <c r="S48" s="217" t="s">
        <v>98</v>
      </c>
      <c r="T48" s="221" t="s">
        <v>96</v>
      </c>
      <c r="U48" s="90" t="s">
        <v>96</v>
      </c>
      <c r="V48" s="187" t="s">
        <v>99</v>
      </c>
      <c r="W48" s="96" t="s">
        <v>137</v>
      </c>
      <c r="X48" s="96"/>
      <c r="Y48" s="96"/>
      <c r="Z48" s="96"/>
    </row>
    <row r="49" spans="18:26" ht="18">
      <c r="R49" s="193"/>
      <c r="S49" s="228">
        <f>'2025年度実績確認'!I41</f>
        <v>4146</v>
      </c>
      <c r="T49" s="228">
        <v>6</v>
      </c>
      <c r="U49" s="189">
        <v>6</v>
      </c>
      <c r="V49" s="188">
        <f>IF(S49=0,0,U49/S49)</f>
        <v>1.4471780028943559E-3</v>
      </c>
      <c r="W49" s="96" t="s">
        <v>138</v>
      </c>
      <c r="X49" s="96"/>
      <c r="Y49" s="96"/>
      <c r="Z49" s="96"/>
    </row>
    <row r="50" spans="18:26" ht="18">
      <c r="R50" s="193"/>
      <c r="S50" s="229" t="s">
        <v>89</v>
      </c>
      <c r="T50" s="230" t="s">
        <v>108</v>
      </c>
      <c r="U50" s="99" t="s">
        <v>109</v>
      </c>
      <c r="V50" s="99" t="s">
        <v>109</v>
      </c>
    </row>
    <row r="51" spans="18:26" ht="18">
      <c r="R51" s="223" t="s">
        <v>139</v>
      </c>
      <c r="U51" s="190"/>
      <c r="V51" s="191"/>
    </row>
    <row r="52" spans="18:26" ht="18">
      <c r="R52" s="242">
        <f>S53/$N$10</f>
        <v>2.141952850658612E-2</v>
      </c>
      <c r="S52" s="217" t="s">
        <v>98</v>
      </c>
      <c r="T52" s="221" t="s">
        <v>96</v>
      </c>
      <c r="U52" s="90" t="s">
        <v>96</v>
      </c>
      <c r="V52" s="187" t="s">
        <v>99</v>
      </c>
      <c r="W52" s="197" t="s">
        <v>100</v>
      </c>
      <c r="X52" s="220" t="s">
        <v>98</v>
      </c>
      <c r="Y52" s="220" t="s">
        <v>101</v>
      </c>
      <c r="Z52" t="s">
        <v>140</v>
      </c>
    </row>
    <row r="53" spans="18:26" ht="18">
      <c r="R53" s="193"/>
      <c r="S53" s="241">
        <f>'2025年度実績確認'!I42</f>
        <v>918.68906983427541</v>
      </c>
      <c r="T53" s="237">
        <f>(K$10-SUM(U$28,U$49,U$76))*U53/SUM(U$10,U$39,U$53,U$65)</f>
        <v>7.0434782608695654</v>
      </c>
      <c r="U53" s="189">
        <v>3</v>
      </c>
      <c r="V53" s="188">
        <f>IF(S53=0,0,U53/S53)</f>
        <v>3.2655226871711636E-3</v>
      </c>
      <c r="W53" s="197"/>
      <c r="X53" s="240">
        <f>(S$53-Y$62)*Y53/SUM(Y$59,Y$56,Y$53)</f>
        <v>367.03370027330448</v>
      </c>
      <c r="Y53" s="227">
        <v>140</v>
      </c>
      <c r="Z53" t="s">
        <v>141</v>
      </c>
    </row>
    <row r="54" spans="18:26" ht="18">
      <c r="R54" s="193"/>
      <c r="S54" s="238" t="s">
        <v>107</v>
      </c>
      <c r="T54" s="239" t="s">
        <v>108</v>
      </c>
      <c r="U54" s="99" t="s">
        <v>109</v>
      </c>
      <c r="V54" s="99" t="s">
        <v>109</v>
      </c>
      <c r="W54" s="197"/>
      <c r="X54" s="77" t="s">
        <v>110</v>
      </c>
      <c r="Y54" s="226" t="s">
        <v>89</v>
      </c>
      <c r="Z54" t="s">
        <v>142</v>
      </c>
    </row>
    <row r="55" spans="18:26" ht="18">
      <c r="R55" s="193"/>
      <c r="W55" t="s">
        <v>112</v>
      </c>
      <c r="X55" s="220" t="s">
        <v>98</v>
      </c>
      <c r="Y55" s="220" t="s">
        <v>101</v>
      </c>
      <c r="Z55" t="s">
        <v>143</v>
      </c>
    </row>
    <row r="56" spans="18:26" ht="18">
      <c r="R56" s="193"/>
      <c r="W56" s="197"/>
      <c r="X56" s="240">
        <f>(S$53-Y$62)*Y56/SUM(Y$59,Y$56,Y$53)</f>
        <v>123.21845652032364</v>
      </c>
      <c r="Y56" s="227">
        <v>47</v>
      </c>
      <c r="Z56" t="s">
        <v>144</v>
      </c>
    </row>
    <row r="57" spans="18:26" ht="18">
      <c r="R57" s="193"/>
      <c r="X57" s="77" t="s">
        <v>110</v>
      </c>
      <c r="Y57" s="226" t="s">
        <v>89</v>
      </c>
    </row>
    <row r="58" spans="18:26" ht="18">
      <c r="R58" s="215"/>
      <c r="W58" t="s">
        <v>154</v>
      </c>
      <c r="X58" s="220" t="s">
        <v>98</v>
      </c>
      <c r="Y58" s="219" t="s">
        <v>101</v>
      </c>
    </row>
    <row r="59" spans="18:26" ht="18">
      <c r="R59" s="215"/>
      <c r="W59" s="197"/>
      <c r="X59" s="240">
        <f>(S$53-Y$62)*Y59/SUM(Y$59,Y$56,Y$53)</f>
        <v>246.43691304064728</v>
      </c>
      <c r="Y59" s="225">
        <v>94</v>
      </c>
    </row>
    <row r="60" spans="18:26" ht="18">
      <c r="R60" s="215"/>
      <c r="X60" s="77" t="s">
        <v>110</v>
      </c>
      <c r="Y60" s="226" t="s">
        <v>89</v>
      </c>
    </row>
    <row r="61" spans="18:26" ht="18">
      <c r="R61" s="215"/>
      <c r="W61" s="197" t="s">
        <v>159</v>
      </c>
      <c r="X61" s="220" t="s">
        <v>98</v>
      </c>
      <c r="Y61" s="220" t="s">
        <v>101</v>
      </c>
    </row>
    <row r="62" spans="18:26" ht="18">
      <c r="R62" s="215"/>
      <c r="W62" s="197"/>
      <c r="X62" s="253">
        <v>182</v>
      </c>
      <c r="Y62" s="227">
        <f>463-SUM(Y59,Y56,Y53)</f>
        <v>182</v>
      </c>
    </row>
    <row r="63" spans="18:26" ht="18">
      <c r="R63" s="223" t="s">
        <v>146</v>
      </c>
      <c r="W63" s="197"/>
      <c r="X63" s="226" t="s">
        <v>89</v>
      </c>
      <c r="Y63" s="226" t="s">
        <v>89</v>
      </c>
    </row>
    <row r="64" spans="18:26" ht="18">
      <c r="R64" s="242">
        <f>S65/$N$10</f>
        <v>5.5378405993069535E-2</v>
      </c>
      <c r="S64" s="217" t="s">
        <v>98</v>
      </c>
      <c r="T64" s="221" t="s">
        <v>96</v>
      </c>
      <c r="U64" s="90" t="s">
        <v>96</v>
      </c>
      <c r="V64" s="187" t="s">
        <v>99</v>
      </c>
      <c r="W64" s="197" t="s">
        <v>100</v>
      </c>
      <c r="X64" s="220" t="s">
        <v>98</v>
      </c>
      <c r="Y64" s="220" t="s">
        <v>101</v>
      </c>
      <c r="Z64" t="s">
        <v>147</v>
      </c>
    </row>
    <row r="65" spans="18:26" ht="18">
      <c r="R65" s="193"/>
      <c r="S65" s="241">
        <f>'2025年度実績確認'!I43</f>
        <v>2375.1940326340327</v>
      </c>
      <c r="T65" s="237">
        <f>(K$10-SUM(U$28,U$49,U$76))*U65/SUM(U$10,U$39,U$53,U$65)</f>
        <v>21.130434782608695</v>
      </c>
      <c r="U65" s="189">
        <v>9</v>
      </c>
      <c r="V65" s="188">
        <f>IF(S65=0,0,U65/S65)</f>
        <v>3.7891641172654923E-3</v>
      </c>
      <c r="X65" s="240">
        <f>(S$65-Y$71)*Y65/SUM(Y$65,Y$68)</f>
        <v>1382.9978056378056</v>
      </c>
      <c r="Y65" s="227">
        <v>223</v>
      </c>
      <c r="Z65" t="s">
        <v>148</v>
      </c>
    </row>
    <row r="66" spans="18:26" ht="18">
      <c r="R66" s="193"/>
      <c r="S66" s="238" t="s">
        <v>107</v>
      </c>
      <c r="T66" s="239" t="s">
        <v>108</v>
      </c>
      <c r="U66" s="99" t="s">
        <v>109</v>
      </c>
      <c r="V66" s="99" t="s">
        <v>109</v>
      </c>
      <c r="X66" s="77" t="s">
        <v>110</v>
      </c>
      <c r="Y66" s="226" t="s">
        <v>89</v>
      </c>
      <c r="Z66" t="s">
        <v>149</v>
      </c>
    </row>
    <row r="67" spans="18:26" ht="18">
      <c r="R67" s="193"/>
      <c r="W67" t="s">
        <v>112</v>
      </c>
      <c r="X67" s="220" t="s">
        <v>98</v>
      </c>
      <c r="Y67" s="219" t="s">
        <v>101</v>
      </c>
      <c r="Z67" t="s">
        <v>150</v>
      </c>
    </row>
    <row r="68" spans="18:26" ht="18">
      <c r="R68" s="193"/>
      <c r="X68" s="240">
        <f>(S$65-Y$71)*Y68/SUM(Y$65,Y$68)</f>
        <v>682.19622699622698</v>
      </c>
      <c r="Y68" s="225">
        <v>110</v>
      </c>
      <c r="Z68" t="s">
        <v>151</v>
      </c>
    </row>
    <row r="69" spans="18:26" ht="15.75" customHeight="1">
      <c r="R69" s="193"/>
      <c r="X69" s="77" t="s">
        <v>110</v>
      </c>
      <c r="Y69" s="226" t="s">
        <v>89</v>
      </c>
    </row>
    <row r="70" spans="18:26" ht="15.75" customHeight="1">
      <c r="R70" s="193"/>
      <c r="W70" s="197" t="s">
        <v>158</v>
      </c>
      <c r="X70" s="220" t="s">
        <v>98</v>
      </c>
      <c r="Y70" s="220" t="s">
        <v>101</v>
      </c>
    </row>
    <row r="71" spans="18:26" ht="15.75" customHeight="1">
      <c r="R71" s="193"/>
      <c r="X71" s="253">
        <v>310</v>
      </c>
      <c r="Y71" s="227">
        <f>643-SUM(Y65,Y68)</f>
        <v>310</v>
      </c>
    </row>
    <row r="72" spans="18:26" ht="15.75" customHeight="1">
      <c r="R72" s="193"/>
      <c r="X72" s="226" t="s">
        <v>89</v>
      </c>
      <c r="Y72" s="226" t="s">
        <v>89</v>
      </c>
    </row>
    <row r="73" spans="18:26" ht="15.75" customHeight="1">
      <c r="R73" s="193"/>
    </row>
    <row r="74" spans="18:26" ht="15.75" customHeight="1">
      <c r="R74" s="222" t="s">
        <v>119</v>
      </c>
    </row>
    <row r="75" spans="18:26" ht="15.75" customHeight="1">
      <c r="R75" s="242">
        <f>S76/$N$10</f>
        <v>7.5075326414462667E-3</v>
      </c>
      <c r="S75" s="217" t="s">
        <v>98</v>
      </c>
      <c r="T75" s="221" t="s">
        <v>96</v>
      </c>
      <c r="U75" s="90" t="s">
        <v>96</v>
      </c>
      <c r="V75" s="187" t="s">
        <v>99</v>
      </c>
    </row>
    <row r="76" spans="18:26" ht="15.75" customHeight="1">
      <c r="S76" s="228">
        <f>'2025年度実績確認'!I44</f>
        <v>322</v>
      </c>
      <c r="T76" s="228">
        <v>8</v>
      </c>
      <c r="U76" s="189">
        <v>8</v>
      </c>
      <c r="V76" s="188">
        <f>IF(S76=0,0,U76/S76)</f>
        <v>2.4844720496894408E-2</v>
      </c>
    </row>
    <row r="77" spans="18:26" ht="15.75" customHeight="1">
      <c r="S77" s="229" t="s">
        <v>89</v>
      </c>
      <c r="T77" s="230" t="s">
        <v>108</v>
      </c>
      <c r="U77" s="99" t="s">
        <v>109</v>
      </c>
      <c r="V77" s="99" t="s">
        <v>109</v>
      </c>
    </row>
  </sheetData>
  <phoneticPr fontId="1"/>
  <hyperlinks>
    <hyperlink ref="H3" r:id="rId1" xr:uid="{D2F72C49-9E90-4EC0-94FC-04C7C1ED4C7A}"/>
  </hyperlinks>
  <pageMargins left="0.7" right="0.7" top="0.75" bottom="0.75" header="0.3" footer="0.3"/>
  <pageSetup paperSize="9" scale="63" orientation="landscape"/>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95EC1-353D-44C4-B953-5E24F72B016E}">
  <sheetPr>
    <tabColor theme="5" tint="0.39997558519241921"/>
    <pageSetUpPr fitToPage="1"/>
  </sheetPr>
  <dimension ref="A1:Z68"/>
  <sheetViews>
    <sheetView zoomScale="85" zoomScaleNormal="85" workbookViewId="0">
      <selection activeCell="T14" sqref="T14"/>
    </sheetView>
  </sheetViews>
  <sheetFormatPr defaultRowHeight="15.75" customHeight="1"/>
  <cols>
    <col min="3" max="4" width="5.08203125" customWidth="1"/>
    <col min="6" max="7" width="4.33203125" customWidth="1"/>
    <col min="9" max="10" width="4.83203125" customWidth="1"/>
    <col min="12" max="13" width="4.33203125" customWidth="1"/>
    <col min="16" max="17" width="0" hidden="1" customWidth="1"/>
    <col min="19" max="19" width="9" style="214"/>
    <col min="20" max="20" width="9" style="224"/>
    <col min="23" max="23" width="19.75" customWidth="1"/>
    <col min="24" max="24" width="9.25" customWidth="1"/>
    <col min="25" max="25" width="9.5" customWidth="1"/>
    <col min="27" max="28" width="9"/>
  </cols>
  <sheetData>
    <row r="1" spans="1:26" ht="18">
      <c r="A1" s="6" t="s">
        <v>84</v>
      </c>
    </row>
    <row r="2" spans="1:26" ht="18">
      <c r="A2" t="s">
        <v>160</v>
      </c>
      <c r="H2" s="180" t="s">
        <v>86</v>
      </c>
      <c r="I2" s="181"/>
      <c r="J2" s="181"/>
      <c r="K2" s="181"/>
      <c r="L2" s="181"/>
      <c r="M2" s="181"/>
      <c r="N2" s="182"/>
    </row>
    <row r="3" spans="1:26" ht="18">
      <c r="H3" s="183" t="s">
        <v>87</v>
      </c>
      <c r="I3" s="184"/>
      <c r="J3" s="184"/>
      <c r="K3" s="184"/>
      <c r="L3" s="184"/>
      <c r="M3" s="184"/>
      <c r="N3" s="185"/>
    </row>
    <row r="4" spans="1:26" ht="18">
      <c r="H4" s="243"/>
      <c r="I4" t="s">
        <v>88</v>
      </c>
    </row>
    <row r="5" spans="1:26" ht="18">
      <c r="H5" s="226"/>
      <c r="I5" t="s">
        <v>89</v>
      </c>
    </row>
    <row r="6" spans="1:26" ht="18">
      <c r="H6" s="77"/>
      <c r="I6" t="s">
        <v>74</v>
      </c>
    </row>
    <row r="8" spans="1:26" ht="18">
      <c r="B8" s="89" t="s">
        <v>90</v>
      </c>
      <c r="N8" s="35"/>
      <c r="P8" s="108"/>
      <c r="R8" s="223" t="s">
        <v>91</v>
      </c>
      <c r="Z8" s="201" t="s">
        <v>92</v>
      </c>
    </row>
    <row r="9" spans="1:26" ht="18">
      <c r="B9" s="90" t="s">
        <v>12</v>
      </c>
      <c r="E9" s="90" t="s">
        <v>94</v>
      </c>
      <c r="F9" s="86"/>
      <c r="H9" s="90" t="s">
        <v>95</v>
      </c>
      <c r="I9" s="86"/>
      <c r="J9" s="87"/>
      <c r="K9" s="90" t="s">
        <v>96</v>
      </c>
      <c r="N9" s="186" t="s">
        <v>97</v>
      </c>
      <c r="P9" s="107">
        <f>SUM(R9,R24,R35,R39,R43,R55)</f>
        <v>0.97138763239962911</v>
      </c>
      <c r="R9" s="242">
        <f>S10/$N$10</f>
        <v>0.61804171705782895</v>
      </c>
      <c r="S9" s="217" t="s">
        <v>98</v>
      </c>
      <c r="T9" s="221" t="s">
        <v>96</v>
      </c>
      <c r="U9" s="90" t="s">
        <v>96</v>
      </c>
      <c r="V9" s="187" t="s">
        <v>99</v>
      </c>
      <c r="W9" s="197" t="s">
        <v>100</v>
      </c>
      <c r="X9" s="220" t="s">
        <v>98</v>
      </c>
      <c r="Y9" s="220" t="s">
        <v>101</v>
      </c>
      <c r="Z9" t="s">
        <v>102</v>
      </c>
    </row>
    <row r="10" spans="1:26" ht="18">
      <c r="B10" s="103">
        <f>'2025年度実績確認'!J29</f>
        <v>10</v>
      </c>
      <c r="C10" s="91"/>
      <c r="D10" s="90"/>
      <c r="E10" s="103">
        <f>'2025年度実績確認'!J31</f>
        <v>30</v>
      </c>
      <c r="F10" s="92"/>
      <c r="G10" s="90"/>
      <c r="H10" s="102">
        <f>'2025年度実績確認'!J33</f>
        <v>138</v>
      </c>
      <c r="I10" s="93"/>
      <c r="J10" s="94"/>
      <c r="K10" s="103">
        <f>'2025年度実績確認'!J35</f>
        <v>450</v>
      </c>
      <c r="L10" s="91"/>
      <c r="M10" s="94"/>
      <c r="N10" s="234">
        <f>K10/N25</f>
        <v>46832.894736842107</v>
      </c>
      <c r="O10" s="88"/>
      <c r="P10" s="105">
        <f>SUM(S10,S25,S36,S40,S44,S56)</f>
        <v>45492.894736842107</v>
      </c>
      <c r="Q10" s="88"/>
      <c r="R10" s="216"/>
      <c r="S10" s="237">
        <f>'2025年度実績確認'!J38</f>
        <v>28944.682677946454</v>
      </c>
      <c r="T10" s="237">
        <f>(K$10-SUM(U$36,U$40,U$67))*U10/SUM(U$10,U$25,U$44,U$56)</f>
        <v>74.190647482014384</v>
      </c>
      <c r="U10" s="189">
        <v>55</v>
      </c>
      <c r="V10" s="188">
        <f>IF(S10=0,0,U10/S10)</f>
        <v>1.9001762987681887E-3</v>
      </c>
      <c r="W10" s="197"/>
      <c r="X10" s="240">
        <f>(S$10-Y$19)*Y10/SUM(Y$16,Y$13,Y$10)</f>
        <v>1206.29649950714</v>
      </c>
      <c r="Y10" s="227">
        <v>783</v>
      </c>
      <c r="Z10" t="s">
        <v>103</v>
      </c>
    </row>
    <row r="11" spans="1:26" ht="18">
      <c r="B11" s="104" t="s">
        <v>104</v>
      </c>
      <c r="C11" s="9"/>
      <c r="D11" s="97"/>
      <c r="E11" s="104" t="s">
        <v>104</v>
      </c>
      <c r="F11" s="9"/>
      <c r="G11" s="97"/>
      <c r="H11" s="106" t="s">
        <v>105</v>
      </c>
      <c r="I11" s="93"/>
      <c r="J11" s="97"/>
      <c r="K11" s="104" t="s">
        <v>104</v>
      </c>
      <c r="M11" s="85"/>
      <c r="N11" s="235" t="s">
        <v>106</v>
      </c>
      <c r="P11" s="109">
        <f>P10-N10</f>
        <v>-1340</v>
      </c>
      <c r="R11" s="193"/>
      <c r="S11" s="238" t="s">
        <v>107</v>
      </c>
      <c r="T11" s="239" t="s">
        <v>108</v>
      </c>
      <c r="U11" s="99" t="s">
        <v>109</v>
      </c>
      <c r="V11" s="99" t="s">
        <v>109</v>
      </c>
      <c r="W11" s="197"/>
      <c r="X11" s="77" t="s">
        <v>110</v>
      </c>
      <c r="Y11" s="226" t="s">
        <v>89</v>
      </c>
      <c r="Z11" t="s">
        <v>111</v>
      </c>
    </row>
    <row r="12" spans="1:26" ht="18">
      <c r="D12" s="85"/>
      <c r="G12" s="85"/>
      <c r="J12" s="85"/>
      <c r="M12" s="85"/>
      <c r="R12" s="193"/>
      <c r="W12" t="s">
        <v>112</v>
      </c>
      <c r="X12" s="220" t="s">
        <v>98</v>
      </c>
      <c r="Y12" s="220" t="s">
        <v>101</v>
      </c>
      <c r="Z12" t="s">
        <v>113</v>
      </c>
    </row>
    <row r="13" spans="1:26" ht="18">
      <c r="D13" s="84"/>
      <c r="E13" s="90" t="s">
        <v>11</v>
      </c>
      <c r="G13" s="84"/>
      <c r="H13" s="90" t="s">
        <v>8</v>
      </c>
      <c r="J13" s="84"/>
      <c r="K13" s="90" t="s">
        <v>6</v>
      </c>
      <c r="M13" s="85"/>
      <c r="R13" s="193"/>
      <c r="W13" s="197"/>
      <c r="X13" s="240">
        <f>(S$10-Y$19)*Y13/SUM(Y$16,Y$13,Y$10)</f>
        <v>1502.093342298163</v>
      </c>
      <c r="Y13" s="227">
        <v>975</v>
      </c>
      <c r="Z13" t="s">
        <v>114</v>
      </c>
    </row>
    <row r="14" spans="1:26" ht="18">
      <c r="E14" s="100">
        <f>B10/E10</f>
        <v>0.33333333333333331</v>
      </c>
      <c r="F14" s="95"/>
      <c r="G14" s="35"/>
      <c r="H14" s="98">
        <f>E10/H10</f>
        <v>0.21739130434782608</v>
      </c>
      <c r="I14" s="95"/>
      <c r="J14" s="35"/>
      <c r="K14" s="100">
        <f>H10/K10</f>
        <v>0.30666666666666664</v>
      </c>
      <c r="M14" s="85"/>
      <c r="R14" s="193"/>
      <c r="X14" s="77" t="s">
        <v>110</v>
      </c>
      <c r="Y14" s="226" t="s">
        <v>89</v>
      </c>
      <c r="Z14" t="s">
        <v>115</v>
      </c>
    </row>
    <row r="15" spans="1:26" ht="18">
      <c r="E15" s="101" t="s">
        <v>116</v>
      </c>
      <c r="H15" s="99" t="s">
        <v>109</v>
      </c>
      <c r="K15" s="101" t="s">
        <v>117</v>
      </c>
      <c r="M15" s="85"/>
      <c r="R15" s="193"/>
      <c r="W15" t="s">
        <v>154</v>
      </c>
      <c r="X15" s="220" t="s">
        <v>98</v>
      </c>
      <c r="Y15" s="219" t="s">
        <v>101</v>
      </c>
    </row>
    <row r="16" spans="1:26" ht="18">
      <c r="M16" s="85"/>
      <c r="R16" s="193"/>
      <c r="W16" s="197"/>
      <c r="X16" s="240">
        <f>(S$10-Y$19)*Y16/SUM(Y$16,Y$13,Y$10)</f>
        <v>24386.29283614115</v>
      </c>
      <c r="Y16" s="225">
        <v>15829</v>
      </c>
    </row>
    <row r="17" spans="13:26" ht="18">
      <c r="M17" s="85"/>
      <c r="R17" s="193"/>
      <c r="X17" s="77" t="s">
        <v>110</v>
      </c>
      <c r="Y17" s="226" t="s">
        <v>89</v>
      </c>
    </row>
    <row r="18" spans="13:26" ht="18">
      <c r="M18" s="85"/>
      <c r="R18" s="193"/>
      <c r="W18" s="197" t="s">
        <v>161</v>
      </c>
      <c r="X18" s="220" t="s">
        <v>98</v>
      </c>
      <c r="Y18" s="220" t="s">
        <v>101</v>
      </c>
    </row>
    <row r="19" spans="13:26" ht="18">
      <c r="M19" s="85"/>
      <c r="R19" s="193"/>
      <c r="W19" s="197"/>
      <c r="X19" s="227">
        <v>1850</v>
      </c>
      <c r="Y19" s="227">
        <f>19437-SUM(Y10,Y13,Y16)</f>
        <v>1850</v>
      </c>
    </row>
    <row r="20" spans="13:26" ht="18">
      <c r="M20" s="85"/>
      <c r="R20" s="193"/>
      <c r="W20" s="197"/>
      <c r="X20" s="226" t="s">
        <v>89</v>
      </c>
      <c r="Y20" s="226" t="s">
        <v>89</v>
      </c>
    </row>
    <row r="21" spans="13:26" ht="18">
      <c r="M21" s="85"/>
      <c r="R21" s="193"/>
      <c r="W21" s="96" t="s">
        <v>122</v>
      </c>
      <c r="X21" s="96"/>
      <c r="Y21" s="96"/>
      <c r="Z21" s="96"/>
    </row>
    <row r="22" spans="13:26" ht="18">
      <c r="M22" s="85"/>
      <c r="R22" s="193"/>
      <c r="W22" s="96" t="s">
        <v>123</v>
      </c>
      <c r="X22" s="96"/>
      <c r="Y22" s="96"/>
      <c r="Z22" s="96" t="s">
        <v>124</v>
      </c>
    </row>
    <row r="23" spans="13:26" ht="18">
      <c r="M23" s="85"/>
      <c r="R23" s="223" t="s">
        <v>125</v>
      </c>
    </row>
    <row r="24" spans="13:26" ht="18">
      <c r="M24" s="86"/>
      <c r="N24" s="187" t="s">
        <v>99</v>
      </c>
      <c r="O24" t="s">
        <v>126</v>
      </c>
      <c r="R24" s="242">
        <f>S25/$N$10</f>
        <v>0.15884432249694919</v>
      </c>
      <c r="S24" s="217" t="s">
        <v>98</v>
      </c>
      <c r="T24" s="221" t="s">
        <v>96</v>
      </c>
      <c r="U24" s="90" t="s">
        <v>96</v>
      </c>
      <c r="V24" s="187" t="s">
        <v>99</v>
      </c>
      <c r="W24" s="197" t="s">
        <v>100</v>
      </c>
      <c r="X24" s="220" t="s">
        <v>98</v>
      </c>
      <c r="Y24" s="220" t="s">
        <v>101</v>
      </c>
      <c r="Z24" t="s">
        <v>115</v>
      </c>
    </row>
    <row r="25" spans="13:26" ht="18">
      <c r="N25" s="188">
        <f>'2025年度実績確認'!J36</f>
        <v>9.6086309105723033E-3</v>
      </c>
      <c r="O25" t="s">
        <v>127</v>
      </c>
      <c r="R25" s="193"/>
      <c r="S25" s="241">
        <f>'2025年度実績確認'!J39</f>
        <v>7439.1394350446217</v>
      </c>
      <c r="T25" s="237">
        <f>(K$10-SUM(U$36,U$40,U$67))*U25/SUM(U$10,U$25,U$44,U$56)</f>
        <v>109.26258992805755</v>
      </c>
      <c r="U25" s="189">
        <v>81</v>
      </c>
      <c r="V25" s="188">
        <f>IF(S25=0,0,U25/S25)</f>
        <v>1.0888356201312973E-2</v>
      </c>
      <c r="W25" s="197"/>
      <c r="X25" s="240">
        <f>(S$25-Y$31)*Y25/SUM(Y$25,Y$28)</f>
        <v>7031.9994741285273</v>
      </c>
      <c r="Y25" s="227">
        <v>4658</v>
      </c>
      <c r="Z25" t="s">
        <v>128</v>
      </c>
    </row>
    <row r="26" spans="13:26" ht="18">
      <c r="N26" s="99" t="s">
        <v>109</v>
      </c>
      <c r="O26" t="s">
        <v>129</v>
      </c>
      <c r="R26" s="193"/>
      <c r="S26" s="238" t="s">
        <v>107</v>
      </c>
      <c r="T26" s="239" t="s">
        <v>108</v>
      </c>
      <c r="U26" s="99" t="s">
        <v>109</v>
      </c>
      <c r="V26" s="99" t="s">
        <v>109</v>
      </c>
      <c r="W26" s="197"/>
      <c r="X26" s="77" t="s">
        <v>110</v>
      </c>
      <c r="Y26" s="226" t="s">
        <v>89</v>
      </c>
      <c r="Z26" t="s">
        <v>130</v>
      </c>
    </row>
    <row r="27" spans="13:26" ht="18">
      <c r="R27" s="193"/>
      <c r="W27" t="s">
        <v>162</v>
      </c>
      <c r="X27" s="220" t="s">
        <v>98</v>
      </c>
      <c r="Y27" s="220" t="s">
        <v>101</v>
      </c>
      <c r="Z27" t="s">
        <v>131</v>
      </c>
    </row>
    <row r="28" spans="13:26" ht="18">
      <c r="R28" s="193"/>
      <c r="W28" s="197"/>
      <c r="X28" s="240">
        <f>(S$25-Y$31)*Y28/SUM(Y$25,Y$28)</f>
        <v>178.13996091609408</v>
      </c>
      <c r="Y28" s="227">
        <v>118</v>
      </c>
      <c r="Z28" t="s">
        <v>132</v>
      </c>
    </row>
    <row r="29" spans="13:26" ht="18">
      <c r="R29" s="193"/>
      <c r="W29" s="197"/>
      <c r="X29" s="77" t="s">
        <v>110</v>
      </c>
      <c r="Y29" s="226" t="s">
        <v>89</v>
      </c>
    </row>
    <row r="30" spans="13:26" ht="18">
      <c r="R30" s="193"/>
      <c r="W30" s="197" t="s">
        <v>163</v>
      </c>
      <c r="X30" s="220" t="s">
        <v>98</v>
      </c>
      <c r="Y30" s="220" t="s">
        <v>101</v>
      </c>
    </row>
    <row r="31" spans="13:26" ht="18">
      <c r="R31" s="193"/>
      <c r="W31" s="197"/>
      <c r="X31" s="227">
        <f>Y31</f>
        <v>229</v>
      </c>
      <c r="Y31" s="227">
        <f>5005-SUM(Y25,Y28)</f>
        <v>229</v>
      </c>
    </row>
    <row r="32" spans="13:26" ht="18">
      <c r="R32" s="193"/>
      <c r="W32" s="197"/>
      <c r="X32" s="226" t="s">
        <v>89</v>
      </c>
      <c r="Y32" s="226" t="s">
        <v>89</v>
      </c>
    </row>
    <row r="33" spans="18:26" ht="18">
      <c r="R33" s="193"/>
    </row>
    <row r="34" spans="18:26" ht="18">
      <c r="R34" s="222" t="s">
        <v>134</v>
      </c>
    </row>
    <row r="35" spans="18:26" ht="18">
      <c r="R35" s="242">
        <f>S36/$N$10</f>
        <v>3.5274351698367658E-2</v>
      </c>
      <c r="S35" s="217" t="s">
        <v>98</v>
      </c>
      <c r="T35" s="221" t="s">
        <v>96</v>
      </c>
      <c r="U35" s="90" t="s">
        <v>96</v>
      </c>
      <c r="V35" s="187" t="s">
        <v>99</v>
      </c>
      <c r="W35" t="s">
        <v>135</v>
      </c>
    </row>
    <row r="36" spans="18:26" ht="18">
      <c r="R36" s="193"/>
      <c r="S36" s="228">
        <f>'2025年度実績確認'!J40</f>
        <v>1652</v>
      </c>
      <c r="T36" s="228">
        <f>K$10*U36/SUM(U$10,U$25,U$36,U$40,U$44,U$56,U$67)</f>
        <v>0</v>
      </c>
      <c r="U36" s="189">
        <v>0</v>
      </c>
      <c r="V36" s="188">
        <f>IF(S36=0,0,U36/S36)</f>
        <v>0</v>
      </c>
    </row>
    <row r="37" spans="18:26" ht="18">
      <c r="R37" s="193"/>
      <c r="S37" s="229" t="s">
        <v>89</v>
      </c>
      <c r="T37" s="230" t="s">
        <v>108</v>
      </c>
      <c r="U37" s="99" t="s">
        <v>109</v>
      </c>
      <c r="V37" s="99" t="s">
        <v>109</v>
      </c>
    </row>
    <row r="38" spans="18:26" ht="18">
      <c r="R38" s="222" t="s">
        <v>136</v>
      </c>
      <c r="U38" s="190"/>
      <c r="V38" s="191"/>
    </row>
    <row r="39" spans="18:26" ht="18">
      <c r="R39" s="242">
        <f>S40/$N$10</f>
        <v>8.4897592223189947E-2</v>
      </c>
      <c r="S39" s="217" t="s">
        <v>98</v>
      </c>
      <c r="T39" s="221" t="s">
        <v>96</v>
      </c>
      <c r="U39" s="90" t="s">
        <v>96</v>
      </c>
      <c r="V39" s="187" t="s">
        <v>99</v>
      </c>
      <c r="W39" s="96" t="s">
        <v>137</v>
      </c>
      <c r="X39" s="96"/>
      <c r="Y39" s="96"/>
      <c r="Z39" s="96"/>
    </row>
    <row r="40" spans="18:26" ht="18">
      <c r="R40" s="193"/>
      <c r="S40" s="228">
        <f>'2025年度実績確認'!J41</f>
        <v>3976</v>
      </c>
      <c r="T40" s="228">
        <v>33</v>
      </c>
      <c r="U40" s="189">
        <v>33</v>
      </c>
      <c r="V40" s="188">
        <f>IF(S40=0,0,U40/S40)</f>
        <v>8.2997987927565398E-3</v>
      </c>
      <c r="W40" s="96" t="s">
        <v>138</v>
      </c>
      <c r="X40" s="96"/>
      <c r="Y40" s="96"/>
      <c r="Z40" s="96"/>
    </row>
    <row r="41" spans="18:26" ht="18">
      <c r="R41" s="193"/>
      <c r="S41" s="229" t="s">
        <v>89</v>
      </c>
      <c r="T41" s="230" t="s">
        <v>108</v>
      </c>
      <c r="U41" s="99" t="s">
        <v>109</v>
      </c>
      <c r="V41" s="99" t="s">
        <v>109</v>
      </c>
    </row>
    <row r="42" spans="18:26" ht="18">
      <c r="R42" s="223" t="s">
        <v>139</v>
      </c>
      <c r="U42" s="190"/>
      <c r="V42" s="191"/>
    </row>
    <row r="43" spans="18:26" ht="18">
      <c r="R43" s="242">
        <f>S44/$N$10</f>
        <v>1.901805487811024E-2</v>
      </c>
      <c r="S43" s="217" t="s">
        <v>98</v>
      </c>
      <c r="T43" s="221" t="s">
        <v>96</v>
      </c>
      <c r="U43" s="90" t="s">
        <v>96</v>
      </c>
      <c r="V43" s="187" t="s">
        <v>99</v>
      </c>
      <c r="W43" s="197" t="s">
        <v>100</v>
      </c>
      <c r="X43" s="220" t="s">
        <v>98</v>
      </c>
      <c r="Y43" s="220" t="s">
        <v>101</v>
      </c>
      <c r="Z43" t="s">
        <v>140</v>
      </c>
    </row>
    <row r="44" spans="18:26" ht="18">
      <c r="R44" s="193"/>
      <c r="S44" s="241">
        <f>'2025年度実績確認'!J42</f>
        <v>890.67056220602342</v>
      </c>
      <c r="T44" s="237">
        <f>(K$10-SUM(U$36,U$40,U$67))*U44/SUM(U$10,U$25,U$44,U$56)</f>
        <v>157.82374100719426</v>
      </c>
      <c r="U44" s="189">
        <v>117</v>
      </c>
      <c r="V44" s="188">
        <f>IF(S44=0,0,U44/S44)</f>
        <v>0.13136170090792382</v>
      </c>
      <c r="W44" s="197"/>
      <c r="X44" s="240">
        <f>(S$44-Y$53)*Y44/SUM(Y$50,Y$47,Y$44)</f>
        <v>253.44291354509346</v>
      </c>
      <c r="Y44" s="227">
        <v>141</v>
      </c>
      <c r="Z44" t="s">
        <v>141</v>
      </c>
    </row>
    <row r="45" spans="18:26" ht="18">
      <c r="R45" s="193"/>
      <c r="S45" s="238" t="s">
        <v>107</v>
      </c>
      <c r="T45" s="239" t="s">
        <v>108</v>
      </c>
      <c r="U45" s="99" t="s">
        <v>109</v>
      </c>
      <c r="V45" s="99" t="s">
        <v>109</v>
      </c>
      <c r="W45" s="197"/>
      <c r="X45" s="77" t="s">
        <v>110</v>
      </c>
      <c r="Y45" s="226" t="s">
        <v>89</v>
      </c>
      <c r="Z45" t="s">
        <v>142</v>
      </c>
    </row>
    <row r="46" spans="18:26" ht="18">
      <c r="R46" s="193"/>
      <c r="W46" t="s">
        <v>112</v>
      </c>
      <c r="X46" s="220" t="s">
        <v>98</v>
      </c>
      <c r="Y46" s="220" t="s">
        <v>101</v>
      </c>
      <c r="Z46" t="s">
        <v>143</v>
      </c>
    </row>
    <row r="47" spans="18:26" ht="18">
      <c r="R47" s="193"/>
      <c r="W47" s="197"/>
      <c r="X47" s="240">
        <f>(S$44-Y$53)*Y47/SUM(Y$50,Y$47,Y$44)</f>
        <v>249.84797860119144</v>
      </c>
      <c r="Y47" s="227">
        <v>139</v>
      </c>
      <c r="Z47" t="s">
        <v>144</v>
      </c>
    </row>
    <row r="48" spans="18:26" ht="18">
      <c r="R48" s="193"/>
      <c r="X48" s="77" t="s">
        <v>110</v>
      </c>
      <c r="Y48" s="226" t="s">
        <v>89</v>
      </c>
    </row>
    <row r="49" spans="18:26" ht="18">
      <c r="R49" s="215"/>
      <c r="W49" t="s">
        <v>154</v>
      </c>
      <c r="X49" s="220" t="s">
        <v>98</v>
      </c>
      <c r="Y49" s="219" t="s">
        <v>101</v>
      </c>
    </row>
    <row r="50" spans="18:26" ht="18">
      <c r="R50" s="215"/>
      <c r="W50" s="197"/>
      <c r="X50" s="240">
        <f>(S$44-Y$53)*Y50/SUM(Y$50,Y$47,Y$44)</f>
        <v>156.37967005973852</v>
      </c>
      <c r="Y50" s="225">
        <v>87</v>
      </c>
    </row>
    <row r="51" spans="18:26" ht="18">
      <c r="R51" s="215"/>
      <c r="X51" s="77" t="s">
        <v>110</v>
      </c>
      <c r="Y51" s="226" t="s">
        <v>89</v>
      </c>
    </row>
    <row r="52" spans="18:26" ht="18">
      <c r="R52" s="215"/>
      <c r="W52" s="197" t="s">
        <v>161</v>
      </c>
      <c r="X52" s="220" t="s">
        <v>98</v>
      </c>
      <c r="Y52" s="220" t="s">
        <v>101</v>
      </c>
    </row>
    <row r="53" spans="18:26" ht="18">
      <c r="R53" s="215"/>
      <c r="W53" s="197"/>
      <c r="X53" s="227">
        <f>Y53</f>
        <v>231</v>
      </c>
      <c r="Y53" s="227">
        <f>598-SUM(Y50,Y47,Y44)</f>
        <v>231</v>
      </c>
    </row>
    <row r="54" spans="18:26" ht="18">
      <c r="R54" s="223" t="s">
        <v>146</v>
      </c>
      <c r="W54" s="197"/>
      <c r="X54" s="226" t="s">
        <v>89</v>
      </c>
      <c r="Y54" s="226" t="s">
        <v>89</v>
      </c>
    </row>
    <row r="55" spans="18:26" ht="18">
      <c r="R55" s="242">
        <f>S56/$N$10</f>
        <v>5.5311594045183168E-2</v>
      </c>
      <c r="S55" s="217" t="s">
        <v>98</v>
      </c>
      <c r="T55" s="221" t="s">
        <v>96</v>
      </c>
      <c r="U55" s="90" t="s">
        <v>96</v>
      </c>
      <c r="V55" s="187" t="s">
        <v>99</v>
      </c>
      <c r="W55" s="197" t="s">
        <v>100</v>
      </c>
      <c r="X55" s="220" t="s">
        <v>98</v>
      </c>
      <c r="Y55" s="220" t="s">
        <v>101</v>
      </c>
      <c r="Z55" t="s">
        <v>147</v>
      </c>
    </row>
    <row r="56" spans="18:26" ht="18">
      <c r="R56" s="193"/>
      <c r="S56" s="241">
        <f>'2025年度実績確認'!J43</f>
        <v>2590.4020616450061</v>
      </c>
      <c r="T56" s="237">
        <f>(K$10-SUM(U$36,U$40,U$67))*U56/SUM(U$10,U$25,U$44,U$56)</f>
        <v>33.723021582733814</v>
      </c>
      <c r="U56" s="189">
        <v>25</v>
      </c>
      <c r="V56" s="188">
        <f>IF(S56=0,0,U56/S56)</f>
        <v>9.6510114665844682E-3</v>
      </c>
      <c r="X56" s="240">
        <f>(S$56-Y$62)*Y56/SUM(Y$56,Y$59)</f>
        <v>2260.4846120700176</v>
      </c>
      <c r="Y56" s="227">
        <v>365</v>
      </c>
      <c r="Z56" t="s">
        <v>148</v>
      </c>
    </row>
    <row r="57" spans="18:26" ht="18">
      <c r="R57" s="193"/>
      <c r="S57" s="238" t="s">
        <v>107</v>
      </c>
      <c r="T57" s="239" t="s">
        <v>108</v>
      </c>
      <c r="U57" s="99" t="s">
        <v>109</v>
      </c>
      <c r="V57" s="99" t="s">
        <v>109</v>
      </c>
      <c r="X57" s="77" t="s">
        <v>110</v>
      </c>
      <c r="Y57" s="226" t="s">
        <v>89</v>
      </c>
      <c r="Z57" t="s">
        <v>149</v>
      </c>
    </row>
    <row r="58" spans="18:26" ht="18">
      <c r="R58" s="193"/>
      <c r="W58" t="s">
        <v>112</v>
      </c>
      <c r="X58" s="220" t="s">
        <v>98</v>
      </c>
      <c r="Y58" s="219" t="s">
        <v>101</v>
      </c>
      <c r="Z58" t="s">
        <v>150</v>
      </c>
    </row>
    <row r="59" spans="18:26" ht="18">
      <c r="R59" s="193"/>
      <c r="X59" s="240">
        <f>(S$56-Y$62)*Y59/SUM(Y$56,Y$59)</f>
        <v>253.9174495749883</v>
      </c>
      <c r="Y59" s="225">
        <v>41</v>
      </c>
      <c r="Z59" t="s">
        <v>151</v>
      </c>
    </row>
    <row r="60" spans="18:26" ht="15.75" customHeight="1">
      <c r="R60" s="193"/>
      <c r="X60" s="77" t="s">
        <v>110</v>
      </c>
      <c r="Y60" s="226" t="s">
        <v>89</v>
      </c>
    </row>
    <row r="61" spans="18:26" ht="15.75" customHeight="1">
      <c r="R61" s="193"/>
      <c r="W61" s="197" t="s">
        <v>164</v>
      </c>
      <c r="X61" s="220" t="s">
        <v>98</v>
      </c>
      <c r="Y61" s="220" t="s">
        <v>101</v>
      </c>
    </row>
    <row r="62" spans="18:26" ht="15.75" customHeight="1">
      <c r="R62" s="193"/>
      <c r="X62" s="227">
        <f>Y62</f>
        <v>76</v>
      </c>
      <c r="Y62" s="227">
        <f>482-SUM(Y56,Y59)</f>
        <v>76</v>
      </c>
    </row>
    <row r="63" spans="18:26" ht="15.75" customHeight="1">
      <c r="R63" s="193"/>
      <c r="X63" s="226" t="s">
        <v>89</v>
      </c>
      <c r="Y63" s="226" t="s">
        <v>89</v>
      </c>
    </row>
    <row r="64" spans="18:26" ht="15.75" customHeight="1">
      <c r="R64" s="193"/>
    </row>
    <row r="65" spans="18:22" ht="15.75" customHeight="1">
      <c r="R65" s="222" t="s">
        <v>119</v>
      </c>
    </row>
    <row r="66" spans="18:22" ht="15.75" customHeight="1">
      <c r="R66" s="242">
        <f>S67/$N$10</f>
        <v>2.8612367600370857E-2</v>
      </c>
      <c r="S66" s="217" t="s">
        <v>98</v>
      </c>
      <c r="T66" s="221" t="s">
        <v>96</v>
      </c>
      <c r="U66" s="90" t="s">
        <v>96</v>
      </c>
      <c r="V66" s="187" t="s">
        <v>99</v>
      </c>
    </row>
    <row r="67" spans="18:22" ht="15.75" customHeight="1">
      <c r="S67" s="228">
        <f>'2025年度実績確認'!J44</f>
        <v>1340</v>
      </c>
      <c r="T67" s="228">
        <v>42</v>
      </c>
      <c r="U67" s="189">
        <v>42</v>
      </c>
      <c r="V67" s="188">
        <f>IF(S67=0,0,U67/S67)</f>
        <v>3.134328358208955E-2</v>
      </c>
    </row>
    <row r="68" spans="18:22" ht="15.75" customHeight="1">
      <c r="S68" s="229" t="s">
        <v>89</v>
      </c>
      <c r="T68" s="230" t="s">
        <v>108</v>
      </c>
      <c r="U68" s="99" t="s">
        <v>109</v>
      </c>
      <c r="V68" s="99" t="s">
        <v>109</v>
      </c>
    </row>
  </sheetData>
  <phoneticPr fontId="1"/>
  <hyperlinks>
    <hyperlink ref="H3" r:id="rId1" xr:uid="{B027CE36-D975-4E29-A152-1D5C11870FA1}"/>
  </hyperlinks>
  <pageMargins left="0.7" right="0.7" top="0.75" bottom="0.75" header="0.3" footer="0.3"/>
  <pageSetup paperSize="9" scale="63" orientation="landscape"/>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94F87-7FC4-4793-A8CB-F41CA2322007}">
  <sheetPr>
    <tabColor theme="5" tint="0.39997558519241921"/>
    <pageSetUpPr fitToPage="1"/>
  </sheetPr>
  <dimension ref="A1:Z80"/>
  <sheetViews>
    <sheetView tabSelected="1" zoomScale="60" zoomScaleNormal="60" workbookViewId="0">
      <selection activeCell="U16" sqref="U16"/>
    </sheetView>
  </sheetViews>
  <sheetFormatPr defaultRowHeight="15.75" customHeight="1"/>
  <cols>
    <col min="3" max="4" width="5.08203125" customWidth="1"/>
    <col min="6" max="7" width="4.33203125" customWidth="1"/>
    <col min="9" max="10" width="4.83203125" customWidth="1"/>
    <col min="12" max="13" width="4.33203125" customWidth="1"/>
    <col min="16" max="17" width="0" hidden="1" customWidth="1"/>
    <col min="19" max="19" width="9" style="214"/>
    <col min="20" max="20" width="9" style="224"/>
    <col min="23" max="23" width="19.75" customWidth="1"/>
    <col min="24" max="24" width="9.25" customWidth="1"/>
    <col min="25" max="25" width="9.5" customWidth="1"/>
    <col min="27" max="28" width="9"/>
  </cols>
  <sheetData>
    <row r="1" spans="1:26" ht="18">
      <c r="A1" s="6" t="s">
        <v>84</v>
      </c>
    </row>
    <row r="2" spans="1:26" ht="18">
      <c r="A2" t="s">
        <v>165</v>
      </c>
      <c r="H2" s="180" t="s">
        <v>86</v>
      </c>
      <c r="I2" s="181"/>
      <c r="J2" s="181"/>
      <c r="K2" s="181"/>
      <c r="L2" s="181"/>
      <c r="M2" s="181"/>
      <c r="N2" s="182"/>
    </row>
    <row r="3" spans="1:26" ht="18">
      <c r="H3" s="183" t="s">
        <v>87</v>
      </c>
      <c r="I3" s="184"/>
      <c r="J3" s="184"/>
      <c r="K3" s="184"/>
      <c r="L3" s="184"/>
      <c r="M3" s="184"/>
      <c r="N3" s="185"/>
    </row>
    <row r="4" spans="1:26" ht="18">
      <c r="H4" s="243"/>
      <c r="I4" t="s">
        <v>88</v>
      </c>
    </row>
    <row r="5" spans="1:26" ht="18">
      <c r="H5" s="226"/>
      <c r="I5" t="s">
        <v>89</v>
      </c>
    </row>
    <row r="6" spans="1:26" ht="18">
      <c r="H6" s="77"/>
      <c r="I6" t="s">
        <v>74</v>
      </c>
    </row>
    <row r="8" spans="1:26" ht="18">
      <c r="B8" s="89" t="s">
        <v>90</v>
      </c>
      <c r="N8" s="35"/>
      <c r="P8" s="108"/>
      <c r="R8" s="223" t="s">
        <v>91</v>
      </c>
      <c r="Z8" s="201" t="s">
        <v>92</v>
      </c>
    </row>
    <row r="9" spans="1:26" ht="18">
      <c r="B9" s="90" t="s">
        <v>12</v>
      </c>
      <c r="E9" s="90" t="s">
        <v>94</v>
      </c>
      <c r="F9" s="86"/>
      <c r="H9" s="90" t="s">
        <v>95</v>
      </c>
      <c r="I9" s="86"/>
      <c r="J9" s="87"/>
      <c r="K9" s="90" t="s">
        <v>96</v>
      </c>
      <c r="N9" s="186" t="s">
        <v>97</v>
      </c>
      <c r="P9" s="107">
        <f>SUM(R9,R27,R38,R51,R55,R67)</f>
        <v>0.98056704295667074</v>
      </c>
      <c r="R9" s="242">
        <f>S10/$N$10</f>
        <v>0.22452059475502514</v>
      </c>
      <c r="S9" s="217" t="s">
        <v>98</v>
      </c>
      <c r="T9" s="221" t="s">
        <v>96</v>
      </c>
      <c r="U9" s="90" t="s">
        <v>96</v>
      </c>
      <c r="V9" s="187" t="s">
        <v>99</v>
      </c>
      <c r="W9" s="197" t="s">
        <v>100</v>
      </c>
      <c r="X9" s="220" t="s">
        <v>98</v>
      </c>
      <c r="Y9" s="220" t="s">
        <v>101</v>
      </c>
      <c r="Z9" t="s">
        <v>102</v>
      </c>
    </row>
    <row r="10" spans="1:26" ht="18">
      <c r="B10" s="103">
        <f>'2025年度実績確認'!K29</f>
        <v>4</v>
      </c>
      <c r="C10" s="91"/>
      <c r="D10" s="90"/>
      <c r="E10" s="103">
        <f>'2025年度実績確認'!K31</f>
        <v>12</v>
      </c>
      <c r="F10" s="92"/>
      <c r="G10" s="90"/>
      <c r="H10" s="102">
        <f>'2025年度実績確認'!K33</f>
        <v>54.857142857142854</v>
      </c>
      <c r="I10" s="93"/>
      <c r="J10" s="94"/>
      <c r="K10" s="103">
        <f>'2025年度実績確認'!K35</f>
        <v>276</v>
      </c>
      <c r="L10" s="91"/>
      <c r="M10" s="94"/>
      <c r="N10" s="234">
        <f>K10/N28</f>
        <v>25163.437500000004</v>
      </c>
      <c r="O10" s="88"/>
      <c r="P10" s="105">
        <f>SUM(S10,S28,S39,S52,S56,S68)</f>
        <v>24674.437500000007</v>
      </c>
      <c r="Q10" s="88"/>
      <c r="R10" s="216"/>
      <c r="S10" s="237">
        <f>'2025年度実績確認'!K38</f>
        <v>5649.7099535809039</v>
      </c>
      <c r="T10" s="237">
        <f>(K$10-SUM(U$28,U$52,U$79))*U10/SUM(U$10,U$39,U$56,U$68)</f>
        <v>4.5460122699386503</v>
      </c>
      <c r="U10" s="189">
        <v>3</v>
      </c>
      <c r="V10" s="188">
        <f>IF(S10=0,0,U10/S10)</f>
        <v>5.3100071059374249E-4</v>
      </c>
      <c r="W10" s="197"/>
      <c r="X10" s="240">
        <f>(S$10-Y$22)*Y10/SUM(Y$16,Y$13,Y$19,Y$10)</f>
        <v>1333.5464390932029</v>
      </c>
      <c r="Y10" s="227">
        <v>651</v>
      </c>
      <c r="Z10" t="s">
        <v>103</v>
      </c>
    </row>
    <row r="11" spans="1:26" ht="18">
      <c r="B11" s="104" t="s">
        <v>104</v>
      </c>
      <c r="C11" s="9"/>
      <c r="D11" s="97"/>
      <c r="E11" s="104" t="s">
        <v>104</v>
      </c>
      <c r="F11" s="9"/>
      <c r="G11" s="97"/>
      <c r="H11" s="106" t="s">
        <v>105</v>
      </c>
      <c r="I11" s="93"/>
      <c r="J11" s="97"/>
      <c r="K11" s="104" t="s">
        <v>104</v>
      </c>
      <c r="M11" s="85"/>
      <c r="N11" s="235" t="s">
        <v>106</v>
      </c>
      <c r="P11" s="109">
        <f>P10-N10</f>
        <v>-488.99999999999636</v>
      </c>
      <c r="R11" s="193"/>
      <c r="S11" s="238" t="s">
        <v>107</v>
      </c>
      <c r="T11" s="239" t="s">
        <v>108</v>
      </c>
      <c r="U11" s="99" t="s">
        <v>109</v>
      </c>
      <c r="V11" s="99" t="s">
        <v>109</v>
      </c>
      <c r="W11" s="197"/>
      <c r="X11" s="77" t="s">
        <v>110</v>
      </c>
      <c r="Y11" s="226" t="s">
        <v>89</v>
      </c>
      <c r="Z11" t="s">
        <v>111</v>
      </c>
    </row>
    <row r="12" spans="1:26" ht="18">
      <c r="D12" s="85"/>
      <c r="G12" s="85"/>
      <c r="J12" s="85"/>
      <c r="M12" s="85"/>
      <c r="R12" s="193"/>
      <c r="W12" t="s">
        <v>112</v>
      </c>
      <c r="X12" s="220" t="s">
        <v>98</v>
      </c>
      <c r="Y12" s="220" t="s">
        <v>101</v>
      </c>
      <c r="Z12" t="s">
        <v>113</v>
      </c>
    </row>
    <row r="13" spans="1:26" ht="18">
      <c r="D13" s="84"/>
      <c r="E13" s="90" t="s">
        <v>11</v>
      </c>
      <c r="G13" s="84"/>
      <c r="H13" s="90" t="s">
        <v>8</v>
      </c>
      <c r="J13" s="84"/>
      <c r="K13" s="90" t="s">
        <v>6</v>
      </c>
      <c r="M13" s="85"/>
      <c r="R13" s="193"/>
      <c r="W13" s="197"/>
      <c r="X13" s="240">
        <f>(S$10-Y$22)*Y13/SUM(Y$16,Y$13,Y$19,Y$10)</f>
        <v>2062.7976408093014</v>
      </c>
      <c r="Y13" s="227">
        <v>1007</v>
      </c>
      <c r="Z13" t="s">
        <v>114</v>
      </c>
    </row>
    <row r="14" spans="1:26" ht="18">
      <c r="E14" s="100">
        <f>B10/E10</f>
        <v>0.33333333333333331</v>
      </c>
      <c r="F14" s="95"/>
      <c r="G14" s="35"/>
      <c r="H14" s="98">
        <f>E10/H10</f>
        <v>0.21875</v>
      </c>
      <c r="I14" s="95"/>
      <c r="J14" s="35"/>
      <c r="K14" s="100">
        <f>H10/K10</f>
        <v>0.19875776397515527</v>
      </c>
      <c r="M14" s="85"/>
      <c r="R14" s="193"/>
      <c r="X14" s="77" t="s">
        <v>110</v>
      </c>
      <c r="Y14" s="226" t="s">
        <v>89</v>
      </c>
      <c r="Z14" t="s">
        <v>115</v>
      </c>
    </row>
    <row r="15" spans="1:26" ht="18">
      <c r="E15" s="101" t="s">
        <v>116</v>
      </c>
      <c r="H15" s="99" t="s">
        <v>109</v>
      </c>
      <c r="K15" s="101" t="s">
        <v>117</v>
      </c>
      <c r="M15" s="85"/>
      <c r="R15" s="193"/>
      <c r="W15" t="s">
        <v>154</v>
      </c>
      <c r="X15" s="220" t="s">
        <v>98</v>
      </c>
      <c r="Y15" s="219" t="s">
        <v>101</v>
      </c>
    </row>
    <row r="16" spans="1:26" ht="18">
      <c r="M16" s="85"/>
      <c r="R16" s="193"/>
      <c r="W16" s="197"/>
      <c r="X16" s="240">
        <f>(S$10-Y$22)*Y16/SUM(Y$16,Y$13,Y$19,Y$10)</f>
        <v>1147.1367218006046</v>
      </c>
      <c r="Y16" s="225">
        <v>560</v>
      </c>
    </row>
    <row r="17" spans="13:26" ht="18">
      <c r="M17" s="85"/>
      <c r="R17" s="193"/>
      <c r="X17" s="77" t="s">
        <v>110</v>
      </c>
      <c r="Y17" s="226" t="s">
        <v>89</v>
      </c>
    </row>
    <row r="18" spans="13:26" ht="18">
      <c r="M18" s="85"/>
      <c r="R18" s="193"/>
      <c r="W18" t="s">
        <v>166</v>
      </c>
      <c r="X18" s="220" t="s">
        <v>98</v>
      </c>
      <c r="Y18" s="220" t="s">
        <v>101</v>
      </c>
    </row>
    <row r="19" spans="13:26" ht="18">
      <c r="M19" s="85"/>
      <c r="R19" s="193"/>
      <c r="W19" s="197"/>
      <c r="X19" s="240">
        <f>(S$10-Y$22)*Y19/SUM(Y$16,Y$13,Y$19,Y$10)</f>
        <v>559.22915187779472</v>
      </c>
      <c r="Y19" s="227">
        <f>89+20+164</f>
        <v>273</v>
      </c>
    </row>
    <row r="20" spans="13:26" ht="18">
      <c r="M20" s="85"/>
      <c r="R20" s="193"/>
      <c r="W20" s="197"/>
      <c r="X20" s="77" t="s">
        <v>110</v>
      </c>
      <c r="Y20" s="226" t="s">
        <v>89</v>
      </c>
    </row>
    <row r="21" spans="13:26" ht="18">
      <c r="M21" s="85"/>
      <c r="R21" s="193"/>
      <c r="W21" s="197" t="s">
        <v>167</v>
      </c>
      <c r="X21" s="220" t="s">
        <v>98</v>
      </c>
      <c r="Y21" s="220" t="s">
        <v>101</v>
      </c>
    </row>
    <row r="22" spans="13:26" ht="18">
      <c r="M22" s="85"/>
      <c r="R22" s="193"/>
      <c r="W22" s="197"/>
      <c r="X22" s="253">
        <f>Y22</f>
        <v>547</v>
      </c>
      <c r="Y22" s="227">
        <f>3038-SUM(Y10,Y19,Y13,Y16)</f>
        <v>547</v>
      </c>
    </row>
    <row r="23" spans="13:26" ht="18">
      <c r="M23" s="85"/>
      <c r="R23" s="193"/>
      <c r="W23" s="197"/>
      <c r="X23" s="226" t="s">
        <v>89</v>
      </c>
      <c r="Y23" s="226" t="s">
        <v>89</v>
      </c>
    </row>
    <row r="24" spans="13:26" ht="18">
      <c r="M24" s="85"/>
      <c r="R24" s="193"/>
      <c r="W24" s="96" t="s">
        <v>122</v>
      </c>
      <c r="X24" s="96"/>
      <c r="Y24" s="96"/>
      <c r="Z24" s="96"/>
    </row>
    <row r="25" spans="13:26" ht="18">
      <c r="M25" s="85"/>
      <c r="R25" s="193"/>
      <c r="W25" s="96" t="s">
        <v>123</v>
      </c>
      <c r="X25" s="96"/>
      <c r="Y25" s="96"/>
      <c r="Z25" s="96" t="s">
        <v>124</v>
      </c>
    </row>
    <row r="26" spans="13:26" ht="18">
      <c r="M26" s="85"/>
      <c r="R26" s="222" t="s">
        <v>125</v>
      </c>
    </row>
    <row r="27" spans="13:26" ht="18">
      <c r="M27" s="86"/>
      <c r="N27" s="187" t="s">
        <v>99</v>
      </c>
      <c r="O27" t="s">
        <v>126</v>
      </c>
      <c r="R27" s="242">
        <f>S28/$N$10</f>
        <v>4.5899929212771501E-2</v>
      </c>
      <c r="S27" s="217" t="s">
        <v>98</v>
      </c>
      <c r="T27" s="221" t="s">
        <v>96</v>
      </c>
      <c r="U27" s="90" t="s">
        <v>96</v>
      </c>
      <c r="V27" s="187" t="s">
        <v>99</v>
      </c>
      <c r="W27" s="255" t="s">
        <v>100</v>
      </c>
      <c r="X27" s="256" t="s">
        <v>98</v>
      </c>
      <c r="Y27" s="256" t="s">
        <v>101</v>
      </c>
      <c r="Z27" s="96" t="s">
        <v>115</v>
      </c>
    </row>
    <row r="28" spans="13:26" ht="18">
      <c r="N28" s="188">
        <f>'2025年度実績確認'!K36</f>
        <v>1.0968294772922021E-2</v>
      </c>
      <c r="O28" t="s">
        <v>127</v>
      </c>
      <c r="R28" s="193"/>
      <c r="S28" s="246">
        <f>'2025年度実績確認'!K39</f>
        <v>1155</v>
      </c>
      <c r="T28" s="247">
        <v>0</v>
      </c>
      <c r="U28" s="189">
        <v>9</v>
      </c>
      <c r="V28" s="188">
        <f>IF(S28=0,0,U28/S28)</f>
        <v>7.7922077922077922E-3</v>
      </c>
      <c r="W28" s="255"/>
      <c r="X28" s="257" t="e">
        <f>(S$28-Y$34)*Y28/SUM(Y$28,Y$31)</f>
        <v>#DIV/0!</v>
      </c>
      <c r="Y28" s="258"/>
      <c r="Z28" s="96" t="s">
        <v>128</v>
      </c>
    </row>
    <row r="29" spans="13:26" ht="18">
      <c r="N29" s="99" t="s">
        <v>109</v>
      </c>
      <c r="O29" t="s">
        <v>129</v>
      </c>
      <c r="R29" s="193"/>
      <c r="S29" s="229" t="s">
        <v>89</v>
      </c>
      <c r="T29" s="248" t="s">
        <v>108</v>
      </c>
      <c r="U29" s="99" t="s">
        <v>109</v>
      </c>
      <c r="V29" s="99" t="s">
        <v>109</v>
      </c>
      <c r="W29" s="255"/>
      <c r="X29" s="96" t="s">
        <v>110</v>
      </c>
      <c r="Y29" s="96" t="s">
        <v>89</v>
      </c>
      <c r="Z29" s="96" t="s">
        <v>130</v>
      </c>
    </row>
    <row r="30" spans="13:26" ht="18">
      <c r="R30" s="193"/>
      <c r="W30" s="96" t="s">
        <v>166</v>
      </c>
      <c r="X30" s="256" t="s">
        <v>98</v>
      </c>
      <c r="Y30" s="256" t="s">
        <v>101</v>
      </c>
      <c r="Z30" s="96" t="s">
        <v>131</v>
      </c>
    </row>
    <row r="31" spans="13:26" ht="18">
      <c r="R31" s="193"/>
      <c r="W31" s="255"/>
      <c r="X31" s="257" t="e">
        <f>(S$28-Y$34)*Y31/SUM(Y$28,Y$31)</f>
        <v>#DIV/0!</v>
      </c>
      <c r="Y31" s="258"/>
      <c r="Z31" s="96" t="s">
        <v>132</v>
      </c>
    </row>
    <row r="32" spans="13:26" ht="18">
      <c r="R32" s="193"/>
      <c r="W32" s="255"/>
      <c r="X32" s="96" t="s">
        <v>110</v>
      </c>
      <c r="Y32" s="96" t="s">
        <v>89</v>
      </c>
      <c r="Z32" s="96"/>
    </row>
    <row r="33" spans="18:26" ht="18">
      <c r="R33" s="193"/>
      <c r="W33" s="255" t="s">
        <v>168</v>
      </c>
      <c r="X33" s="256" t="s">
        <v>98</v>
      </c>
      <c r="Y33" s="256" t="s">
        <v>101</v>
      </c>
      <c r="Z33" s="96"/>
    </row>
    <row r="34" spans="18:26" ht="18">
      <c r="R34" s="193"/>
      <c r="W34" s="255"/>
      <c r="X34" s="258"/>
      <c r="Y34" s="258"/>
      <c r="Z34" s="96"/>
    </row>
    <row r="35" spans="18:26" ht="18">
      <c r="R35" s="193"/>
      <c r="W35" s="255"/>
      <c r="X35" s="96" t="s">
        <v>89</v>
      </c>
      <c r="Y35" s="96" t="s">
        <v>89</v>
      </c>
      <c r="Z35" s="96"/>
    </row>
    <row r="36" spans="18:26" ht="18">
      <c r="R36" s="193"/>
    </row>
    <row r="37" spans="18:26" ht="18">
      <c r="R37" s="223" t="s">
        <v>134</v>
      </c>
    </row>
    <row r="38" spans="18:26" ht="18">
      <c r="R38" s="242">
        <f>S39/$N$10</f>
        <v>0.13041317927813498</v>
      </c>
      <c r="S38" s="217" t="s">
        <v>98</v>
      </c>
      <c r="T38" s="221" t="s">
        <v>96</v>
      </c>
      <c r="U38" s="90" t="s">
        <v>96</v>
      </c>
      <c r="V38" s="187" t="s">
        <v>99</v>
      </c>
      <c r="W38" s="197" t="s">
        <v>100</v>
      </c>
      <c r="X38" s="220" t="s">
        <v>98</v>
      </c>
      <c r="Y38" s="220" t="s">
        <v>101</v>
      </c>
      <c r="Z38" t="s">
        <v>115</v>
      </c>
    </row>
    <row r="39" spans="18:26" ht="18">
      <c r="R39" s="193"/>
      <c r="S39" s="241">
        <f>'2025年度実績確認'!K40</f>
        <v>3281.6438859416453</v>
      </c>
      <c r="T39" s="237">
        <v>9</v>
      </c>
      <c r="U39" s="189">
        <v>0</v>
      </c>
      <c r="V39" s="188">
        <f>IF(S39=0,0,U39/S39)</f>
        <v>0</v>
      </c>
      <c r="W39" s="197"/>
      <c r="X39" s="240">
        <f>(S$39-Y$48)*Y39/SUM(Y$39,Y$42,Y$45)</f>
        <v>1273.2983929459551</v>
      </c>
      <c r="Y39" s="250">
        <f>368+332</f>
        <v>700</v>
      </c>
      <c r="Z39" t="s">
        <v>128</v>
      </c>
    </row>
    <row r="40" spans="18:26" ht="18">
      <c r="R40" s="193"/>
      <c r="S40" s="238" t="s">
        <v>107</v>
      </c>
      <c r="T40" s="239" t="s">
        <v>108</v>
      </c>
      <c r="U40" s="99" t="s">
        <v>109</v>
      </c>
      <c r="V40" s="99" t="s">
        <v>109</v>
      </c>
      <c r="W40" s="197"/>
      <c r="X40" s="77" t="s">
        <v>110</v>
      </c>
      <c r="Y40" s="77" t="s">
        <v>89</v>
      </c>
      <c r="Z40" t="s">
        <v>130</v>
      </c>
    </row>
    <row r="41" spans="18:26" ht="18">
      <c r="R41" s="193"/>
      <c r="S41" s="249"/>
      <c r="T41" s="190"/>
      <c r="U41" s="191"/>
      <c r="V41" s="191"/>
      <c r="W41" t="s">
        <v>112</v>
      </c>
      <c r="X41" s="220" t="s">
        <v>98</v>
      </c>
      <c r="Y41" s="220" t="s">
        <v>101</v>
      </c>
      <c r="Z41" t="s">
        <v>131</v>
      </c>
    </row>
    <row r="42" spans="18:26" ht="18">
      <c r="R42" s="193"/>
      <c r="S42" s="249"/>
      <c r="T42" s="190"/>
      <c r="U42" s="191"/>
      <c r="V42" s="191"/>
      <c r="W42" s="197"/>
      <c r="X42" s="240">
        <f>(S$39-Y$48)*Y42/SUM(Y$39,Y$42,Y$45)</f>
        <v>1129.5975743134832</v>
      </c>
      <c r="Y42" s="250">
        <f>336+285</f>
        <v>621</v>
      </c>
      <c r="Z42" t="s">
        <v>132</v>
      </c>
    </row>
    <row r="43" spans="18:26" ht="18">
      <c r="R43" s="193"/>
      <c r="S43" s="249"/>
      <c r="T43" s="190"/>
      <c r="U43" s="191"/>
      <c r="V43" s="191"/>
      <c r="W43" s="197"/>
      <c r="X43" s="77" t="s">
        <v>110</v>
      </c>
      <c r="Y43" s="77" t="s">
        <v>89</v>
      </c>
    </row>
    <row r="44" spans="18:26" ht="18">
      <c r="R44" s="193"/>
      <c r="S44" s="249"/>
      <c r="T44" s="190"/>
      <c r="U44" s="191"/>
      <c r="V44" s="191"/>
      <c r="W44" t="s">
        <v>154</v>
      </c>
      <c r="X44" s="220" t="s">
        <v>98</v>
      </c>
      <c r="Y44" s="220" t="s">
        <v>101</v>
      </c>
    </row>
    <row r="45" spans="18:26" ht="18">
      <c r="R45" s="193"/>
      <c r="S45" s="249"/>
      <c r="T45" s="190"/>
      <c r="U45" s="191"/>
      <c r="V45" s="191"/>
      <c r="W45" s="197"/>
      <c r="X45" s="240">
        <f>(S$39-Y$48)*Y45/SUM(Y$39,Y$42,Y$45)</f>
        <v>856.74791868220689</v>
      </c>
      <c r="Y45" s="250">
        <f>261+210</f>
        <v>471</v>
      </c>
    </row>
    <row r="46" spans="18:26" ht="18">
      <c r="R46" s="193"/>
      <c r="S46" s="249"/>
      <c r="T46" s="190"/>
      <c r="U46" s="191"/>
      <c r="V46" s="191"/>
      <c r="W46" s="197"/>
      <c r="X46" s="77" t="s">
        <v>110</v>
      </c>
      <c r="Y46" s="77" t="s">
        <v>89</v>
      </c>
    </row>
    <row r="47" spans="18:26" ht="18">
      <c r="R47" s="193"/>
      <c r="S47" s="249"/>
      <c r="T47" s="190"/>
      <c r="U47" s="191"/>
      <c r="V47" s="191"/>
      <c r="W47" s="197" t="s">
        <v>169</v>
      </c>
      <c r="X47" s="220" t="s">
        <v>98</v>
      </c>
      <c r="Y47" s="220" t="s">
        <v>101</v>
      </c>
    </row>
    <row r="48" spans="18:26" ht="18">
      <c r="R48" s="193"/>
      <c r="S48" s="249"/>
      <c r="T48" s="190"/>
      <c r="U48" s="191"/>
      <c r="V48" s="191"/>
      <c r="W48" s="197"/>
      <c r="X48" s="254">
        <f>Y48</f>
        <v>22</v>
      </c>
      <c r="Y48" s="251">
        <f>979+835-SUM(Y39,Y42,Y45)</f>
        <v>22</v>
      </c>
    </row>
    <row r="49" spans="18:26" ht="18">
      <c r="R49" s="193"/>
      <c r="S49" s="249"/>
      <c r="T49" s="190"/>
      <c r="U49" s="191"/>
      <c r="V49" s="191"/>
      <c r="W49" s="197"/>
      <c r="X49" s="252" t="s">
        <v>89</v>
      </c>
      <c r="Y49" s="252" t="s">
        <v>89</v>
      </c>
    </row>
    <row r="50" spans="18:26" ht="18">
      <c r="R50" s="222" t="s">
        <v>136</v>
      </c>
      <c r="U50" s="190"/>
      <c r="V50" s="191"/>
    </row>
    <row r="51" spans="18:26" ht="18">
      <c r="R51" s="242">
        <f>S52/$N$10</f>
        <v>0.25707934378997299</v>
      </c>
      <c r="S51" s="217" t="s">
        <v>98</v>
      </c>
      <c r="T51" s="221" t="s">
        <v>96</v>
      </c>
      <c r="U51" s="90" t="s">
        <v>96</v>
      </c>
      <c r="V51" s="187" t="s">
        <v>99</v>
      </c>
      <c r="W51" s="96" t="s">
        <v>137</v>
      </c>
      <c r="X51" s="96"/>
      <c r="Y51" s="96"/>
      <c r="Z51" s="96"/>
    </row>
    <row r="52" spans="18:26" ht="18">
      <c r="R52" s="193"/>
      <c r="S52" s="228">
        <f>'2025年度実績確認'!K41</f>
        <v>6469</v>
      </c>
      <c r="T52" s="228">
        <v>8</v>
      </c>
      <c r="U52" s="189">
        <v>8</v>
      </c>
      <c r="V52" s="188">
        <f>IF(S52=0,0,U52/S52)</f>
        <v>1.2366671819446591E-3</v>
      </c>
      <c r="W52" s="96" t="s">
        <v>138</v>
      </c>
      <c r="X52" s="96"/>
      <c r="Y52" s="96"/>
      <c r="Z52" s="96"/>
    </row>
    <row r="53" spans="18:26" ht="18">
      <c r="R53" s="193"/>
      <c r="S53" s="229" t="s">
        <v>89</v>
      </c>
      <c r="T53" s="230" t="s">
        <v>108</v>
      </c>
      <c r="U53" s="99" t="s">
        <v>109</v>
      </c>
      <c r="V53" s="99" t="s">
        <v>109</v>
      </c>
    </row>
    <row r="54" spans="18:26" ht="18">
      <c r="R54" s="223" t="s">
        <v>139</v>
      </c>
      <c r="U54" s="190"/>
      <c r="V54" s="191"/>
    </row>
    <row r="55" spans="18:26" ht="18">
      <c r="R55" s="242">
        <f>S56/$N$10</f>
        <v>0.24292510076120075</v>
      </c>
      <c r="S55" s="217" t="s">
        <v>98</v>
      </c>
      <c r="T55" s="221" t="s">
        <v>96</v>
      </c>
      <c r="U55" s="90" t="s">
        <v>96</v>
      </c>
      <c r="V55" s="187" t="s">
        <v>99</v>
      </c>
      <c r="W55" s="197" t="s">
        <v>100</v>
      </c>
      <c r="X55" s="220" t="s">
        <v>98</v>
      </c>
      <c r="Y55" s="220" t="s">
        <v>101</v>
      </c>
      <c r="Z55" t="s">
        <v>140</v>
      </c>
    </row>
    <row r="56" spans="18:26" ht="18">
      <c r="R56" s="193"/>
      <c r="S56" s="241">
        <f>'2025年度実績確認'!K42</f>
        <v>6112.8305901856784</v>
      </c>
      <c r="T56" s="237">
        <f>(K$10-SUM(U$28,U$52,U$79))*U56/SUM(U$10,U$39,U$56,U$68)</f>
        <v>231.84662576687117</v>
      </c>
      <c r="U56" s="189">
        <v>153</v>
      </c>
      <c r="V56" s="188">
        <f>IF(S56=0,0,U56/S56)</f>
        <v>2.5029321153713275E-2</v>
      </c>
      <c r="W56" s="197"/>
      <c r="X56" s="240">
        <f>(S$56-Y$65)*Y56/SUM(Y$62,Y$59,Y$56)</f>
        <v>2537.2345397686713</v>
      </c>
      <c r="Y56" s="227">
        <v>697</v>
      </c>
      <c r="Z56" t="s">
        <v>141</v>
      </c>
    </row>
    <row r="57" spans="18:26" ht="18">
      <c r="R57" s="193"/>
      <c r="S57" s="238" t="s">
        <v>107</v>
      </c>
      <c r="T57" s="239" t="s">
        <v>108</v>
      </c>
      <c r="U57" s="99" t="s">
        <v>109</v>
      </c>
      <c r="V57" s="99" t="s">
        <v>109</v>
      </c>
      <c r="W57" s="197"/>
      <c r="X57" s="77" t="s">
        <v>110</v>
      </c>
      <c r="Y57" s="226" t="s">
        <v>89</v>
      </c>
      <c r="Z57" t="s">
        <v>142</v>
      </c>
    </row>
    <row r="58" spans="18:26" ht="18">
      <c r="R58" s="193"/>
      <c r="W58" t="s">
        <v>112</v>
      </c>
      <c r="X58" s="220" t="s">
        <v>98</v>
      </c>
      <c r="Y58" s="220" t="s">
        <v>101</v>
      </c>
      <c r="Z58" t="s">
        <v>143</v>
      </c>
    </row>
    <row r="59" spans="18:26" ht="18">
      <c r="R59" s="193"/>
      <c r="W59" s="197"/>
      <c r="X59" s="240">
        <f>(S$56-Y$65)*Y59/SUM(Y$62,Y$59,Y$56)</f>
        <v>800.84877869312436</v>
      </c>
      <c r="Y59" s="227">
        <v>220</v>
      </c>
      <c r="Z59" t="s">
        <v>144</v>
      </c>
    </row>
    <row r="60" spans="18:26" ht="18">
      <c r="R60" s="193"/>
      <c r="X60" s="77" t="s">
        <v>110</v>
      </c>
      <c r="Y60" s="226" t="s">
        <v>89</v>
      </c>
    </row>
    <row r="61" spans="18:26" ht="18">
      <c r="R61" s="215"/>
      <c r="W61" t="s">
        <v>154</v>
      </c>
      <c r="X61" s="220" t="s">
        <v>98</v>
      </c>
      <c r="Y61" s="219" t="s">
        <v>101</v>
      </c>
    </row>
    <row r="62" spans="18:26" ht="18">
      <c r="R62" s="215"/>
      <c r="W62" s="197"/>
      <c r="X62" s="240">
        <f>(S$56-Y$65)*Y62/SUM(Y$62,Y$59,Y$56)</f>
        <v>447.74727172388316</v>
      </c>
      <c r="Y62" s="225">
        <v>123</v>
      </c>
    </row>
    <row r="63" spans="18:26" ht="18">
      <c r="R63" s="215"/>
      <c r="X63" s="77" t="s">
        <v>110</v>
      </c>
      <c r="Y63" s="226" t="s">
        <v>89</v>
      </c>
    </row>
    <row r="64" spans="18:26" ht="18">
      <c r="R64" s="215"/>
      <c r="W64" s="197" t="s">
        <v>169</v>
      </c>
      <c r="X64" s="220" t="s">
        <v>98</v>
      </c>
      <c r="Y64" s="220" t="s">
        <v>101</v>
      </c>
    </row>
    <row r="65" spans="18:26" ht="18">
      <c r="R65" s="215"/>
      <c r="W65" s="197"/>
      <c r="X65" s="253">
        <f>Y65</f>
        <v>2327</v>
      </c>
      <c r="Y65" s="227">
        <f>3367-SUM(Y62,Y59,Y56)</f>
        <v>2327</v>
      </c>
    </row>
    <row r="66" spans="18:26" ht="18">
      <c r="R66" s="223" t="s">
        <v>146</v>
      </c>
      <c r="W66" s="197"/>
      <c r="X66" s="226" t="s">
        <v>89</v>
      </c>
      <c r="Y66" s="226" t="s">
        <v>89</v>
      </c>
    </row>
    <row r="67" spans="18:26" ht="18">
      <c r="R67" s="242">
        <f>S68/$N$10</f>
        <v>7.9728895159565424E-2</v>
      </c>
      <c r="S67" s="217" t="s">
        <v>98</v>
      </c>
      <c r="T67" s="221" t="s">
        <v>96</v>
      </c>
      <c r="U67" s="90" t="s">
        <v>96</v>
      </c>
      <c r="V67" s="187" t="s">
        <v>99</v>
      </c>
      <c r="W67" s="197" t="s">
        <v>100</v>
      </c>
      <c r="X67" s="220" t="s">
        <v>98</v>
      </c>
      <c r="Y67" s="220" t="s">
        <v>101</v>
      </c>
      <c r="Z67" t="s">
        <v>147</v>
      </c>
    </row>
    <row r="68" spans="18:26" ht="18">
      <c r="R68" s="193"/>
      <c r="S68" s="241">
        <f>'2025年度実績確認'!K43</f>
        <v>2006.2530702917775</v>
      </c>
      <c r="T68" s="237">
        <f>(K$10-SUM(U$28,U$52,U$79))*U68/SUM(U$10,U$39,U$56,U$68)</f>
        <v>10.607361963190185</v>
      </c>
      <c r="U68" s="189">
        <v>7</v>
      </c>
      <c r="V68" s="188">
        <f>IF(S68=0,0,U68/S68)</f>
        <v>3.489091233630841E-3</v>
      </c>
      <c r="X68" s="240">
        <f>(S$68-Y$74)*Y68/SUM(Y$68,Y$71)</f>
        <v>1646.0274025019717</v>
      </c>
      <c r="Y68" s="227">
        <v>95</v>
      </c>
      <c r="Z68" t="s">
        <v>148</v>
      </c>
    </row>
    <row r="69" spans="18:26" ht="18">
      <c r="R69" s="193"/>
      <c r="S69" s="238" t="s">
        <v>107</v>
      </c>
      <c r="T69" s="239" t="s">
        <v>108</v>
      </c>
      <c r="U69" s="99" t="s">
        <v>109</v>
      </c>
      <c r="V69" s="99" t="s">
        <v>109</v>
      </c>
      <c r="X69" s="77" t="s">
        <v>110</v>
      </c>
      <c r="Y69" s="226" t="s">
        <v>89</v>
      </c>
      <c r="Z69" t="s">
        <v>149</v>
      </c>
    </row>
    <row r="70" spans="18:26" ht="18">
      <c r="R70" s="193"/>
      <c r="W70" t="s">
        <v>112</v>
      </c>
      <c r="X70" s="220" t="s">
        <v>98</v>
      </c>
      <c r="Y70" s="219" t="s">
        <v>101</v>
      </c>
      <c r="Z70" t="s">
        <v>150</v>
      </c>
    </row>
    <row r="71" spans="18:26" ht="18">
      <c r="R71" s="193"/>
      <c r="X71" s="240">
        <f>(S$68-Y$74)*Y71/SUM(Y$68,Y$71)</f>
        <v>277.22566778980575</v>
      </c>
      <c r="Y71" s="225">
        <v>16</v>
      </c>
      <c r="Z71" t="s">
        <v>151</v>
      </c>
    </row>
    <row r="72" spans="18:26" ht="15.75" customHeight="1">
      <c r="R72" s="193"/>
      <c r="X72" s="77" t="s">
        <v>110</v>
      </c>
      <c r="Y72" s="226" t="s">
        <v>89</v>
      </c>
    </row>
    <row r="73" spans="18:26" ht="15.75" customHeight="1">
      <c r="R73" s="193"/>
      <c r="W73" s="197" t="s">
        <v>170</v>
      </c>
      <c r="X73" s="220" t="s">
        <v>98</v>
      </c>
      <c r="Y73" s="220" t="s">
        <v>101</v>
      </c>
    </row>
    <row r="74" spans="18:26" ht="15.75" customHeight="1">
      <c r="R74" s="193"/>
      <c r="X74" s="253">
        <f>Y74</f>
        <v>83</v>
      </c>
      <c r="Y74" s="227">
        <f>194-SUM(Y68,Y71)</f>
        <v>83</v>
      </c>
    </row>
    <row r="75" spans="18:26" ht="15.75" customHeight="1">
      <c r="R75" s="193"/>
      <c r="X75" s="226" t="s">
        <v>89</v>
      </c>
      <c r="Y75" s="226" t="s">
        <v>89</v>
      </c>
    </row>
    <row r="76" spans="18:26" ht="15.75" customHeight="1">
      <c r="R76" s="193"/>
    </row>
    <row r="77" spans="18:26" ht="15.75" customHeight="1">
      <c r="R77" s="222" t="s">
        <v>119</v>
      </c>
    </row>
    <row r="78" spans="18:26" ht="15.75" customHeight="1">
      <c r="R78" s="242">
        <f>S79/$N$10</f>
        <v>1.9432957043329233E-2</v>
      </c>
      <c r="S78" s="217" t="s">
        <v>98</v>
      </c>
      <c r="T78" s="221" t="s">
        <v>96</v>
      </c>
      <c r="U78" s="90" t="s">
        <v>96</v>
      </c>
      <c r="V78" s="187" t="s">
        <v>99</v>
      </c>
    </row>
    <row r="79" spans="18:26" ht="15.75" customHeight="1">
      <c r="S79" s="228">
        <f>'2025年度実績確認'!K44</f>
        <v>489</v>
      </c>
      <c r="T79" s="228">
        <v>12</v>
      </c>
      <c r="U79" s="189">
        <v>12</v>
      </c>
      <c r="V79" s="188">
        <f>IF(S79=0,0,U79/S79)</f>
        <v>2.4539877300613498E-2</v>
      </c>
    </row>
    <row r="80" spans="18:26" ht="15.75" customHeight="1">
      <c r="S80" s="229" t="s">
        <v>89</v>
      </c>
      <c r="T80" s="230" t="s">
        <v>108</v>
      </c>
      <c r="U80" s="99" t="s">
        <v>109</v>
      </c>
      <c r="V80" s="99" t="s">
        <v>109</v>
      </c>
    </row>
  </sheetData>
  <phoneticPr fontId="1"/>
  <hyperlinks>
    <hyperlink ref="H3" r:id="rId1" xr:uid="{947DDB43-255D-4871-8A78-785EA54B2898}"/>
  </hyperlinks>
  <pageMargins left="0.7" right="0.7" top="0.75" bottom="0.75" header="0.3" footer="0.3"/>
  <pageSetup paperSize="9" scale="63" orientation="landscape"/>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F325-2650-4A86-B112-717C7CD19FC9}">
  <dimension ref="A1:P171"/>
  <sheetViews>
    <sheetView workbookViewId="0">
      <pane xSplit="3" ySplit="2" topLeftCell="D13" activePane="bottomRight" state="frozen"/>
      <selection pane="topRight"/>
      <selection pane="bottomLeft"/>
      <selection pane="bottomRight" activeCell="A39" sqref="A39:A43"/>
    </sheetView>
  </sheetViews>
  <sheetFormatPr defaultRowHeight="18"/>
  <cols>
    <col min="2" max="2" width="16.83203125" customWidth="1"/>
    <col min="4" max="4" width="11.58203125" bestFit="1" customWidth="1"/>
    <col min="16" max="16" width="10.33203125" bestFit="1" customWidth="1"/>
  </cols>
  <sheetData>
    <row r="1" spans="1:16">
      <c r="A1" s="201" t="s">
        <v>171</v>
      </c>
    </row>
    <row r="2" spans="1:16">
      <c r="D2" t="s">
        <v>172</v>
      </c>
      <c r="E2" t="s">
        <v>173</v>
      </c>
      <c r="F2" t="s">
        <v>174</v>
      </c>
      <c r="G2" t="s">
        <v>175</v>
      </c>
      <c r="H2" t="s">
        <v>176</v>
      </c>
      <c r="I2" t="s">
        <v>177</v>
      </c>
      <c r="J2" t="s">
        <v>178</v>
      </c>
      <c r="K2" t="s">
        <v>179</v>
      </c>
      <c r="L2" t="s">
        <v>180</v>
      </c>
      <c r="M2" t="s">
        <v>181</v>
      </c>
      <c r="N2" t="s">
        <v>182</v>
      </c>
      <c r="O2" t="s">
        <v>183</v>
      </c>
      <c r="P2" s="193" t="s">
        <v>184</v>
      </c>
    </row>
    <row r="3" spans="1:16">
      <c r="B3" s="218" t="s">
        <v>185</v>
      </c>
      <c r="C3" s="196" t="s">
        <v>186</v>
      </c>
      <c r="D3" s="200">
        <f>D9*D6</f>
        <v>0.66666666666666663</v>
      </c>
      <c r="E3" s="200">
        <f t="shared" ref="E3:O3" si="0">E9*E6</f>
        <v>0.66666666666666663</v>
      </c>
      <c r="F3" s="200">
        <f t="shared" si="0"/>
        <v>0.66666666666666663</v>
      </c>
      <c r="G3" s="200">
        <f t="shared" si="0"/>
        <v>0.66666666666666663</v>
      </c>
      <c r="H3" s="200">
        <f t="shared" si="0"/>
        <v>0.66666666666666663</v>
      </c>
      <c r="I3" s="200">
        <f t="shared" si="0"/>
        <v>0.66666666666666663</v>
      </c>
      <c r="J3" s="200">
        <f t="shared" si="0"/>
        <v>0.66666666666666663</v>
      </c>
      <c r="K3" s="200">
        <f t="shared" si="0"/>
        <v>0.66666666666666663</v>
      </c>
      <c r="L3" s="200">
        <f t="shared" si="0"/>
        <v>0.66666666666666663</v>
      </c>
      <c r="M3" s="200">
        <f t="shared" si="0"/>
        <v>0.66666666666666663</v>
      </c>
      <c r="N3" s="200">
        <f t="shared" si="0"/>
        <v>0.66666666666666663</v>
      </c>
      <c r="O3" s="200">
        <f t="shared" si="0"/>
        <v>0.66666666666666663</v>
      </c>
      <c r="P3" s="204">
        <v>8</v>
      </c>
    </row>
    <row r="4" spans="1:16">
      <c r="B4" s="244" t="s">
        <v>187</v>
      </c>
      <c r="C4" t="s">
        <v>188</v>
      </c>
      <c r="D4" s="202">
        <v>0</v>
      </c>
      <c r="E4" s="202"/>
      <c r="F4" s="202"/>
      <c r="G4" s="202"/>
      <c r="H4" s="202"/>
      <c r="I4" s="202"/>
      <c r="J4" s="202"/>
      <c r="K4" s="202"/>
      <c r="L4" s="202"/>
      <c r="M4" s="202"/>
      <c r="N4" s="202"/>
      <c r="O4" s="202"/>
      <c r="P4" s="208"/>
    </row>
    <row r="5" spans="1:16">
      <c r="B5" s="194"/>
      <c r="C5" s="192" t="s">
        <v>189</v>
      </c>
      <c r="D5" s="203">
        <f>D4-D3</f>
        <v>-0.66666666666666663</v>
      </c>
      <c r="E5" s="203"/>
      <c r="F5" s="203"/>
      <c r="G5" s="203"/>
      <c r="H5" s="203"/>
      <c r="I5" s="203"/>
      <c r="J5" s="203"/>
      <c r="K5" s="203"/>
      <c r="L5" s="203"/>
      <c r="M5" s="203"/>
      <c r="N5" s="203"/>
      <c r="O5" s="203"/>
      <c r="P5" s="209"/>
    </row>
    <row r="6" spans="1:16">
      <c r="B6" s="193" t="s">
        <v>190</v>
      </c>
      <c r="C6" t="s">
        <v>186</v>
      </c>
      <c r="D6" s="140">
        <f>$P$6</f>
        <v>0.13333333333333333</v>
      </c>
      <c r="E6" s="140">
        <f t="shared" ref="E6:O6" si="1">$P$6</f>
        <v>0.13333333333333333</v>
      </c>
      <c r="F6" s="140">
        <f t="shared" si="1"/>
        <v>0.13333333333333333</v>
      </c>
      <c r="G6" s="140">
        <f t="shared" si="1"/>
        <v>0.13333333333333333</v>
      </c>
      <c r="H6" s="140">
        <f t="shared" si="1"/>
        <v>0.13333333333333333</v>
      </c>
      <c r="I6" s="140">
        <f t="shared" si="1"/>
        <v>0.13333333333333333</v>
      </c>
      <c r="J6" s="140">
        <f t="shared" si="1"/>
        <v>0.13333333333333333</v>
      </c>
      <c r="K6" s="140">
        <f t="shared" si="1"/>
        <v>0.13333333333333333</v>
      </c>
      <c r="L6" s="140">
        <f t="shared" si="1"/>
        <v>0.13333333333333333</v>
      </c>
      <c r="M6" s="140">
        <f t="shared" si="1"/>
        <v>0.13333333333333333</v>
      </c>
      <c r="N6" s="140">
        <f t="shared" si="1"/>
        <v>0.13333333333333333</v>
      </c>
      <c r="O6" s="140">
        <f t="shared" si="1"/>
        <v>0.13333333333333333</v>
      </c>
      <c r="P6" s="205">
        <f>P3/P9</f>
        <v>0.13333333333333333</v>
      </c>
    </row>
    <row r="7" spans="1:16">
      <c r="B7" s="193"/>
      <c r="C7" t="s">
        <v>188</v>
      </c>
      <c r="D7" s="140">
        <f>D4/D9</f>
        <v>0</v>
      </c>
      <c r="P7" s="193"/>
    </row>
    <row r="8" spans="1:16">
      <c r="B8" s="194"/>
      <c r="C8" s="192" t="s">
        <v>191</v>
      </c>
      <c r="D8" s="192"/>
      <c r="E8" s="192"/>
      <c r="F8" s="192"/>
      <c r="G8" s="192"/>
      <c r="H8" s="192"/>
      <c r="I8" s="192"/>
      <c r="J8" s="192"/>
      <c r="K8" s="192"/>
      <c r="L8" s="192"/>
      <c r="M8" s="192"/>
      <c r="N8" s="192"/>
      <c r="O8" s="192"/>
      <c r="P8" s="194"/>
    </row>
    <row r="9" spans="1:16">
      <c r="B9" s="193" t="s">
        <v>192</v>
      </c>
      <c r="C9" t="s">
        <v>186</v>
      </c>
      <c r="D9">
        <f>$P$9/12</f>
        <v>5</v>
      </c>
      <c r="E9">
        <f t="shared" ref="E9:O9" si="2">$P$9/12</f>
        <v>5</v>
      </c>
      <c r="F9">
        <f t="shared" si="2"/>
        <v>5</v>
      </c>
      <c r="G9">
        <f t="shared" si="2"/>
        <v>5</v>
      </c>
      <c r="H9">
        <f t="shared" si="2"/>
        <v>5</v>
      </c>
      <c r="I9">
        <f t="shared" si="2"/>
        <v>5</v>
      </c>
      <c r="J9">
        <f t="shared" si="2"/>
        <v>5</v>
      </c>
      <c r="K9">
        <f t="shared" si="2"/>
        <v>5</v>
      </c>
      <c r="L9">
        <f t="shared" si="2"/>
        <v>5</v>
      </c>
      <c r="M9">
        <f t="shared" si="2"/>
        <v>5</v>
      </c>
      <c r="N9">
        <f t="shared" si="2"/>
        <v>5</v>
      </c>
      <c r="O9">
        <f t="shared" si="2"/>
        <v>5</v>
      </c>
      <c r="P9" s="206">
        <v>60</v>
      </c>
    </row>
    <row r="10" spans="1:16">
      <c r="B10" s="244" t="s">
        <v>187</v>
      </c>
      <c r="C10" t="s">
        <v>188</v>
      </c>
      <c r="D10" s="202">
        <v>2</v>
      </c>
      <c r="E10" s="202"/>
      <c r="F10" s="202"/>
      <c r="G10" s="202"/>
      <c r="H10" s="202"/>
      <c r="I10" s="202"/>
      <c r="J10" s="202"/>
      <c r="K10" s="202"/>
      <c r="L10" s="202"/>
      <c r="M10" s="202"/>
      <c r="N10" s="202"/>
      <c r="O10" s="202"/>
      <c r="P10" s="208"/>
    </row>
    <row r="11" spans="1:16">
      <c r="B11" s="194"/>
      <c r="C11" s="192" t="s">
        <v>189</v>
      </c>
      <c r="D11" s="203">
        <f>D10-D9</f>
        <v>-3</v>
      </c>
      <c r="E11" s="203"/>
      <c r="F11" s="203"/>
      <c r="G11" s="203"/>
      <c r="H11" s="203"/>
      <c r="I11" s="203"/>
      <c r="J11" s="203"/>
      <c r="K11" s="203"/>
      <c r="L11" s="203"/>
      <c r="M11" s="203"/>
      <c r="N11" s="203"/>
      <c r="O11" s="203"/>
      <c r="P11" s="209"/>
    </row>
    <row r="12" spans="1:16">
      <c r="B12" s="193" t="s">
        <v>193</v>
      </c>
      <c r="C12" t="s">
        <v>186</v>
      </c>
      <c r="D12" s="140">
        <f>$P$12</f>
        <v>0.8571428571428571</v>
      </c>
      <c r="E12" s="140">
        <f t="shared" ref="E12:O12" si="3">$P$12</f>
        <v>0.8571428571428571</v>
      </c>
      <c r="F12" s="140">
        <f t="shared" si="3"/>
        <v>0.8571428571428571</v>
      </c>
      <c r="G12" s="140">
        <f t="shared" si="3"/>
        <v>0.8571428571428571</v>
      </c>
      <c r="H12" s="140">
        <f t="shared" si="3"/>
        <v>0.8571428571428571</v>
      </c>
      <c r="I12" s="140">
        <f t="shared" si="3"/>
        <v>0.8571428571428571</v>
      </c>
      <c r="J12" s="140">
        <f t="shared" si="3"/>
        <v>0.8571428571428571</v>
      </c>
      <c r="K12" s="140">
        <f t="shared" si="3"/>
        <v>0.8571428571428571</v>
      </c>
      <c r="L12" s="140">
        <f t="shared" si="3"/>
        <v>0.8571428571428571</v>
      </c>
      <c r="M12" s="140">
        <f t="shared" si="3"/>
        <v>0.8571428571428571</v>
      </c>
      <c r="N12" s="140">
        <f t="shared" si="3"/>
        <v>0.8571428571428571</v>
      </c>
      <c r="O12" s="140">
        <f t="shared" si="3"/>
        <v>0.8571428571428571</v>
      </c>
      <c r="P12" s="205">
        <f>P9/P15</f>
        <v>0.8571428571428571</v>
      </c>
    </row>
    <row r="13" spans="1:16">
      <c r="B13" s="193"/>
      <c r="C13" t="s">
        <v>188</v>
      </c>
      <c r="D13" s="198">
        <f>D10/D16</f>
        <v>2</v>
      </c>
      <c r="P13" s="193"/>
    </row>
    <row r="14" spans="1:16">
      <c r="B14" s="194"/>
      <c r="C14" s="192" t="s">
        <v>191</v>
      </c>
      <c r="D14" s="212">
        <f>(D13-D12)*100</f>
        <v>114.28571428571428</v>
      </c>
      <c r="E14" s="192"/>
      <c r="F14" s="192"/>
      <c r="G14" s="192"/>
      <c r="H14" s="192"/>
      <c r="I14" s="192"/>
      <c r="J14" s="192"/>
      <c r="K14" s="192"/>
      <c r="L14" s="192"/>
      <c r="M14" s="192"/>
      <c r="N14" s="192"/>
      <c r="O14" s="192"/>
      <c r="P14" s="194"/>
    </row>
    <row r="15" spans="1:16">
      <c r="B15" s="193" t="s">
        <v>194</v>
      </c>
      <c r="C15" t="s">
        <v>186</v>
      </c>
      <c r="D15" s="167">
        <f>$P$15/12</f>
        <v>5.833333333333333</v>
      </c>
      <c r="E15" s="167">
        <f t="shared" ref="E15:O15" si="4">$P$15/12</f>
        <v>5.833333333333333</v>
      </c>
      <c r="F15" s="167">
        <f t="shared" si="4"/>
        <v>5.833333333333333</v>
      </c>
      <c r="G15" s="167">
        <f t="shared" si="4"/>
        <v>5.833333333333333</v>
      </c>
      <c r="H15" s="167">
        <f t="shared" si="4"/>
        <v>5.833333333333333</v>
      </c>
      <c r="I15" s="167">
        <f t="shared" si="4"/>
        <v>5.833333333333333</v>
      </c>
      <c r="J15" s="167">
        <f t="shared" si="4"/>
        <v>5.833333333333333</v>
      </c>
      <c r="K15" s="167">
        <f t="shared" si="4"/>
        <v>5.833333333333333</v>
      </c>
      <c r="L15" s="167">
        <f t="shared" si="4"/>
        <v>5.833333333333333</v>
      </c>
      <c r="M15" s="167">
        <f t="shared" si="4"/>
        <v>5.833333333333333</v>
      </c>
      <c r="N15" s="167">
        <f t="shared" si="4"/>
        <v>5.833333333333333</v>
      </c>
      <c r="O15" s="167">
        <f t="shared" si="4"/>
        <v>5.833333333333333</v>
      </c>
      <c r="P15" s="193">
        <v>70</v>
      </c>
    </row>
    <row r="16" spans="1:16">
      <c r="B16" s="244" t="s">
        <v>187</v>
      </c>
      <c r="C16" t="s">
        <v>188</v>
      </c>
      <c r="D16" s="202">
        <v>1</v>
      </c>
      <c r="E16" s="202"/>
      <c r="F16" s="202"/>
      <c r="G16" s="202"/>
      <c r="H16" s="202"/>
      <c r="I16" s="202"/>
      <c r="J16" s="202"/>
      <c r="K16" s="202"/>
      <c r="L16" s="202"/>
      <c r="M16" s="202"/>
      <c r="N16" s="202"/>
      <c r="O16" s="202"/>
      <c r="P16" s="208"/>
    </row>
    <row r="17" spans="1:16">
      <c r="B17" s="194"/>
      <c r="C17" s="192" t="s">
        <v>189</v>
      </c>
      <c r="D17" s="203">
        <f>D16-D15</f>
        <v>-4.833333333333333</v>
      </c>
      <c r="E17" s="203"/>
      <c r="F17" s="203"/>
      <c r="G17" s="203"/>
      <c r="H17" s="203"/>
      <c r="I17" s="203"/>
      <c r="J17" s="203"/>
      <c r="K17" s="203"/>
      <c r="L17" s="203"/>
      <c r="M17" s="203"/>
      <c r="N17" s="203"/>
      <c r="O17" s="203"/>
      <c r="P17" s="209"/>
    </row>
    <row r="18" spans="1:16">
      <c r="B18" s="193" t="s">
        <v>195</v>
      </c>
      <c r="C18" t="s">
        <v>186</v>
      </c>
      <c r="D18" s="140">
        <f>$P$18</f>
        <v>0.23333333333333334</v>
      </c>
      <c r="E18" s="140">
        <f t="shared" ref="E18:O18" si="5">$P$18</f>
        <v>0.23333333333333334</v>
      </c>
      <c r="F18" s="140">
        <f t="shared" si="5"/>
        <v>0.23333333333333334</v>
      </c>
      <c r="G18" s="140">
        <f t="shared" si="5"/>
        <v>0.23333333333333334</v>
      </c>
      <c r="H18" s="140">
        <f t="shared" si="5"/>
        <v>0.23333333333333334</v>
      </c>
      <c r="I18" s="140">
        <f t="shared" si="5"/>
        <v>0.23333333333333334</v>
      </c>
      <c r="J18" s="140">
        <f t="shared" si="5"/>
        <v>0.23333333333333334</v>
      </c>
      <c r="K18" s="140">
        <f t="shared" si="5"/>
        <v>0.23333333333333334</v>
      </c>
      <c r="L18" s="140">
        <f t="shared" si="5"/>
        <v>0.23333333333333334</v>
      </c>
      <c r="M18" s="140">
        <f t="shared" si="5"/>
        <v>0.23333333333333334</v>
      </c>
      <c r="N18" s="140">
        <f t="shared" si="5"/>
        <v>0.23333333333333334</v>
      </c>
      <c r="O18" s="140">
        <f t="shared" si="5"/>
        <v>0.23333333333333334</v>
      </c>
      <c r="P18" s="205">
        <f>P15/P21</f>
        <v>0.23333333333333334</v>
      </c>
    </row>
    <row r="19" spans="1:16">
      <c r="B19" s="193"/>
      <c r="C19" t="s">
        <v>188</v>
      </c>
      <c r="D19" s="140">
        <f>D16/D22</f>
        <v>0.125</v>
      </c>
      <c r="P19" s="193"/>
    </row>
    <row r="20" spans="1:16">
      <c r="B20" s="194"/>
      <c r="C20" s="192" t="s">
        <v>191</v>
      </c>
      <c r="D20" s="212">
        <f>(D19-D18)*100</f>
        <v>-10.833333333333334</v>
      </c>
      <c r="E20" s="192"/>
      <c r="F20" s="192"/>
      <c r="G20" s="192"/>
      <c r="H20" s="192"/>
      <c r="I20" s="192"/>
      <c r="J20" s="192"/>
      <c r="K20" s="192"/>
      <c r="L20" s="192"/>
      <c r="M20" s="192"/>
      <c r="N20" s="192"/>
      <c r="O20" s="192"/>
      <c r="P20" s="194"/>
    </row>
    <row r="21" spans="1:16">
      <c r="B21" s="193" t="s">
        <v>196</v>
      </c>
      <c r="C21" t="s">
        <v>186</v>
      </c>
      <c r="D21" s="167">
        <f>D27*D24</f>
        <v>25</v>
      </c>
      <c r="E21" s="167">
        <f t="shared" ref="E21:O21" si="6">E27*E24</f>
        <v>25</v>
      </c>
      <c r="F21" s="167">
        <f t="shared" si="6"/>
        <v>25</v>
      </c>
      <c r="G21" s="167">
        <f t="shared" si="6"/>
        <v>25</v>
      </c>
      <c r="H21" s="167">
        <f t="shared" si="6"/>
        <v>25</v>
      </c>
      <c r="I21" s="167">
        <f t="shared" si="6"/>
        <v>25</v>
      </c>
      <c r="J21" s="167">
        <f t="shared" si="6"/>
        <v>25</v>
      </c>
      <c r="K21" s="167">
        <f t="shared" si="6"/>
        <v>25</v>
      </c>
      <c r="L21" s="167">
        <f t="shared" si="6"/>
        <v>25</v>
      </c>
      <c r="M21" s="167">
        <f t="shared" si="6"/>
        <v>25</v>
      </c>
      <c r="N21" s="167">
        <f t="shared" si="6"/>
        <v>25</v>
      </c>
      <c r="O21" s="167">
        <f t="shared" si="6"/>
        <v>25</v>
      </c>
      <c r="P21" s="206">
        <v>300</v>
      </c>
    </row>
    <row r="22" spans="1:16">
      <c r="B22" s="244" t="s">
        <v>187</v>
      </c>
      <c r="C22" t="s">
        <v>188</v>
      </c>
      <c r="D22" s="202">
        <v>8</v>
      </c>
      <c r="E22" s="202"/>
      <c r="F22" s="202"/>
      <c r="G22" s="202"/>
      <c r="H22" s="202"/>
      <c r="I22" s="202"/>
      <c r="J22" s="202"/>
      <c r="K22" s="202"/>
      <c r="L22" s="202"/>
      <c r="M22" s="202"/>
      <c r="N22" s="202"/>
      <c r="O22" s="202"/>
      <c r="P22" s="208"/>
    </row>
    <row r="23" spans="1:16">
      <c r="B23" s="194"/>
      <c r="C23" s="192" t="s">
        <v>189</v>
      </c>
      <c r="D23" s="203">
        <f>D22-D21</f>
        <v>-17</v>
      </c>
      <c r="E23" s="203"/>
      <c r="F23" s="203"/>
      <c r="G23" s="203"/>
      <c r="H23" s="203"/>
      <c r="I23" s="203"/>
      <c r="J23" s="203"/>
      <c r="K23" s="203"/>
      <c r="L23" s="203"/>
      <c r="M23" s="203"/>
      <c r="N23" s="203"/>
      <c r="O23" s="203"/>
      <c r="P23" s="209"/>
    </row>
    <row r="24" spans="1:16">
      <c r="B24" s="193" t="s">
        <v>197</v>
      </c>
      <c r="C24" t="s">
        <v>186</v>
      </c>
      <c r="D24" s="140">
        <f>$P$24</f>
        <v>7.4999999999999997E-3</v>
      </c>
      <c r="E24" s="140">
        <f t="shared" ref="E24:O24" si="7">$P$24</f>
        <v>7.4999999999999997E-3</v>
      </c>
      <c r="F24" s="140">
        <f t="shared" si="7"/>
        <v>7.4999999999999997E-3</v>
      </c>
      <c r="G24" s="140">
        <f t="shared" si="7"/>
        <v>7.4999999999999997E-3</v>
      </c>
      <c r="H24" s="140">
        <f t="shared" si="7"/>
        <v>7.4999999999999997E-3</v>
      </c>
      <c r="I24" s="140">
        <f t="shared" si="7"/>
        <v>7.4999999999999997E-3</v>
      </c>
      <c r="J24" s="140">
        <f t="shared" si="7"/>
        <v>7.4999999999999997E-3</v>
      </c>
      <c r="K24" s="140">
        <f t="shared" si="7"/>
        <v>7.4999999999999997E-3</v>
      </c>
      <c r="L24" s="140">
        <f t="shared" si="7"/>
        <v>7.4999999999999997E-3</v>
      </c>
      <c r="M24" s="140">
        <f t="shared" si="7"/>
        <v>7.4999999999999997E-3</v>
      </c>
      <c r="N24" s="140">
        <f t="shared" si="7"/>
        <v>7.4999999999999997E-3</v>
      </c>
      <c r="O24" s="140">
        <f t="shared" si="7"/>
        <v>7.4999999999999997E-3</v>
      </c>
      <c r="P24" s="205">
        <f>P21/P27</f>
        <v>7.4999999999999997E-3</v>
      </c>
    </row>
    <row r="25" spans="1:16">
      <c r="B25" s="193"/>
      <c r="C25" t="s">
        <v>188</v>
      </c>
      <c r="D25" s="140">
        <f>D22/D28</f>
        <v>2.6481297583581596E-3</v>
      </c>
      <c r="E25" s="140"/>
      <c r="F25" s="140"/>
      <c r="G25" s="140"/>
      <c r="H25" s="140"/>
      <c r="I25" s="140"/>
      <c r="J25" s="140"/>
      <c r="K25" s="140"/>
      <c r="L25" s="140"/>
      <c r="M25" s="140"/>
      <c r="N25" s="140"/>
      <c r="O25" s="140"/>
      <c r="P25" s="205"/>
    </row>
    <row r="26" spans="1:16">
      <c r="B26" s="194"/>
      <c r="C26" s="192" t="s">
        <v>191</v>
      </c>
      <c r="D26" s="212">
        <f>(D25-D24)*100</f>
        <v>-0.48518702416418397</v>
      </c>
      <c r="E26" s="210"/>
      <c r="F26" s="210"/>
      <c r="G26" s="210"/>
      <c r="H26" s="210"/>
      <c r="I26" s="210"/>
      <c r="J26" s="210"/>
      <c r="K26" s="210"/>
      <c r="L26" s="210"/>
      <c r="M26" s="210"/>
      <c r="N26" s="210"/>
      <c r="O26" s="210"/>
      <c r="P26" s="211"/>
    </row>
    <row r="27" spans="1:16">
      <c r="B27" s="193" t="s">
        <v>101</v>
      </c>
      <c r="C27" t="s">
        <v>186</v>
      </c>
      <c r="D27" s="199">
        <f>$P$27/12</f>
        <v>3333.3333333333335</v>
      </c>
      <c r="E27" s="199">
        <f t="shared" ref="E27:O27" si="8">$P$27/12</f>
        <v>3333.3333333333335</v>
      </c>
      <c r="F27" s="199">
        <f t="shared" si="8"/>
        <v>3333.3333333333335</v>
      </c>
      <c r="G27" s="199">
        <f t="shared" si="8"/>
        <v>3333.3333333333335</v>
      </c>
      <c r="H27" s="199">
        <f t="shared" si="8"/>
        <v>3333.3333333333335</v>
      </c>
      <c r="I27" s="199">
        <f t="shared" si="8"/>
        <v>3333.3333333333335</v>
      </c>
      <c r="J27" s="199">
        <f t="shared" si="8"/>
        <v>3333.3333333333335</v>
      </c>
      <c r="K27" s="199">
        <f t="shared" si="8"/>
        <v>3333.3333333333335</v>
      </c>
      <c r="L27" s="199">
        <f t="shared" si="8"/>
        <v>3333.3333333333335</v>
      </c>
      <c r="M27" s="199">
        <f t="shared" si="8"/>
        <v>3333.3333333333335</v>
      </c>
      <c r="N27" s="199">
        <f t="shared" si="8"/>
        <v>3333.3333333333335</v>
      </c>
      <c r="O27" s="199">
        <f t="shared" si="8"/>
        <v>3333.3333333333335</v>
      </c>
      <c r="P27" s="207">
        <v>40000</v>
      </c>
    </row>
    <row r="28" spans="1:16">
      <c r="B28" s="193"/>
      <c r="C28" t="s">
        <v>188</v>
      </c>
      <c r="D28" s="202">
        <v>3021</v>
      </c>
      <c r="E28" s="202">
        <v>3178</v>
      </c>
      <c r="F28" s="202"/>
      <c r="G28" s="202"/>
      <c r="H28" s="202"/>
      <c r="I28" s="202"/>
      <c r="J28" s="202"/>
      <c r="K28" s="202"/>
      <c r="L28" s="202"/>
      <c r="M28" s="202"/>
      <c r="N28" s="202"/>
      <c r="O28" s="202"/>
      <c r="P28" s="208"/>
    </row>
    <row r="29" spans="1:16">
      <c r="B29" s="194"/>
      <c r="C29" s="192" t="s">
        <v>189</v>
      </c>
      <c r="D29" s="203">
        <f>D28-D27</f>
        <v>-312.33333333333348</v>
      </c>
      <c r="E29" s="203">
        <f t="shared" ref="E29:O29" si="9">E28-E27</f>
        <v>-155.33333333333348</v>
      </c>
      <c r="F29" s="203">
        <f t="shared" si="9"/>
        <v>-3333.3333333333335</v>
      </c>
      <c r="G29" s="203">
        <f t="shared" si="9"/>
        <v>-3333.3333333333335</v>
      </c>
      <c r="H29" s="203">
        <f t="shared" si="9"/>
        <v>-3333.3333333333335</v>
      </c>
      <c r="I29" s="203">
        <f t="shared" si="9"/>
        <v>-3333.3333333333335</v>
      </c>
      <c r="J29" s="203">
        <f t="shared" si="9"/>
        <v>-3333.3333333333335</v>
      </c>
      <c r="K29" s="203">
        <f t="shared" si="9"/>
        <v>-3333.3333333333335</v>
      </c>
      <c r="L29" s="203">
        <f t="shared" si="9"/>
        <v>-3333.3333333333335</v>
      </c>
      <c r="M29" s="203">
        <f t="shared" si="9"/>
        <v>-3333.3333333333335</v>
      </c>
      <c r="N29" s="203">
        <f t="shared" si="9"/>
        <v>-3333.3333333333335</v>
      </c>
      <c r="O29" s="203">
        <f t="shared" si="9"/>
        <v>-3333.3333333333335</v>
      </c>
      <c r="P29" s="209"/>
    </row>
    <row r="32" spans="1:16">
      <c r="A32" s="201" t="s">
        <v>198</v>
      </c>
    </row>
    <row r="33" spans="1:15">
      <c r="B33" t="s">
        <v>185</v>
      </c>
    </row>
    <row r="34" spans="1:15">
      <c r="B34" t="s">
        <v>190</v>
      </c>
    </row>
    <row r="35" spans="1:15">
      <c r="B35" t="s">
        <v>192</v>
      </c>
    </row>
    <row r="36" spans="1:15">
      <c r="B36" t="s">
        <v>193</v>
      </c>
    </row>
    <row r="37" spans="1:15">
      <c r="B37" t="s">
        <v>194</v>
      </c>
    </row>
    <row r="38" spans="1:15">
      <c r="B38" t="s">
        <v>195</v>
      </c>
    </row>
    <row r="39" spans="1:15">
      <c r="A39" t="s">
        <v>91</v>
      </c>
      <c r="B39" t="s">
        <v>196</v>
      </c>
    </row>
    <row r="40" spans="1:15">
      <c r="A40" t="s">
        <v>91</v>
      </c>
      <c r="B40" t="s">
        <v>197</v>
      </c>
    </row>
    <row r="41" spans="1:15">
      <c r="A41" t="s">
        <v>91</v>
      </c>
      <c r="B41" t="s">
        <v>101</v>
      </c>
      <c r="C41" t="s">
        <v>186</v>
      </c>
      <c r="D41" s="245">
        <f>'UN｜KPIツリー（構造確認用）'!$S$10/12</f>
        <v>1559.7511275347561</v>
      </c>
      <c r="E41" s="245">
        <f>'UN｜KPIツリー（構造確認用）'!$S$10/12</f>
        <v>1559.7511275347561</v>
      </c>
      <c r="F41" s="245">
        <f>'UN｜KPIツリー（構造確認用）'!$S$10/12</f>
        <v>1559.7511275347561</v>
      </c>
      <c r="G41" s="245">
        <f>'UN｜KPIツリー（構造確認用）'!$S$10/12</f>
        <v>1559.7511275347561</v>
      </c>
      <c r="H41" s="245">
        <f>'UN｜KPIツリー（構造確認用）'!$S$10/12</f>
        <v>1559.7511275347561</v>
      </c>
      <c r="I41" s="245">
        <f>'UN｜KPIツリー（構造確認用）'!$S$10/12</f>
        <v>1559.7511275347561</v>
      </c>
      <c r="J41" s="245">
        <f>'UN｜KPIツリー（構造確認用）'!$S$10/12</f>
        <v>1559.7511275347561</v>
      </c>
      <c r="K41" s="245">
        <f>'UN｜KPIツリー（構造確認用）'!$S$10/12</f>
        <v>1559.7511275347561</v>
      </c>
      <c r="L41" s="245">
        <f>'UN｜KPIツリー（構造確認用）'!$S$10/12</f>
        <v>1559.7511275347561</v>
      </c>
      <c r="M41" s="245">
        <f>'UN｜KPIツリー（構造確認用）'!$S$10/12</f>
        <v>1559.7511275347561</v>
      </c>
      <c r="N41" s="245">
        <f>'UN｜KPIツリー（構造確認用）'!$S$10/12</f>
        <v>1559.7511275347561</v>
      </c>
      <c r="O41" s="245">
        <f>'UN｜KPIツリー（構造確認用）'!$S$10/12</f>
        <v>1559.7511275347561</v>
      </c>
    </row>
    <row r="42" spans="1:15">
      <c r="A42" t="s">
        <v>91</v>
      </c>
      <c r="B42" t="s">
        <v>101</v>
      </c>
      <c r="C42" t="s">
        <v>188</v>
      </c>
    </row>
    <row r="43" spans="1:15">
      <c r="A43" t="s">
        <v>91</v>
      </c>
      <c r="B43" t="s">
        <v>101</v>
      </c>
      <c r="C43" t="s">
        <v>189</v>
      </c>
    </row>
    <row r="44" spans="1:15" hidden="1">
      <c r="B44" s="197" t="s">
        <v>199</v>
      </c>
    </row>
    <row r="45" spans="1:15" hidden="1">
      <c r="B45" t="s">
        <v>200</v>
      </c>
      <c r="C45" t="s">
        <v>186</v>
      </c>
      <c r="D45" s="245">
        <f>'UN｜KPIツリー（構造確認用）'!$X10/12</f>
        <v>577.00206723210681</v>
      </c>
      <c r="E45" s="245">
        <f>'UN｜KPIツリー（構造確認用）'!$X10/12</f>
        <v>577.00206723210681</v>
      </c>
      <c r="F45" s="245">
        <f>'UN｜KPIツリー（構造確認用）'!$X10/12</f>
        <v>577.00206723210681</v>
      </c>
      <c r="G45" s="245">
        <f>'UN｜KPIツリー（構造確認用）'!$X10/12</f>
        <v>577.00206723210681</v>
      </c>
      <c r="H45" s="245">
        <f>'UN｜KPIツリー（構造確認用）'!$X10/12</f>
        <v>577.00206723210681</v>
      </c>
      <c r="I45" s="245">
        <f>'UN｜KPIツリー（構造確認用）'!$X10/12</f>
        <v>577.00206723210681</v>
      </c>
      <c r="J45" s="245">
        <f>'UN｜KPIツリー（構造確認用）'!$X10/12</f>
        <v>577.00206723210681</v>
      </c>
      <c r="K45" s="245">
        <f>'UN｜KPIツリー（構造確認用）'!$X10/12</f>
        <v>577.00206723210681</v>
      </c>
      <c r="L45" s="245">
        <f>'UN｜KPIツリー（構造確認用）'!$X10/12</f>
        <v>577.00206723210681</v>
      </c>
      <c r="M45" s="245">
        <f>'UN｜KPIツリー（構造確認用）'!$X10/12</f>
        <v>577.00206723210681</v>
      </c>
      <c r="N45" s="245">
        <f>'UN｜KPIツリー（構造確認用）'!$X10/12</f>
        <v>577.00206723210681</v>
      </c>
      <c r="O45" s="245">
        <f>'UN｜KPIツリー（構造確認用）'!$X10/12</f>
        <v>577.00206723210681</v>
      </c>
    </row>
    <row r="46" spans="1:15" hidden="1">
      <c r="B46" t="s">
        <v>200</v>
      </c>
      <c r="C46" t="s">
        <v>188</v>
      </c>
    </row>
    <row r="47" spans="1:15" hidden="1">
      <c r="B47" t="s">
        <v>200</v>
      </c>
      <c r="C47" t="s">
        <v>189</v>
      </c>
    </row>
    <row r="48" spans="1:15" hidden="1">
      <c r="B48" t="s">
        <v>201</v>
      </c>
      <c r="D48" s="245"/>
    </row>
    <row r="49" spans="1:15" hidden="1">
      <c r="B49" t="s">
        <v>202</v>
      </c>
      <c r="C49" t="s">
        <v>186</v>
      </c>
      <c r="D49" s="245">
        <f>'UN｜KPIツリー（構造確認用）'!$X13/12</f>
        <v>407.76250029768966</v>
      </c>
      <c r="E49" s="245">
        <f>'UN｜KPIツリー（構造確認用）'!$X13/12</f>
        <v>407.76250029768966</v>
      </c>
      <c r="F49" s="245">
        <f>'UN｜KPIツリー（構造確認用）'!$X13/12</f>
        <v>407.76250029768966</v>
      </c>
      <c r="G49" s="245">
        <f>'UN｜KPIツリー（構造確認用）'!$X13/12</f>
        <v>407.76250029768966</v>
      </c>
      <c r="H49" s="245">
        <f>'UN｜KPIツリー（構造確認用）'!$X13/12</f>
        <v>407.76250029768966</v>
      </c>
      <c r="I49" s="245">
        <f>'UN｜KPIツリー（構造確認用）'!$X13/12</f>
        <v>407.76250029768966</v>
      </c>
      <c r="J49" s="245">
        <f>'UN｜KPIツリー（構造確認用）'!$X13/12</f>
        <v>407.76250029768966</v>
      </c>
      <c r="K49" s="245">
        <f>'UN｜KPIツリー（構造確認用）'!$X13/12</f>
        <v>407.76250029768966</v>
      </c>
      <c r="L49" s="245">
        <f>'UN｜KPIツリー（構造確認用）'!$X13/12</f>
        <v>407.76250029768966</v>
      </c>
      <c r="M49" s="245">
        <f>'UN｜KPIツリー（構造確認用）'!$X13/12</f>
        <v>407.76250029768966</v>
      </c>
      <c r="N49" s="245">
        <f>'UN｜KPIツリー（構造確認用）'!$X13/12</f>
        <v>407.76250029768966</v>
      </c>
      <c r="O49" s="245">
        <f>'UN｜KPIツリー（構造確認用）'!$X13/12</f>
        <v>407.76250029768966</v>
      </c>
    </row>
    <row r="50" spans="1:15" hidden="1">
      <c r="B50" t="s">
        <v>202</v>
      </c>
      <c r="C50" t="s">
        <v>188</v>
      </c>
    </row>
    <row r="51" spans="1:15" hidden="1">
      <c r="B51" t="s">
        <v>202</v>
      </c>
      <c r="C51" t="s">
        <v>189</v>
      </c>
    </row>
    <row r="52" spans="1:15" hidden="1">
      <c r="B52" t="s">
        <v>203</v>
      </c>
      <c r="D52" s="245"/>
      <c r="E52" s="245"/>
      <c r="F52" s="245"/>
      <c r="G52" s="245"/>
      <c r="H52" s="245"/>
      <c r="I52" s="245"/>
      <c r="J52" s="245"/>
      <c r="K52" s="245"/>
      <c r="L52" s="245"/>
      <c r="M52" s="245"/>
      <c r="N52" s="245"/>
      <c r="O52" s="245"/>
    </row>
    <row r="53" spans="1:15" hidden="1">
      <c r="B53" t="s">
        <v>204</v>
      </c>
      <c r="C53" t="s">
        <v>186</v>
      </c>
      <c r="D53" s="245">
        <f>'UN｜KPIツリー（構造確認用）'!$X16/12</f>
        <v>334.26529404359991</v>
      </c>
      <c r="E53" s="245">
        <f>'UN｜KPIツリー（構造確認用）'!$X16/12</f>
        <v>334.26529404359991</v>
      </c>
      <c r="F53" s="245">
        <f>'UN｜KPIツリー（構造確認用）'!$X16/12</f>
        <v>334.26529404359991</v>
      </c>
      <c r="G53" s="245">
        <f>'UN｜KPIツリー（構造確認用）'!$X16/12</f>
        <v>334.26529404359991</v>
      </c>
      <c r="H53" s="245">
        <f>'UN｜KPIツリー（構造確認用）'!$X16/12</f>
        <v>334.26529404359991</v>
      </c>
      <c r="I53" s="245">
        <f>'UN｜KPIツリー（構造確認用）'!$X16/12</f>
        <v>334.26529404359991</v>
      </c>
      <c r="J53" s="245">
        <f>'UN｜KPIツリー（構造確認用）'!$X16/12</f>
        <v>334.26529404359991</v>
      </c>
      <c r="K53" s="245">
        <f>'UN｜KPIツリー（構造確認用）'!$X16/12</f>
        <v>334.26529404359991</v>
      </c>
      <c r="L53" s="245">
        <f>'UN｜KPIツリー（構造確認用）'!$X16/12</f>
        <v>334.26529404359991</v>
      </c>
      <c r="M53" s="245">
        <f>'UN｜KPIツリー（構造確認用）'!$X16/12</f>
        <v>334.26529404359991</v>
      </c>
      <c r="N53" s="245">
        <f>'UN｜KPIツリー（構造確認用）'!$X16/12</f>
        <v>334.26529404359991</v>
      </c>
      <c r="O53" s="245">
        <f>'UN｜KPIツリー（構造確認用）'!$X16/12</f>
        <v>334.26529404359991</v>
      </c>
    </row>
    <row r="54" spans="1:15" hidden="1">
      <c r="B54" t="s">
        <v>204</v>
      </c>
      <c r="C54" t="s">
        <v>188</v>
      </c>
    </row>
    <row r="55" spans="1:15" hidden="1">
      <c r="B55" t="s">
        <v>204</v>
      </c>
      <c r="C55" t="s">
        <v>189</v>
      </c>
    </row>
    <row r="56" spans="1:15" hidden="1">
      <c r="B56" t="s">
        <v>205</v>
      </c>
    </row>
    <row r="57" spans="1:15" hidden="1">
      <c r="B57" t="s">
        <v>206</v>
      </c>
      <c r="C57" t="s">
        <v>186</v>
      </c>
      <c r="D57" s="245">
        <f>'UN｜KPIツリー（構造確認用）'!$X19/12</f>
        <v>54.38793262802637</v>
      </c>
      <c r="E57" s="245">
        <f>'UN｜KPIツリー（構造確認用）'!$X19/12</f>
        <v>54.38793262802637</v>
      </c>
      <c r="F57" s="245">
        <f>'UN｜KPIツリー（構造確認用）'!$X19/12</f>
        <v>54.38793262802637</v>
      </c>
      <c r="G57" s="245">
        <f>'UN｜KPIツリー（構造確認用）'!$X19/12</f>
        <v>54.38793262802637</v>
      </c>
      <c r="H57" s="245">
        <f>'UN｜KPIツリー（構造確認用）'!$X19/12</f>
        <v>54.38793262802637</v>
      </c>
      <c r="I57" s="245">
        <f>'UN｜KPIツリー（構造確認用）'!$X19/12</f>
        <v>54.38793262802637</v>
      </c>
      <c r="J57" s="245">
        <f>'UN｜KPIツリー（構造確認用）'!$X19/12</f>
        <v>54.38793262802637</v>
      </c>
      <c r="K57" s="245">
        <f>'UN｜KPIツリー（構造確認用）'!$X19/12</f>
        <v>54.38793262802637</v>
      </c>
      <c r="L57" s="245">
        <f>'UN｜KPIツリー（構造確認用）'!$X19/12</f>
        <v>54.38793262802637</v>
      </c>
      <c r="M57" s="245">
        <f>'UN｜KPIツリー（構造確認用）'!$X19/12</f>
        <v>54.38793262802637</v>
      </c>
      <c r="N57" s="245">
        <f>'UN｜KPIツリー（構造確認用）'!$X19/12</f>
        <v>54.38793262802637</v>
      </c>
      <c r="O57" s="245">
        <f>'UN｜KPIツリー（構造確認用）'!$X19/12</f>
        <v>54.38793262802637</v>
      </c>
    </row>
    <row r="58" spans="1:15" hidden="1">
      <c r="B58" t="s">
        <v>206</v>
      </c>
      <c r="C58" t="s">
        <v>188</v>
      </c>
    </row>
    <row r="59" spans="1:15" hidden="1">
      <c r="B59" t="s">
        <v>206</v>
      </c>
      <c r="C59" t="s">
        <v>189</v>
      </c>
    </row>
    <row r="60" spans="1:15" hidden="1">
      <c r="B60" s="197" t="s">
        <v>207</v>
      </c>
    </row>
    <row r="61" spans="1:15" hidden="1">
      <c r="B61" t="s">
        <v>208</v>
      </c>
      <c r="C61" t="s">
        <v>186</v>
      </c>
      <c r="D61" s="245">
        <f>'UN｜KPIツリー（構造確認用）'!$X22/12</f>
        <v>186.33333333333334</v>
      </c>
      <c r="E61" s="245">
        <f>'UN｜KPIツリー（構造確認用）'!$X22/12</f>
        <v>186.33333333333334</v>
      </c>
      <c r="F61" s="245">
        <f>'UN｜KPIツリー（構造確認用）'!$X22/12</f>
        <v>186.33333333333334</v>
      </c>
      <c r="G61" s="245">
        <f>'UN｜KPIツリー（構造確認用）'!$X22/12</f>
        <v>186.33333333333334</v>
      </c>
      <c r="H61" s="245">
        <f>'UN｜KPIツリー（構造確認用）'!$X22/12</f>
        <v>186.33333333333334</v>
      </c>
      <c r="I61" s="245">
        <f>'UN｜KPIツリー（構造確認用）'!$X22/12</f>
        <v>186.33333333333334</v>
      </c>
      <c r="J61" s="245">
        <f>'UN｜KPIツリー（構造確認用）'!$X22/12</f>
        <v>186.33333333333334</v>
      </c>
      <c r="K61" s="245">
        <f>'UN｜KPIツリー（構造確認用）'!$X22/12</f>
        <v>186.33333333333334</v>
      </c>
      <c r="L61" s="245">
        <f>'UN｜KPIツリー（構造確認用）'!$X22/12</f>
        <v>186.33333333333334</v>
      </c>
      <c r="M61" s="245">
        <f>'UN｜KPIツリー（構造確認用）'!$X22/12</f>
        <v>186.33333333333334</v>
      </c>
      <c r="N61" s="245">
        <f>'UN｜KPIツリー（構造確認用）'!$X22/12</f>
        <v>186.33333333333334</v>
      </c>
      <c r="O61" s="245">
        <f>'UN｜KPIツリー（構造確認用）'!$X22/12</f>
        <v>186.33333333333334</v>
      </c>
    </row>
    <row r="62" spans="1:15" hidden="1">
      <c r="B62" t="s">
        <v>208</v>
      </c>
      <c r="C62" t="s">
        <v>188</v>
      </c>
    </row>
    <row r="63" spans="1:15" hidden="1">
      <c r="B63" t="s">
        <v>208</v>
      </c>
      <c r="C63" t="s">
        <v>189</v>
      </c>
    </row>
    <row r="64" spans="1:15">
      <c r="A64" t="s">
        <v>209</v>
      </c>
      <c r="B64" t="s">
        <v>185</v>
      </c>
    </row>
    <row r="65" spans="2:15">
      <c r="B65" t="s">
        <v>190</v>
      </c>
    </row>
    <row r="66" spans="2:15">
      <c r="B66" t="s">
        <v>192</v>
      </c>
    </row>
    <row r="67" spans="2:15">
      <c r="B67" t="s">
        <v>193</v>
      </c>
    </row>
    <row r="68" spans="2:15">
      <c r="B68" t="s">
        <v>194</v>
      </c>
    </row>
    <row r="69" spans="2:15">
      <c r="B69" t="s">
        <v>195</v>
      </c>
    </row>
    <row r="70" spans="2:15">
      <c r="B70" t="s">
        <v>196</v>
      </c>
      <c r="D70" s="197"/>
    </row>
    <row r="71" spans="2:15">
      <c r="B71" t="s">
        <v>197</v>
      </c>
      <c r="D71" s="197"/>
    </row>
    <row r="72" spans="2:15">
      <c r="B72" t="s">
        <v>101</v>
      </c>
      <c r="C72" t="s">
        <v>186</v>
      </c>
      <c r="D72" s="245">
        <f>'UN｜KPIツリー（構造確認用）'!$S28/12</f>
        <v>717.04466619124071</v>
      </c>
      <c r="E72" s="245">
        <f>'UN｜KPIツリー（構造確認用）'!$S28/12</f>
        <v>717.04466619124071</v>
      </c>
      <c r="F72" s="245">
        <f>'UN｜KPIツリー（構造確認用）'!$S28/12</f>
        <v>717.04466619124071</v>
      </c>
      <c r="G72" s="245">
        <f>'UN｜KPIツリー（構造確認用）'!$S28/12</f>
        <v>717.04466619124071</v>
      </c>
      <c r="H72" s="245">
        <f>'UN｜KPIツリー（構造確認用）'!$S28/12</f>
        <v>717.04466619124071</v>
      </c>
      <c r="I72" s="245">
        <f>'UN｜KPIツリー（構造確認用）'!$S28/12</f>
        <v>717.04466619124071</v>
      </c>
      <c r="J72" s="245">
        <f>'UN｜KPIツリー（構造確認用）'!$S28/12</f>
        <v>717.04466619124071</v>
      </c>
      <c r="K72" s="245">
        <f>'UN｜KPIツリー（構造確認用）'!$S28/12</f>
        <v>717.04466619124071</v>
      </c>
      <c r="L72" s="245">
        <f>'UN｜KPIツリー（構造確認用）'!$S28/12</f>
        <v>717.04466619124071</v>
      </c>
      <c r="M72" s="245">
        <f>'UN｜KPIツリー（構造確認用）'!$S28/12</f>
        <v>717.04466619124071</v>
      </c>
      <c r="N72" s="245">
        <f>'UN｜KPIツリー（構造確認用）'!$S28/12</f>
        <v>717.04466619124071</v>
      </c>
      <c r="O72" s="245">
        <f>'UN｜KPIツリー（構造確認用）'!$S28/12</f>
        <v>717.04466619124071</v>
      </c>
    </row>
    <row r="73" spans="2:15">
      <c r="B73" t="s">
        <v>101</v>
      </c>
      <c r="C73" t="s">
        <v>188</v>
      </c>
    </row>
    <row r="74" spans="2:15">
      <c r="B74" t="s">
        <v>101</v>
      </c>
      <c r="C74" t="s">
        <v>189</v>
      </c>
    </row>
    <row r="75" spans="2:15" hidden="1">
      <c r="B75" s="197" t="s">
        <v>199</v>
      </c>
    </row>
    <row r="76" spans="2:15" hidden="1">
      <c r="B76" t="s">
        <v>200</v>
      </c>
      <c r="C76" t="s">
        <v>186</v>
      </c>
      <c r="D76" s="245">
        <f>'UN｜KPIツリー（構造確認用）'!$X28/12</f>
        <v>419.69403057185451</v>
      </c>
      <c r="E76" s="245">
        <f>'UN｜KPIツリー（構造確認用）'!$X28/12</f>
        <v>419.69403057185451</v>
      </c>
      <c r="F76" s="245">
        <f>'UN｜KPIツリー（構造確認用）'!$X28/12</f>
        <v>419.69403057185451</v>
      </c>
      <c r="G76" s="245">
        <f>'UN｜KPIツリー（構造確認用）'!$X28/12</f>
        <v>419.69403057185451</v>
      </c>
      <c r="H76" s="245">
        <f>'UN｜KPIツリー（構造確認用）'!$X28/12</f>
        <v>419.69403057185451</v>
      </c>
      <c r="I76" s="245">
        <f>'UN｜KPIツリー（構造確認用）'!$X28/12</f>
        <v>419.69403057185451</v>
      </c>
      <c r="J76" s="245">
        <f>'UN｜KPIツリー（構造確認用）'!$X28/12</f>
        <v>419.69403057185451</v>
      </c>
      <c r="K76" s="245">
        <f>'UN｜KPIツリー（構造確認用）'!$X28/12</f>
        <v>419.69403057185451</v>
      </c>
      <c r="L76" s="245">
        <f>'UN｜KPIツリー（構造確認用）'!$X28/12</f>
        <v>419.69403057185451</v>
      </c>
      <c r="M76" s="245">
        <f>'UN｜KPIツリー（構造確認用）'!$X28/12</f>
        <v>419.69403057185451</v>
      </c>
      <c r="N76" s="245">
        <f>'UN｜KPIツリー（構造確認用）'!$X28/12</f>
        <v>419.69403057185451</v>
      </c>
      <c r="O76" s="245">
        <f>'UN｜KPIツリー（構造確認用）'!$X28/12</f>
        <v>419.69403057185451</v>
      </c>
    </row>
    <row r="77" spans="2:15" hidden="1">
      <c r="B77" t="s">
        <v>200</v>
      </c>
      <c r="C77" t="s">
        <v>188</v>
      </c>
    </row>
    <row r="78" spans="2:15" hidden="1">
      <c r="B78" t="s">
        <v>200</v>
      </c>
      <c r="C78" t="s">
        <v>189</v>
      </c>
    </row>
    <row r="79" spans="2:15" hidden="1">
      <c r="B79" t="s">
        <v>205</v>
      </c>
      <c r="D79" s="245"/>
      <c r="E79" s="245"/>
      <c r="F79" s="245"/>
      <c r="G79" s="245"/>
      <c r="H79" s="245"/>
      <c r="I79" s="245"/>
      <c r="J79" s="245"/>
      <c r="K79" s="245"/>
      <c r="L79" s="245"/>
      <c r="M79" s="245"/>
      <c r="N79" s="245"/>
      <c r="O79" s="245"/>
    </row>
    <row r="80" spans="2:15" hidden="1">
      <c r="B80" t="s">
        <v>206</v>
      </c>
      <c r="C80" t="s">
        <v>186</v>
      </c>
      <c r="D80" s="245">
        <f>'UN｜KPIツリー（構造確認用）'!$X31/12</f>
        <v>246.35063561938625</v>
      </c>
      <c r="E80" s="245">
        <f>'UN｜KPIツリー（構造確認用）'!$X31/12</f>
        <v>246.35063561938625</v>
      </c>
      <c r="F80" s="245">
        <f>'UN｜KPIツリー（構造確認用）'!$X31/12</f>
        <v>246.35063561938625</v>
      </c>
      <c r="G80" s="245">
        <f>'UN｜KPIツリー（構造確認用）'!$X31/12</f>
        <v>246.35063561938625</v>
      </c>
      <c r="H80" s="245">
        <f>'UN｜KPIツリー（構造確認用）'!$X31/12</f>
        <v>246.35063561938625</v>
      </c>
      <c r="I80" s="245">
        <f>'UN｜KPIツリー（構造確認用）'!$X31/12</f>
        <v>246.35063561938625</v>
      </c>
      <c r="J80" s="245">
        <f>'UN｜KPIツリー（構造確認用）'!$X31/12</f>
        <v>246.35063561938625</v>
      </c>
      <c r="K80" s="245">
        <f>'UN｜KPIツリー（構造確認用）'!$X31/12</f>
        <v>246.35063561938625</v>
      </c>
      <c r="L80" s="245">
        <f>'UN｜KPIツリー（構造確認用）'!$X31/12</f>
        <v>246.35063561938625</v>
      </c>
      <c r="M80" s="245">
        <f>'UN｜KPIツリー（構造確認用）'!$X31/12</f>
        <v>246.35063561938625</v>
      </c>
      <c r="N80" s="245">
        <f>'UN｜KPIツリー（構造確認用）'!$X31/12</f>
        <v>246.35063561938625</v>
      </c>
      <c r="O80" s="245">
        <f>'UN｜KPIツリー（構造確認用）'!$X31/12</f>
        <v>246.35063561938625</v>
      </c>
    </row>
    <row r="81" spans="1:15" hidden="1">
      <c r="B81" t="s">
        <v>206</v>
      </c>
      <c r="C81" t="s">
        <v>188</v>
      </c>
    </row>
    <row r="82" spans="1:15" hidden="1">
      <c r="B82" t="s">
        <v>206</v>
      </c>
      <c r="C82" t="s">
        <v>189</v>
      </c>
    </row>
    <row r="83" spans="1:15" hidden="1">
      <c r="B83" s="197" t="s">
        <v>207</v>
      </c>
      <c r="D83" s="245"/>
      <c r="E83" s="245"/>
      <c r="F83" s="245"/>
      <c r="G83" s="245"/>
      <c r="H83" s="245"/>
      <c r="I83" s="245"/>
      <c r="J83" s="245"/>
      <c r="K83" s="245"/>
      <c r="L83" s="245"/>
      <c r="M83" s="245"/>
      <c r="N83" s="245"/>
      <c r="O83" s="245"/>
    </row>
    <row r="84" spans="1:15" hidden="1">
      <c r="B84" t="s">
        <v>208</v>
      </c>
      <c r="C84" t="s">
        <v>186</v>
      </c>
      <c r="D84" s="245">
        <f>'UN｜KPIツリー（構造確認用）'!$X34/12</f>
        <v>51</v>
      </c>
      <c r="E84" s="245">
        <f>'UN｜KPIツリー（構造確認用）'!$X34/12</f>
        <v>51</v>
      </c>
      <c r="F84" s="245">
        <f>'UN｜KPIツリー（構造確認用）'!$X34/12</f>
        <v>51</v>
      </c>
      <c r="G84" s="245">
        <f>'UN｜KPIツリー（構造確認用）'!$X34/12</f>
        <v>51</v>
      </c>
      <c r="H84" s="245">
        <f>'UN｜KPIツリー（構造確認用）'!$X34/12</f>
        <v>51</v>
      </c>
      <c r="I84" s="245">
        <f>'UN｜KPIツリー（構造確認用）'!$X34/12</f>
        <v>51</v>
      </c>
      <c r="J84" s="245">
        <f>'UN｜KPIツリー（構造確認用）'!$X34/12</f>
        <v>51</v>
      </c>
      <c r="K84" s="245">
        <f>'UN｜KPIツリー（構造確認用）'!$X34/12</f>
        <v>51</v>
      </c>
      <c r="L84" s="245">
        <f>'UN｜KPIツリー（構造確認用）'!$X34/12</f>
        <v>51</v>
      </c>
      <c r="M84" s="245">
        <f>'UN｜KPIツリー（構造確認用）'!$X34/12</f>
        <v>51</v>
      </c>
      <c r="N84" s="245">
        <f>'UN｜KPIツリー（構造確認用）'!$X34/12</f>
        <v>51</v>
      </c>
      <c r="O84" s="245">
        <f>'UN｜KPIツリー（構造確認用）'!$X34/12</f>
        <v>51</v>
      </c>
    </row>
    <row r="85" spans="1:15" hidden="1">
      <c r="B85" t="s">
        <v>208</v>
      </c>
      <c r="C85" t="s">
        <v>188</v>
      </c>
    </row>
    <row r="86" spans="1:15" hidden="1">
      <c r="B86" t="s">
        <v>208</v>
      </c>
      <c r="C86" t="s">
        <v>189</v>
      </c>
    </row>
    <row r="87" spans="1:15">
      <c r="A87" t="s">
        <v>139</v>
      </c>
      <c r="B87" t="s">
        <v>185</v>
      </c>
    </row>
    <row r="88" spans="1:15">
      <c r="B88" t="s">
        <v>190</v>
      </c>
    </row>
    <row r="89" spans="1:15">
      <c r="B89" t="s">
        <v>192</v>
      </c>
    </row>
    <row r="90" spans="1:15">
      <c r="B90" t="s">
        <v>193</v>
      </c>
    </row>
    <row r="91" spans="1:15">
      <c r="B91" t="s">
        <v>194</v>
      </c>
    </row>
    <row r="92" spans="1:15">
      <c r="B92" t="s">
        <v>195</v>
      </c>
    </row>
    <row r="93" spans="1:15">
      <c r="B93" t="s">
        <v>196</v>
      </c>
    </row>
    <row r="94" spans="1:15">
      <c r="B94" t="s">
        <v>197</v>
      </c>
    </row>
    <row r="95" spans="1:15">
      <c r="B95" t="s">
        <v>101</v>
      </c>
      <c r="C95" t="s">
        <v>186</v>
      </c>
      <c r="D95" s="245">
        <f>'UN｜KPIツリー（構造確認用）'!$S47/12</f>
        <v>228.52737259326719</v>
      </c>
      <c r="E95" s="245">
        <f>'UN｜KPIツリー（構造確認用）'!$S47/12</f>
        <v>228.52737259326719</v>
      </c>
      <c r="F95" s="245">
        <f>'UN｜KPIツリー（構造確認用）'!$S47/12</f>
        <v>228.52737259326719</v>
      </c>
      <c r="G95" s="245">
        <f>'UN｜KPIツリー（構造確認用）'!$S47/12</f>
        <v>228.52737259326719</v>
      </c>
      <c r="H95" s="245">
        <f>'UN｜KPIツリー（構造確認用）'!$S47/12</f>
        <v>228.52737259326719</v>
      </c>
      <c r="I95" s="245">
        <f>'UN｜KPIツリー（構造確認用）'!$S47/12</f>
        <v>228.52737259326719</v>
      </c>
      <c r="J95" s="245">
        <f>'UN｜KPIツリー（構造確認用）'!$S47/12</f>
        <v>228.52737259326719</v>
      </c>
      <c r="K95" s="245">
        <f>'UN｜KPIツリー（構造確認用）'!$S47/12</f>
        <v>228.52737259326719</v>
      </c>
      <c r="L95" s="245">
        <f>'UN｜KPIツリー（構造確認用）'!$S47/12</f>
        <v>228.52737259326719</v>
      </c>
      <c r="M95" s="245">
        <f>'UN｜KPIツリー（構造確認用）'!$S47/12</f>
        <v>228.52737259326719</v>
      </c>
      <c r="N95" s="245">
        <f>'UN｜KPIツリー（構造確認用）'!$S47/12</f>
        <v>228.52737259326719</v>
      </c>
      <c r="O95" s="245">
        <f>'UN｜KPIツリー（構造確認用）'!$S47/12</f>
        <v>228.52737259326719</v>
      </c>
    </row>
    <row r="96" spans="1:15">
      <c r="B96" t="s">
        <v>101</v>
      </c>
      <c r="C96" t="s">
        <v>188</v>
      </c>
    </row>
    <row r="97" spans="2:15">
      <c r="B97" t="s">
        <v>101</v>
      </c>
      <c r="C97" t="s">
        <v>189</v>
      </c>
    </row>
    <row r="98" spans="2:15" hidden="1">
      <c r="B98" s="197" t="s">
        <v>199</v>
      </c>
    </row>
    <row r="99" spans="2:15" hidden="1">
      <c r="B99" t="s">
        <v>200</v>
      </c>
      <c r="C99" t="s">
        <v>186</v>
      </c>
      <c r="D99" s="245">
        <f>'UN｜KPIツリー（構造確認用）'!$X47/12</f>
        <v>61.551617581059162</v>
      </c>
      <c r="E99" s="245">
        <f>'UN｜KPIツリー（構造確認用）'!$X47/12</f>
        <v>61.551617581059162</v>
      </c>
      <c r="F99" s="245">
        <f>'UN｜KPIツリー（構造確認用）'!$X47/12</f>
        <v>61.551617581059162</v>
      </c>
      <c r="G99" s="245">
        <f>'UN｜KPIツリー（構造確認用）'!$X47/12</f>
        <v>61.551617581059162</v>
      </c>
      <c r="H99" s="245">
        <f>'UN｜KPIツリー（構造確認用）'!$X47/12</f>
        <v>61.551617581059162</v>
      </c>
      <c r="I99" s="245">
        <f>'UN｜KPIツリー（構造確認用）'!$X47/12</f>
        <v>61.551617581059162</v>
      </c>
      <c r="J99" s="245">
        <f>'UN｜KPIツリー（構造確認用）'!$X47/12</f>
        <v>61.551617581059162</v>
      </c>
      <c r="K99" s="245">
        <f>'UN｜KPIツリー（構造確認用）'!$X47/12</f>
        <v>61.551617581059162</v>
      </c>
      <c r="L99" s="245">
        <f>'UN｜KPIツリー（構造確認用）'!$X47/12</f>
        <v>61.551617581059162</v>
      </c>
      <c r="M99" s="245">
        <f>'UN｜KPIツリー（構造確認用）'!$X47/12</f>
        <v>61.551617581059162</v>
      </c>
      <c r="N99" s="245">
        <f>'UN｜KPIツリー（構造確認用）'!$X47/12</f>
        <v>61.551617581059162</v>
      </c>
      <c r="O99" s="245">
        <f>'UN｜KPIツリー（構造確認用）'!$X47/12</f>
        <v>61.551617581059162</v>
      </c>
    </row>
    <row r="100" spans="2:15" hidden="1">
      <c r="B100" t="s">
        <v>200</v>
      </c>
      <c r="C100" t="s">
        <v>188</v>
      </c>
    </row>
    <row r="101" spans="2:15" hidden="1">
      <c r="B101" t="s">
        <v>200</v>
      </c>
      <c r="C101" t="s">
        <v>189</v>
      </c>
    </row>
    <row r="102" spans="2:15" hidden="1">
      <c r="B102" t="s">
        <v>201</v>
      </c>
      <c r="D102" s="245"/>
      <c r="E102" s="245"/>
      <c r="F102" s="245"/>
      <c r="G102" s="245"/>
      <c r="H102" s="245"/>
      <c r="I102" s="245"/>
      <c r="J102" s="245"/>
      <c r="K102" s="245"/>
      <c r="L102" s="245"/>
      <c r="M102" s="245"/>
      <c r="N102" s="245"/>
      <c r="O102" s="245"/>
    </row>
    <row r="103" spans="2:15" hidden="1">
      <c r="B103" t="s">
        <v>202</v>
      </c>
      <c r="C103" t="s">
        <v>186</v>
      </c>
      <c r="D103" s="245">
        <f>'UN｜KPIツリー（構造確認用）'!$X50/12</f>
        <v>61.428267646026988</v>
      </c>
      <c r="E103" s="245">
        <f>'UN｜KPIツリー（構造確認用）'!$X50/12</f>
        <v>61.428267646026988</v>
      </c>
      <c r="F103" s="245">
        <f>'UN｜KPIツリー（構造確認用）'!$X50/12</f>
        <v>61.428267646026988</v>
      </c>
      <c r="G103" s="245">
        <f>'UN｜KPIツリー（構造確認用）'!$X50/12</f>
        <v>61.428267646026988</v>
      </c>
      <c r="H103" s="245">
        <f>'UN｜KPIツリー（構造確認用）'!$X50/12</f>
        <v>61.428267646026988</v>
      </c>
      <c r="I103" s="245">
        <f>'UN｜KPIツリー（構造確認用）'!$X50/12</f>
        <v>61.428267646026988</v>
      </c>
      <c r="J103" s="245">
        <f>'UN｜KPIツリー（構造確認用）'!$X50/12</f>
        <v>61.428267646026988</v>
      </c>
      <c r="K103" s="245">
        <f>'UN｜KPIツリー（構造確認用）'!$X50/12</f>
        <v>61.428267646026988</v>
      </c>
      <c r="L103" s="245">
        <f>'UN｜KPIツリー（構造確認用）'!$X50/12</f>
        <v>61.428267646026988</v>
      </c>
      <c r="M103" s="245">
        <f>'UN｜KPIツリー（構造確認用）'!$X50/12</f>
        <v>61.428267646026988</v>
      </c>
      <c r="N103" s="245">
        <f>'UN｜KPIツリー（構造確認用）'!$X50/12</f>
        <v>61.428267646026988</v>
      </c>
      <c r="O103" s="245">
        <f>'UN｜KPIツリー（構造確認用）'!$X50/12</f>
        <v>61.428267646026988</v>
      </c>
    </row>
    <row r="104" spans="2:15" hidden="1">
      <c r="B104" t="s">
        <v>202</v>
      </c>
      <c r="C104" t="s">
        <v>188</v>
      </c>
    </row>
    <row r="105" spans="2:15" hidden="1">
      <c r="B105" t="s">
        <v>202</v>
      </c>
      <c r="C105" t="s">
        <v>189</v>
      </c>
    </row>
    <row r="106" spans="2:15" hidden="1">
      <c r="B106" t="s">
        <v>203</v>
      </c>
      <c r="D106" s="245"/>
      <c r="E106" s="245"/>
      <c r="F106" s="245"/>
      <c r="G106" s="245"/>
      <c r="H106" s="245"/>
      <c r="I106" s="245"/>
      <c r="J106" s="245"/>
      <c r="K106" s="245"/>
      <c r="L106" s="245"/>
      <c r="M106" s="245"/>
      <c r="N106" s="245"/>
      <c r="O106" s="245"/>
    </row>
    <row r="107" spans="2:15" hidden="1">
      <c r="B107" t="s">
        <v>204</v>
      </c>
      <c r="C107" t="s">
        <v>186</v>
      </c>
      <c r="D107" s="245">
        <f>'UN｜KPIツリー（構造確認用）'!$X53/12</f>
        <v>55.630820699514395</v>
      </c>
      <c r="E107" s="245">
        <f>'UN｜KPIツリー（構造確認用）'!$X53/12</f>
        <v>55.630820699514395</v>
      </c>
      <c r="F107" s="245">
        <f>'UN｜KPIツリー（構造確認用）'!$X53/12</f>
        <v>55.630820699514395</v>
      </c>
      <c r="G107" s="245">
        <f>'UN｜KPIツリー（構造確認用）'!$X53/12</f>
        <v>55.630820699514395</v>
      </c>
      <c r="H107" s="245">
        <f>'UN｜KPIツリー（構造確認用）'!$X53/12</f>
        <v>55.630820699514395</v>
      </c>
      <c r="I107" s="245">
        <f>'UN｜KPIツリー（構造確認用）'!$X53/12</f>
        <v>55.630820699514395</v>
      </c>
      <c r="J107" s="245">
        <f>'UN｜KPIツリー（構造確認用）'!$X53/12</f>
        <v>55.630820699514395</v>
      </c>
      <c r="K107" s="245">
        <f>'UN｜KPIツリー（構造確認用）'!$X53/12</f>
        <v>55.630820699514395</v>
      </c>
      <c r="L107" s="245">
        <f>'UN｜KPIツリー（構造確認用）'!$X53/12</f>
        <v>55.630820699514395</v>
      </c>
      <c r="M107" s="245">
        <f>'UN｜KPIツリー（構造確認用）'!$X53/12</f>
        <v>55.630820699514395</v>
      </c>
      <c r="N107" s="245">
        <f>'UN｜KPIツリー（構造確認用）'!$X53/12</f>
        <v>55.630820699514395</v>
      </c>
      <c r="O107" s="245">
        <f>'UN｜KPIツリー（構造確認用）'!$X53/12</f>
        <v>55.630820699514395</v>
      </c>
    </row>
    <row r="108" spans="2:15" hidden="1">
      <c r="B108" t="s">
        <v>204</v>
      </c>
      <c r="C108" t="s">
        <v>188</v>
      </c>
    </row>
    <row r="109" spans="2:15" hidden="1">
      <c r="B109" t="s">
        <v>204</v>
      </c>
      <c r="C109" t="s">
        <v>189</v>
      </c>
    </row>
    <row r="110" spans="2:15" hidden="1">
      <c r="B110" s="197" t="s">
        <v>207</v>
      </c>
    </row>
    <row r="111" spans="2:15" hidden="1">
      <c r="B111" t="s">
        <v>208</v>
      </c>
      <c r="C111" t="s">
        <v>186</v>
      </c>
      <c r="D111" s="245">
        <f>'UN｜KPIツリー（構造確認用）'!$X56/12</f>
        <v>49.916666666666664</v>
      </c>
      <c r="E111" s="245">
        <f>'UN｜KPIツリー（構造確認用）'!$X56/12</f>
        <v>49.916666666666664</v>
      </c>
      <c r="F111" s="245">
        <f>'UN｜KPIツリー（構造確認用）'!$X56/12</f>
        <v>49.916666666666664</v>
      </c>
      <c r="G111" s="245">
        <f>'UN｜KPIツリー（構造確認用）'!$X56/12</f>
        <v>49.916666666666664</v>
      </c>
      <c r="H111" s="245">
        <f>'UN｜KPIツリー（構造確認用）'!$X56/12</f>
        <v>49.916666666666664</v>
      </c>
      <c r="I111" s="245">
        <f>'UN｜KPIツリー（構造確認用）'!$X56/12</f>
        <v>49.916666666666664</v>
      </c>
      <c r="J111" s="245">
        <f>'UN｜KPIツリー（構造確認用）'!$X56/12</f>
        <v>49.916666666666664</v>
      </c>
      <c r="K111" s="245">
        <f>'UN｜KPIツリー（構造確認用）'!$X56/12</f>
        <v>49.916666666666664</v>
      </c>
      <c r="L111" s="245">
        <f>'UN｜KPIツリー（構造確認用）'!$X56/12</f>
        <v>49.916666666666664</v>
      </c>
      <c r="M111" s="245">
        <f>'UN｜KPIツリー（構造確認用）'!$X56/12</f>
        <v>49.916666666666664</v>
      </c>
      <c r="N111" s="245">
        <f>'UN｜KPIツリー（構造確認用）'!$X56/12</f>
        <v>49.916666666666664</v>
      </c>
      <c r="O111" s="245">
        <f>'UN｜KPIツリー（構造確認用）'!$X56/12</f>
        <v>49.916666666666664</v>
      </c>
    </row>
    <row r="112" spans="2:15" hidden="1">
      <c r="B112" t="s">
        <v>208</v>
      </c>
      <c r="C112" t="s">
        <v>188</v>
      </c>
    </row>
    <row r="113" spans="1:15" hidden="1">
      <c r="B113" t="s">
        <v>208</v>
      </c>
      <c r="C113" t="s">
        <v>189</v>
      </c>
    </row>
    <row r="114" spans="1:15">
      <c r="A114" t="s">
        <v>146</v>
      </c>
      <c r="B114" t="s">
        <v>185</v>
      </c>
    </row>
    <row r="115" spans="1:15">
      <c r="B115" t="s">
        <v>190</v>
      </c>
    </row>
    <row r="116" spans="1:15">
      <c r="B116" t="s">
        <v>192</v>
      </c>
    </row>
    <row r="117" spans="1:15">
      <c r="B117" t="s">
        <v>193</v>
      </c>
    </row>
    <row r="118" spans="1:15">
      <c r="B118" t="s">
        <v>194</v>
      </c>
    </row>
    <row r="119" spans="1:15">
      <c r="B119" t="s">
        <v>195</v>
      </c>
    </row>
    <row r="120" spans="1:15">
      <c r="B120" t="s">
        <v>196</v>
      </c>
    </row>
    <row r="121" spans="1:15">
      <c r="B121" t="s">
        <v>197</v>
      </c>
    </row>
    <row r="122" spans="1:15">
      <c r="B122" t="s">
        <v>101</v>
      </c>
      <c r="C122" t="s">
        <v>186</v>
      </c>
      <c r="D122" s="245">
        <f>'UN｜KPIツリー（構造確認用）'!$S59/12</f>
        <v>147.42182114940775</v>
      </c>
      <c r="E122" s="245">
        <f>'UN｜KPIツリー（構造確認用）'!$S59/12</f>
        <v>147.42182114940775</v>
      </c>
      <c r="F122" s="245">
        <f>'UN｜KPIツリー（構造確認用）'!$S59/12</f>
        <v>147.42182114940775</v>
      </c>
      <c r="G122" s="245">
        <f>'UN｜KPIツリー（構造確認用）'!$S59/12</f>
        <v>147.42182114940775</v>
      </c>
      <c r="H122" s="245">
        <f>'UN｜KPIツリー（構造確認用）'!$S59/12</f>
        <v>147.42182114940775</v>
      </c>
      <c r="I122" s="245">
        <f>'UN｜KPIツリー（構造確認用）'!$S59/12</f>
        <v>147.42182114940775</v>
      </c>
      <c r="J122" s="245">
        <f>'UN｜KPIツリー（構造確認用）'!$S59/12</f>
        <v>147.42182114940775</v>
      </c>
      <c r="K122" s="245">
        <f>'UN｜KPIツリー（構造確認用）'!$S59/12</f>
        <v>147.42182114940775</v>
      </c>
      <c r="L122" s="245">
        <f>'UN｜KPIツリー（構造確認用）'!$S59/12</f>
        <v>147.42182114940775</v>
      </c>
      <c r="M122" s="245">
        <f>'UN｜KPIツリー（構造確認用）'!$S59/12</f>
        <v>147.42182114940775</v>
      </c>
      <c r="N122" s="245">
        <f>'UN｜KPIツリー（構造確認用）'!$S59/12</f>
        <v>147.42182114940775</v>
      </c>
      <c r="O122" s="245">
        <f>'UN｜KPIツリー（構造確認用）'!$S59/12</f>
        <v>147.42182114940775</v>
      </c>
    </row>
    <row r="123" spans="1:15">
      <c r="B123" t="s">
        <v>101</v>
      </c>
      <c r="C123" t="s">
        <v>188</v>
      </c>
    </row>
    <row r="124" spans="1:15">
      <c r="B124" t="s">
        <v>101</v>
      </c>
      <c r="C124" t="s">
        <v>189</v>
      </c>
    </row>
    <row r="125" spans="1:15" hidden="1">
      <c r="B125" s="197" t="s">
        <v>199</v>
      </c>
    </row>
    <row r="126" spans="1:15" hidden="1">
      <c r="B126" t="s">
        <v>200</v>
      </c>
      <c r="C126" t="s">
        <v>186</v>
      </c>
      <c r="D126" s="245">
        <f>'UN｜KPIツリー（構造確認用）'!$X59/12</f>
        <v>62.952165707826168</v>
      </c>
      <c r="E126" s="245">
        <f>'UN｜KPIツリー（構造確認用）'!$X59/12</f>
        <v>62.952165707826168</v>
      </c>
      <c r="F126" s="245">
        <f>'UN｜KPIツリー（構造確認用）'!$X59/12</f>
        <v>62.952165707826168</v>
      </c>
      <c r="G126" s="245">
        <f>'UN｜KPIツリー（構造確認用）'!$X59/12</f>
        <v>62.952165707826168</v>
      </c>
      <c r="H126" s="245">
        <f>'UN｜KPIツリー（構造確認用）'!$X59/12</f>
        <v>62.952165707826168</v>
      </c>
      <c r="I126" s="245">
        <f>'UN｜KPIツリー（構造確認用）'!$X59/12</f>
        <v>62.952165707826168</v>
      </c>
      <c r="J126" s="245">
        <f>'UN｜KPIツリー（構造確認用）'!$X59/12</f>
        <v>62.952165707826168</v>
      </c>
      <c r="K126" s="245">
        <f>'UN｜KPIツリー（構造確認用）'!$X59/12</f>
        <v>62.952165707826168</v>
      </c>
      <c r="L126" s="245">
        <f>'UN｜KPIツリー（構造確認用）'!$X59/12</f>
        <v>62.952165707826168</v>
      </c>
      <c r="M126" s="245">
        <f>'UN｜KPIツリー（構造確認用）'!$X59/12</f>
        <v>62.952165707826168</v>
      </c>
      <c r="N126" s="245">
        <f>'UN｜KPIツリー（構造確認用）'!$X59/12</f>
        <v>62.952165707826168</v>
      </c>
      <c r="O126" s="245">
        <f>'UN｜KPIツリー（構造確認用）'!$X59/12</f>
        <v>62.952165707826168</v>
      </c>
    </row>
    <row r="127" spans="1:15" hidden="1">
      <c r="B127" t="s">
        <v>200</v>
      </c>
      <c r="C127" t="s">
        <v>188</v>
      </c>
    </row>
    <row r="128" spans="1:15" hidden="1">
      <c r="B128" t="s">
        <v>200</v>
      </c>
      <c r="C128" t="s">
        <v>189</v>
      </c>
    </row>
    <row r="129" spans="1:15" hidden="1">
      <c r="B129" t="s">
        <v>201</v>
      </c>
      <c r="D129" s="245"/>
      <c r="E129" s="245"/>
      <c r="F129" s="245"/>
      <c r="G129" s="245"/>
      <c r="H129" s="245"/>
      <c r="I129" s="245"/>
      <c r="J129" s="245"/>
      <c r="K129" s="245"/>
      <c r="L129" s="245"/>
      <c r="M129" s="245"/>
      <c r="N129" s="245"/>
      <c r="O129" s="245"/>
    </row>
    <row r="130" spans="1:15" hidden="1">
      <c r="B130" t="s">
        <v>202</v>
      </c>
      <c r="C130" t="s">
        <v>186</v>
      </c>
      <c r="D130" s="245">
        <f>'UN｜KPIツリー（構造確認用）'!$X62/12</f>
        <v>23.719655441581565</v>
      </c>
      <c r="E130" s="245">
        <f>'UN｜KPIツリー（構造確認用）'!$X62/12</f>
        <v>23.719655441581565</v>
      </c>
      <c r="F130" s="245">
        <f>'UN｜KPIツリー（構造確認用）'!$X62/12</f>
        <v>23.719655441581565</v>
      </c>
      <c r="G130" s="245">
        <f>'UN｜KPIツリー（構造確認用）'!$X62/12</f>
        <v>23.719655441581565</v>
      </c>
      <c r="H130" s="245">
        <f>'UN｜KPIツリー（構造確認用）'!$X62/12</f>
        <v>23.719655441581565</v>
      </c>
      <c r="I130" s="245">
        <f>'UN｜KPIツリー（構造確認用）'!$X62/12</f>
        <v>23.719655441581565</v>
      </c>
      <c r="J130" s="245">
        <f>'UN｜KPIツリー（構造確認用）'!$X62/12</f>
        <v>23.719655441581565</v>
      </c>
      <c r="K130" s="245">
        <f>'UN｜KPIツリー（構造確認用）'!$X62/12</f>
        <v>23.719655441581565</v>
      </c>
      <c r="L130" s="245">
        <f>'UN｜KPIツリー（構造確認用）'!$X62/12</f>
        <v>23.719655441581565</v>
      </c>
      <c r="M130" s="245">
        <f>'UN｜KPIツリー（構造確認用）'!$X62/12</f>
        <v>23.719655441581565</v>
      </c>
      <c r="N130" s="245">
        <f>'UN｜KPIツリー（構造確認用）'!$X62/12</f>
        <v>23.719655441581565</v>
      </c>
      <c r="O130" s="245">
        <f>'UN｜KPIツリー（構造確認用）'!$X62/12</f>
        <v>23.719655441581565</v>
      </c>
    </row>
    <row r="131" spans="1:15" hidden="1">
      <c r="B131" t="s">
        <v>202</v>
      </c>
      <c r="C131" t="s">
        <v>188</v>
      </c>
    </row>
    <row r="132" spans="1:15" hidden="1">
      <c r="B132" t="s">
        <v>202</v>
      </c>
      <c r="C132" t="s">
        <v>189</v>
      </c>
    </row>
    <row r="133" spans="1:15" hidden="1">
      <c r="B133" s="197" t="s">
        <v>207</v>
      </c>
      <c r="D133" s="245"/>
      <c r="E133" s="245"/>
      <c r="F133" s="245"/>
      <c r="G133" s="245"/>
      <c r="H133" s="245"/>
      <c r="I133" s="245"/>
      <c r="J133" s="245"/>
      <c r="K133" s="245"/>
      <c r="L133" s="245"/>
      <c r="M133" s="245"/>
      <c r="N133" s="245"/>
      <c r="O133" s="245"/>
    </row>
    <row r="134" spans="1:15" hidden="1">
      <c r="B134" t="s">
        <v>208</v>
      </c>
      <c r="C134" t="s">
        <v>186</v>
      </c>
      <c r="D134" s="245">
        <f>'UN｜KPIツリー（構造確認用）'!$X65/12</f>
        <v>60.75</v>
      </c>
      <c r="E134" s="245">
        <f>'UN｜KPIツリー（構造確認用）'!$X65/12</f>
        <v>60.75</v>
      </c>
      <c r="F134" s="245">
        <f>'UN｜KPIツリー（構造確認用）'!$X65/12</f>
        <v>60.75</v>
      </c>
      <c r="G134" s="245">
        <f>'UN｜KPIツリー（構造確認用）'!$X65/12</f>
        <v>60.75</v>
      </c>
      <c r="H134" s="245">
        <f>'UN｜KPIツリー（構造確認用）'!$X65/12</f>
        <v>60.75</v>
      </c>
      <c r="I134" s="245">
        <f>'UN｜KPIツリー（構造確認用）'!$X65/12</f>
        <v>60.75</v>
      </c>
      <c r="J134" s="245">
        <f>'UN｜KPIツリー（構造確認用）'!$X65/12</f>
        <v>60.75</v>
      </c>
      <c r="K134" s="245">
        <f>'UN｜KPIツリー（構造確認用）'!$X65/12</f>
        <v>60.75</v>
      </c>
      <c r="L134" s="245">
        <f>'UN｜KPIツリー（構造確認用）'!$X65/12</f>
        <v>60.75</v>
      </c>
      <c r="M134" s="245">
        <f>'UN｜KPIツリー（構造確認用）'!$X65/12</f>
        <v>60.75</v>
      </c>
      <c r="N134" s="245">
        <f>'UN｜KPIツリー（構造確認用）'!$X65/12</f>
        <v>60.75</v>
      </c>
      <c r="O134" s="245">
        <f>'UN｜KPIツリー（構造確認用）'!$X65/12</f>
        <v>60.75</v>
      </c>
    </row>
    <row r="135" spans="1:15" hidden="1">
      <c r="B135" t="s">
        <v>208</v>
      </c>
      <c r="C135" t="s">
        <v>188</v>
      </c>
    </row>
    <row r="136" spans="1:15" hidden="1">
      <c r="B136" t="s">
        <v>208</v>
      </c>
      <c r="C136" t="s">
        <v>189</v>
      </c>
    </row>
    <row r="137" spans="1:15">
      <c r="A137" t="s">
        <v>134</v>
      </c>
      <c r="B137" t="s">
        <v>185</v>
      </c>
    </row>
    <row r="138" spans="1:15">
      <c r="B138" t="s">
        <v>190</v>
      </c>
    </row>
    <row r="139" spans="1:15">
      <c r="B139" t="s">
        <v>192</v>
      </c>
    </row>
    <row r="140" spans="1:15">
      <c r="B140" t="s">
        <v>193</v>
      </c>
    </row>
    <row r="141" spans="1:15">
      <c r="B141" t="s">
        <v>194</v>
      </c>
    </row>
    <row r="142" spans="1:15">
      <c r="B142" t="s">
        <v>195</v>
      </c>
    </row>
    <row r="143" spans="1:15">
      <c r="B143" t="s">
        <v>196</v>
      </c>
    </row>
    <row r="144" spans="1:15">
      <c r="B144" t="s">
        <v>197</v>
      </c>
    </row>
    <row r="145" spans="1:15">
      <c r="B145" t="s">
        <v>101</v>
      </c>
      <c r="C145" t="s">
        <v>186</v>
      </c>
      <c r="D145" s="245">
        <f>'UN｜KPIツリー（構造確認用）'!$S39/12</f>
        <v>0</v>
      </c>
      <c r="E145" s="245">
        <f>'UN｜KPIツリー（構造確認用）'!$S39/12</f>
        <v>0</v>
      </c>
      <c r="F145" s="245">
        <f>'UN｜KPIツリー（構造確認用）'!$S39/12</f>
        <v>0</v>
      </c>
      <c r="G145" s="245">
        <f>'UN｜KPIツリー（構造確認用）'!$S39/12</f>
        <v>0</v>
      </c>
      <c r="H145" s="245">
        <f>'UN｜KPIツリー（構造確認用）'!$S39/12</f>
        <v>0</v>
      </c>
      <c r="I145" s="245">
        <f>'UN｜KPIツリー（構造確認用）'!$S39/12</f>
        <v>0</v>
      </c>
      <c r="J145" s="245">
        <f>'UN｜KPIツリー（構造確認用）'!$S39/12</f>
        <v>0</v>
      </c>
      <c r="K145" s="245">
        <f>'UN｜KPIツリー（構造確認用）'!$S39/12</f>
        <v>0</v>
      </c>
      <c r="L145" s="245">
        <f>'UN｜KPIツリー（構造確認用）'!$S39/12</f>
        <v>0</v>
      </c>
      <c r="M145" s="245">
        <f>'UN｜KPIツリー（構造確認用）'!$S39/12</f>
        <v>0</v>
      </c>
      <c r="N145" s="245">
        <f>'UN｜KPIツリー（構造確認用）'!$S39/12</f>
        <v>0</v>
      </c>
      <c r="O145" s="245">
        <f>'UN｜KPIツリー（構造確認用）'!$S39/12</f>
        <v>0</v>
      </c>
    </row>
    <row r="146" spans="1:15">
      <c r="B146" t="s">
        <v>101</v>
      </c>
      <c r="C146" t="s">
        <v>188</v>
      </c>
    </row>
    <row r="147" spans="1:15">
      <c r="B147" t="s">
        <v>101</v>
      </c>
      <c r="C147" t="s">
        <v>189</v>
      </c>
    </row>
    <row r="148" spans="1:15">
      <c r="A148" t="s">
        <v>136</v>
      </c>
      <c r="B148" t="s">
        <v>185</v>
      </c>
    </row>
    <row r="149" spans="1:15">
      <c r="B149" t="s">
        <v>190</v>
      </c>
    </row>
    <row r="150" spans="1:15">
      <c r="B150" t="s">
        <v>192</v>
      </c>
    </row>
    <row r="151" spans="1:15">
      <c r="B151" t="s">
        <v>193</v>
      </c>
    </row>
    <row r="152" spans="1:15">
      <c r="B152" t="s">
        <v>194</v>
      </c>
    </row>
    <row r="153" spans="1:15">
      <c r="B153" t="s">
        <v>195</v>
      </c>
    </row>
    <row r="154" spans="1:15">
      <c r="B154" t="s">
        <v>196</v>
      </c>
    </row>
    <row r="155" spans="1:15">
      <c r="B155" t="s">
        <v>197</v>
      </c>
    </row>
    <row r="156" spans="1:15">
      <c r="B156" t="s">
        <v>101</v>
      </c>
      <c r="C156" t="s">
        <v>186</v>
      </c>
      <c r="D156" s="245">
        <f>'UN｜KPIツリー（構造確認用）'!$S43/12</f>
        <v>627.33333333333337</v>
      </c>
      <c r="E156" s="245">
        <f>'UN｜KPIツリー（構造確認用）'!$S43/12</f>
        <v>627.33333333333337</v>
      </c>
      <c r="F156" s="245">
        <f>'UN｜KPIツリー（構造確認用）'!$S43/12</f>
        <v>627.33333333333337</v>
      </c>
      <c r="G156" s="245">
        <f>'UN｜KPIツリー（構造確認用）'!$S43/12</f>
        <v>627.33333333333337</v>
      </c>
      <c r="H156" s="245">
        <f>'UN｜KPIツリー（構造確認用）'!$S43/12</f>
        <v>627.33333333333337</v>
      </c>
      <c r="I156" s="245">
        <f>'UN｜KPIツリー（構造確認用）'!$S43/12</f>
        <v>627.33333333333337</v>
      </c>
      <c r="J156" s="245">
        <f>'UN｜KPIツリー（構造確認用）'!$S43/12</f>
        <v>627.33333333333337</v>
      </c>
      <c r="K156" s="245">
        <f>'UN｜KPIツリー（構造確認用）'!$S43/12</f>
        <v>627.33333333333337</v>
      </c>
      <c r="L156" s="245">
        <f>'UN｜KPIツリー（構造確認用）'!$S43/12</f>
        <v>627.33333333333337</v>
      </c>
      <c r="M156" s="245">
        <f>'UN｜KPIツリー（構造確認用）'!$S43/12</f>
        <v>627.33333333333337</v>
      </c>
      <c r="N156" s="245">
        <f>'UN｜KPIツリー（構造確認用）'!$S43/12</f>
        <v>627.33333333333337</v>
      </c>
      <c r="O156" s="245">
        <f>'UN｜KPIツリー（構造確認用）'!$S43/12</f>
        <v>627.33333333333337</v>
      </c>
    </row>
    <row r="157" spans="1:15">
      <c r="B157" t="s">
        <v>101</v>
      </c>
      <c r="C157" t="s">
        <v>188</v>
      </c>
    </row>
    <row r="158" spans="1:15">
      <c r="B158" t="s">
        <v>101</v>
      </c>
      <c r="C158" t="s">
        <v>189</v>
      </c>
    </row>
    <row r="159" spans="1:15">
      <c r="A159" t="s">
        <v>119</v>
      </c>
      <c r="B159" t="s">
        <v>185</v>
      </c>
      <c r="D159" s="245"/>
      <c r="E159" s="245"/>
      <c r="F159" s="245"/>
      <c r="G159" s="245"/>
      <c r="H159" s="245"/>
      <c r="I159" s="245"/>
      <c r="J159" s="245"/>
      <c r="K159" s="245"/>
      <c r="L159" s="245"/>
      <c r="M159" s="245"/>
      <c r="N159" s="245"/>
      <c r="O159" s="245"/>
    </row>
    <row r="160" spans="1:15">
      <c r="B160" t="s">
        <v>190</v>
      </c>
    </row>
    <row r="161" spans="2:15">
      <c r="B161" t="s">
        <v>192</v>
      </c>
    </row>
    <row r="162" spans="2:15">
      <c r="B162" t="s">
        <v>193</v>
      </c>
    </row>
    <row r="163" spans="2:15">
      <c r="B163" t="s">
        <v>194</v>
      </c>
    </row>
    <row r="164" spans="2:15">
      <c r="B164" t="s">
        <v>195</v>
      </c>
    </row>
    <row r="165" spans="2:15">
      <c r="B165" t="s">
        <v>196</v>
      </c>
    </row>
    <row r="166" spans="2:15">
      <c r="B166" t="s">
        <v>197</v>
      </c>
    </row>
    <row r="167" spans="2:15">
      <c r="B167" t="s">
        <v>101</v>
      </c>
      <c r="C167" t="s">
        <v>186</v>
      </c>
      <c r="D167" s="245">
        <f>'UN｜KPIツリー（構造確認用）'!$S70/12</f>
        <v>22.083333333333332</v>
      </c>
      <c r="E167" s="245">
        <f>'UN｜KPIツリー（構造確認用）'!$S70/12</f>
        <v>22.083333333333332</v>
      </c>
      <c r="F167" s="245">
        <f>'UN｜KPIツリー（構造確認用）'!$S70/12</f>
        <v>22.083333333333332</v>
      </c>
      <c r="G167" s="245">
        <f>'UN｜KPIツリー（構造確認用）'!$S70/12</f>
        <v>22.083333333333332</v>
      </c>
      <c r="H167" s="245">
        <f>'UN｜KPIツリー（構造確認用）'!$S70/12</f>
        <v>22.083333333333332</v>
      </c>
      <c r="I167" s="245">
        <f>'UN｜KPIツリー（構造確認用）'!$S70/12</f>
        <v>22.083333333333332</v>
      </c>
      <c r="J167" s="245">
        <f>'UN｜KPIツリー（構造確認用）'!$S70/12</f>
        <v>22.083333333333332</v>
      </c>
      <c r="K167" s="245">
        <f>'UN｜KPIツリー（構造確認用）'!$S70/12</f>
        <v>22.083333333333332</v>
      </c>
      <c r="L167" s="245">
        <f>'UN｜KPIツリー（構造確認用）'!$S70/12</f>
        <v>22.083333333333332</v>
      </c>
      <c r="M167" s="245">
        <f>'UN｜KPIツリー（構造確認用）'!$S70/12</f>
        <v>22.083333333333332</v>
      </c>
      <c r="N167" s="245">
        <f>'UN｜KPIツリー（構造確認用）'!$S70/12</f>
        <v>22.083333333333332</v>
      </c>
      <c r="O167" s="245">
        <f>'UN｜KPIツリー（構造確認用）'!$S70/12</f>
        <v>22.083333333333332</v>
      </c>
    </row>
    <row r="168" spans="2:15">
      <c r="B168" t="s">
        <v>101</v>
      </c>
      <c r="C168" t="s">
        <v>188</v>
      </c>
    </row>
    <row r="169" spans="2:15">
      <c r="B169" t="s">
        <v>101</v>
      </c>
      <c r="C169" t="s">
        <v>189</v>
      </c>
    </row>
    <row r="170" spans="2:15">
      <c r="D170" s="245"/>
    </row>
    <row r="171" spans="2:15">
      <c r="D171" s="245"/>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B802B-7B79-4655-8BA2-B7535FA55300}">
  <dimension ref="A1:Z51"/>
  <sheetViews>
    <sheetView workbookViewId="0">
      <selection activeCell="H18" sqref="H18"/>
    </sheetView>
  </sheetViews>
  <sheetFormatPr defaultRowHeight="18"/>
  <cols>
    <col min="1" max="9" width="10" customWidth="1"/>
    <col min="10" max="10" width="3.75" customWidth="1"/>
    <col min="11" max="11" width="23.33203125" customWidth="1"/>
    <col min="12" max="12" width="21" customWidth="1"/>
    <col min="13" max="13" width="27.5" customWidth="1"/>
    <col min="14" max="24" width="10" customWidth="1"/>
    <col min="28" max="28" width="8.75" customWidth="1"/>
  </cols>
  <sheetData>
    <row r="1" spans="1:26">
      <c r="A1" s="6" t="s">
        <v>210</v>
      </c>
      <c r="B1" s="6"/>
    </row>
    <row r="2" spans="1:26">
      <c r="A2" s="6"/>
      <c r="B2" s="6"/>
    </row>
    <row r="3" spans="1:26">
      <c r="A3" s="6" t="s">
        <v>211</v>
      </c>
      <c r="K3" s="6" t="s">
        <v>212</v>
      </c>
    </row>
    <row r="4" spans="1:26">
      <c r="A4" s="94" t="s">
        <v>213</v>
      </c>
      <c r="B4" s="119" t="s">
        <v>214</v>
      </c>
      <c r="C4" s="177" t="s">
        <v>67</v>
      </c>
      <c r="D4" s="177" t="s">
        <v>68</v>
      </c>
      <c r="E4" s="178" t="s">
        <v>69</v>
      </c>
      <c r="F4" s="177" t="s">
        <v>70</v>
      </c>
      <c r="G4" s="177" t="s">
        <v>71</v>
      </c>
      <c r="H4" s="177" t="s">
        <v>72</v>
      </c>
      <c r="I4" s="179" t="s">
        <v>215</v>
      </c>
      <c r="K4" s="172" t="s">
        <v>216</v>
      </c>
      <c r="L4" s="173" t="s">
        <v>217</v>
      </c>
      <c r="M4" s="173" t="s">
        <v>218</v>
      </c>
      <c r="N4" s="173" t="s">
        <v>219</v>
      </c>
      <c r="O4" s="175">
        <v>46095</v>
      </c>
      <c r="P4" s="175">
        <v>46113</v>
      </c>
      <c r="Q4" s="175">
        <v>46143</v>
      </c>
      <c r="R4" s="175">
        <v>46174</v>
      </c>
      <c r="S4" s="175">
        <v>46204</v>
      </c>
      <c r="T4" s="175">
        <v>46235</v>
      </c>
      <c r="U4" s="175">
        <v>46266</v>
      </c>
      <c r="V4" s="175">
        <v>46296</v>
      </c>
      <c r="W4" s="175">
        <v>46327</v>
      </c>
      <c r="X4" s="175">
        <v>46357</v>
      </c>
      <c r="Y4" s="175">
        <v>46388</v>
      </c>
      <c r="Z4" s="176">
        <v>46419</v>
      </c>
    </row>
    <row r="5" spans="1:26" ht="18" customHeight="1">
      <c r="A5" s="120">
        <v>46095</v>
      </c>
      <c r="B5" s="123">
        <v>3021</v>
      </c>
      <c r="C5" s="123">
        <v>1599</v>
      </c>
      <c r="D5" s="123">
        <v>484</v>
      </c>
      <c r="E5" s="124"/>
      <c r="F5" s="123">
        <v>625</v>
      </c>
      <c r="G5" s="123">
        <v>165</v>
      </c>
      <c r="H5" s="123">
        <v>125</v>
      </c>
      <c r="I5" s="125">
        <f>B5-(C5+D5+F5+G5+H5)</f>
        <v>23</v>
      </c>
      <c r="K5" s="133" t="s">
        <v>220</v>
      </c>
      <c r="L5" s="134" t="s">
        <v>221</v>
      </c>
      <c r="M5" s="135" t="s">
        <v>222</v>
      </c>
      <c r="N5" s="36"/>
      <c r="O5">
        <v>36</v>
      </c>
      <c r="P5">
        <v>34</v>
      </c>
      <c r="Z5" s="121"/>
    </row>
    <row r="6" spans="1:26" ht="18" customHeight="1">
      <c r="A6" s="120">
        <v>46113</v>
      </c>
      <c r="B6" s="123">
        <v>3178</v>
      </c>
      <c r="C6" s="123">
        <v>1900</v>
      </c>
      <c r="D6" s="123">
        <v>326</v>
      </c>
      <c r="E6" s="124"/>
      <c r="F6" s="123">
        <v>580</v>
      </c>
      <c r="G6" s="123">
        <v>157</v>
      </c>
      <c r="H6" s="123">
        <v>171</v>
      </c>
      <c r="I6" s="125">
        <f>B6-(C6+D6+F6+G6+H6)</f>
        <v>44</v>
      </c>
      <c r="K6" s="133" t="s">
        <v>223</v>
      </c>
      <c r="L6" s="134" t="s">
        <v>224</v>
      </c>
      <c r="M6" s="135" t="s">
        <v>225</v>
      </c>
      <c r="N6" s="36"/>
      <c r="O6">
        <v>9</v>
      </c>
      <c r="P6">
        <v>6</v>
      </c>
      <c r="Z6" s="121"/>
    </row>
    <row r="7" spans="1:26" ht="18" customHeight="1">
      <c r="A7" s="120">
        <v>46143</v>
      </c>
      <c r="B7" s="123"/>
      <c r="C7" s="123"/>
      <c r="D7" s="123"/>
      <c r="E7" s="124"/>
      <c r="F7" s="123"/>
      <c r="G7" s="123"/>
      <c r="H7" s="123"/>
      <c r="I7" s="125">
        <f t="shared" ref="I7:I16" si="0">B7-(C7+D7+F7+G7+H7)</f>
        <v>0</v>
      </c>
      <c r="K7" s="133" t="s">
        <v>226</v>
      </c>
      <c r="L7" s="134" t="s">
        <v>227</v>
      </c>
      <c r="M7" s="135" t="s">
        <v>228</v>
      </c>
      <c r="N7" s="36"/>
      <c r="O7">
        <v>199</v>
      </c>
      <c r="P7">
        <v>181</v>
      </c>
      <c r="Z7" s="121"/>
    </row>
    <row r="8" spans="1:26" ht="18" customHeight="1">
      <c r="A8" s="120">
        <v>46174</v>
      </c>
      <c r="B8" s="123"/>
      <c r="C8" s="123"/>
      <c r="D8" s="123"/>
      <c r="E8" s="124"/>
      <c r="F8" s="123"/>
      <c r="G8" s="123"/>
      <c r="H8" s="123"/>
      <c r="I8" s="125">
        <f t="shared" si="0"/>
        <v>0</v>
      </c>
      <c r="K8" s="136" t="s">
        <v>229</v>
      </c>
      <c r="L8" s="134" t="s">
        <v>230</v>
      </c>
      <c r="M8" s="135" t="s">
        <v>231</v>
      </c>
      <c r="N8" s="36"/>
      <c r="O8">
        <v>28</v>
      </c>
      <c r="P8">
        <v>36</v>
      </c>
      <c r="Z8" s="121"/>
    </row>
    <row r="9" spans="1:26" ht="18" customHeight="1">
      <c r="A9" s="120">
        <v>46204</v>
      </c>
      <c r="B9" s="123"/>
      <c r="C9" s="123"/>
      <c r="D9" s="123"/>
      <c r="E9" s="124"/>
      <c r="F9" s="123"/>
      <c r="G9" s="123"/>
      <c r="H9" s="123"/>
      <c r="I9" s="125">
        <f t="shared" si="0"/>
        <v>0</v>
      </c>
      <c r="K9" s="136" t="s">
        <v>232</v>
      </c>
      <c r="L9" s="134" t="s">
        <v>233</v>
      </c>
      <c r="M9" s="135" t="s">
        <v>234</v>
      </c>
      <c r="N9" s="36"/>
      <c r="O9">
        <v>13</v>
      </c>
      <c r="P9">
        <v>7</v>
      </c>
      <c r="Z9" s="121"/>
    </row>
    <row r="10" spans="1:26" ht="18" customHeight="1">
      <c r="A10" s="120">
        <v>46235</v>
      </c>
      <c r="B10" s="123"/>
      <c r="C10" s="123"/>
      <c r="D10" s="123"/>
      <c r="E10" s="124"/>
      <c r="F10" s="123"/>
      <c r="G10" s="123"/>
      <c r="H10" s="123"/>
      <c r="I10" s="125">
        <f t="shared" si="0"/>
        <v>0</v>
      </c>
      <c r="K10" s="136" t="s">
        <v>235</v>
      </c>
      <c r="L10" s="134" t="s">
        <v>236</v>
      </c>
      <c r="M10" s="135" t="s">
        <v>237</v>
      </c>
      <c r="N10" s="36"/>
      <c r="O10">
        <v>23</v>
      </c>
      <c r="P10">
        <v>23</v>
      </c>
      <c r="Z10" s="121"/>
    </row>
    <row r="11" spans="1:26" ht="18" customHeight="1">
      <c r="A11" s="120">
        <v>46266</v>
      </c>
      <c r="B11" s="123"/>
      <c r="C11" s="123"/>
      <c r="D11" s="123"/>
      <c r="E11" s="124"/>
      <c r="F11" s="123"/>
      <c r="G11" s="123"/>
      <c r="H11" s="123"/>
      <c r="I11" s="125">
        <f t="shared" si="0"/>
        <v>0</v>
      </c>
      <c r="K11" s="136" t="s">
        <v>238</v>
      </c>
      <c r="L11" s="134" t="s">
        <v>239</v>
      </c>
      <c r="M11" s="135" t="s">
        <v>240</v>
      </c>
      <c r="N11" s="36"/>
      <c r="O11">
        <v>7</v>
      </c>
      <c r="P11">
        <v>12</v>
      </c>
      <c r="Z11" s="121"/>
    </row>
    <row r="12" spans="1:26" ht="18" customHeight="1">
      <c r="A12" s="120">
        <v>46296</v>
      </c>
      <c r="B12" s="123"/>
      <c r="C12" s="123"/>
      <c r="D12" s="123"/>
      <c r="E12" s="124"/>
      <c r="F12" s="123"/>
      <c r="G12" s="123"/>
      <c r="H12" s="123"/>
      <c r="I12" s="125">
        <f t="shared" si="0"/>
        <v>0</v>
      </c>
      <c r="K12" s="136" t="s">
        <v>241</v>
      </c>
      <c r="L12" s="134" t="s">
        <v>242</v>
      </c>
      <c r="M12" s="135" t="s">
        <v>243</v>
      </c>
      <c r="N12" s="36"/>
      <c r="O12">
        <v>41</v>
      </c>
      <c r="P12">
        <v>59</v>
      </c>
      <c r="Z12" s="121"/>
    </row>
    <row r="13" spans="1:26" ht="18" customHeight="1">
      <c r="A13" s="120">
        <v>46327</v>
      </c>
      <c r="B13" s="123"/>
      <c r="C13" s="123"/>
      <c r="D13" s="123"/>
      <c r="E13" s="124"/>
      <c r="F13" s="123"/>
      <c r="G13" s="123"/>
      <c r="H13" s="123"/>
      <c r="I13" s="125">
        <f t="shared" si="0"/>
        <v>0</v>
      </c>
      <c r="K13" s="133" t="s">
        <v>244</v>
      </c>
      <c r="L13" s="134" t="s">
        <v>245</v>
      </c>
      <c r="M13" s="135" t="s">
        <v>246</v>
      </c>
      <c r="N13" s="36"/>
      <c r="O13">
        <v>17</v>
      </c>
      <c r="P13">
        <v>11</v>
      </c>
      <c r="Z13" s="121"/>
    </row>
    <row r="14" spans="1:26" ht="18" customHeight="1">
      <c r="A14" s="120">
        <v>46357</v>
      </c>
      <c r="B14" s="123"/>
      <c r="C14" s="123"/>
      <c r="D14" s="123"/>
      <c r="E14" s="124"/>
      <c r="F14" s="123"/>
      <c r="G14" s="123"/>
      <c r="H14" s="123"/>
      <c r="I14" s="125">
        <f t="shared" si="0"/>
        <v>0</v>
      </c>
      <c r="K14" s="133" t="s">
        <v>247</v>
      </c>
      <c r="L14" s="134" t="s">
        <v>248</v>
      </c>
      <c r="M14" s="135" t="s">
        <v>249</v>
      </c>
      <c r="N14" s="36"/>
      <c r="O14">
        <v>15</v>
      </c>
      <c r="P14">
        <v>21</v>
      </c>
      <c r="Z14" s="121"/>
    </row>
    <row r="15" spans="1:26" ht="18" customHeight="1">
      <c r="A15" s="120">
        <v>46388</v>
      </c>
      <c r="B15" s="123"/>
      <c r="C15" s="123"/>
      <c r="D15" s="123"/>
      <c r="E15" s="124"/>
      <c r="F15" s="123"/>
      <c r="G15" s="123"/>
      <c r="H15" s="123"/>
      <c r="I15" s="125">
        <f t="shared" si="0"/>
        <v>0</v>
      </c>
      <c r="K15" s="133" t="s">
        <v>250</v>
      </c>
      <c r="L15" s="134" t="s">
        <v>251</v>
      </c>
      <c r="M15" s="135" t="s">
        <v>252</v>
      </c>
      <c r="N15" s="36"/>
      <c r="O15">
        <v>3</v>
      </c>
      <c r="P15">
        <v>4</v>
      </c>
      <c r="Z15" s="121"/>
    </row>
    <row r="16" spans="1:26" ht="18" customHeight="1">
      <c r="A16" s="122">
        <v>46419</v>
      </c>
      <c r="B16" s="126"/>
      <c r="C16" s="126"/>
      <c r="D16" s="126"/>
      <c r="E16" s="127"/>
      <c r="F16" s="126"/>
      <c r="G16" s="126"/>
      <c r="H16" s="126"/>
      <c r="I16" s="128">
        <f t="shared" si="0"/>
        <v>0</v>
      </c>
      <c r="K16" s="133" t="s">
        <v>253</v>
      </c>
      <c r="L16" s="134" t="s">
        <v>254</v>
      </c>
      <c r="M16" s="135" t="s">
        <v>255</v>
      </c>
      <c r="N16" s="36"/>
      <c r="O16">
        <v>1</v>
      </c>
      <c r="P16">
        <v>2</v>
      </c>
      <c r="Z16" s="121"/>
    </row>
    <row r="17" spans="11:26" ht="18" customHeight="1">
      <c r="K17" s="133" t="s">
        <v>256</v>
      </c>
      <c r="L17" s="134" t="s">
        <v>257</v>
      </c>
      <c r="M17" s="135" t="s">
        <v>258</v>
      </c>
      <c r="N17" s="36"/>
      <c r="O17">
        <v>12</v>
      </c>
      <c r="P17">
        <v>6</v>
      </c>
      <c r="Z17" s="121"/>
    </row>
    <row r="18" spans="11:26" ht="18" customHeight="1">
      <c r="K18" s="133" t="s">
        <v>259</v>
      </c>
      <c r="L18" s="134" t="s">
        <v>260</v>
      </c>
      <c r="M18" s="135" t="s">
        <v>261</v>
      </c>
      <c r="N18" s="36"/>
      <c r="O18">
        <v>4</v>
      </c>
      <c r="P18">
        <v>10</v>
      </c>
      <c r="Z18" s="121"/>
    </row>
    <row r="19" spans="11:26" ht="18" customHeight="1">
      <c r="K19" s="136" t="s">
        <v>262</v>
      </c>
      <c r="L19" s="134" t="s">
        <v>263</v>
      </c>
      <c r="M19" s="135" t="s">
        <v>264</v>
      </c>
      <c r="N19" s="36"/>
      <c r="O19">
        <v>4</v>
      </c>
      <c r="P19">
        <v>2</v>
      </c>
      <c r="Z19" s="121"/>
    </row>
    <row r="20" spans="11:26" ht="18" customHeight="1">
      <c r="K20" s="136" t="s">
        <v>265</v>
      </c>
      <c r="L20" s="134" t="s">
        <v>266</v>
      </c>
      <c r="M20" s="135" t="s">
        <v>267</v>
      </c>
      <c r="N20" s="36"/>
      <c r="O20">
        <v>30</v>
      </c>
      <c r="P20">
        <v>14</v>
      </c>
      <c r="Z20" s="121"/>
    </row>
    <row r="21" spans="11:26" ht="18" customHeight="1">
      <c r="K21" s="133" t="s">
        <v>268</v>
      </c>
      <c r="L21" s="134" t="s">
        <v>269</v>
      </c>
      <c r="M21" s="135" t="s">
        <v>270</v>
      </c>
      <c r="N21" s="36"/>
      <c r="O21">
        <v>16</v>
      </c>
      <c r="P21">
        <v>43</v>
      </c>
      <c r="Z21" s="121"/>
    </row>
    <row r="22" spans="11:26" ht="18" customHeight="1">
      <c r="K22" s="133" t="s">
        <v>271</v>
      </c>
      <c r="L22" s="137" t="s">
        <v>272</v>
      </c>
      <c r="M22" s="135" t="s">
        <v>273</v>
      </c>
      <c r="N22" s="138">
        <v>46113</v>
      </c>
      <c r="O22" s="96"/>
      <c r="P22" s="6">
        <v>24</v>
      </c>
      <c r="Z22" s="121"/>
    </row>
    <row r="23" spans="11:26" ht="18" customHeight="1">
      <c r="K23" s="86"/>
      <c r="L23" s="5"/>
      <c r="M23" s="5"/>
      <c r="N23" s="5" t="s">
        <v>17</v>
      </c>
      <c r="O23" s="5">
        <f>SUM(O5:O22)</f>
        <v>458</v>
      </c>
      <c r="P23" s="5">
        <f>SUM(P5:P22)</f>
        <v>495</v>
      </c>
      <c r="Q23" s="5"/>
      <c r="R23" s="5"/>
      <c r="S23" s="5"/>
      <c r="T23" s="5"/>
      <c r="U23" s="5"/>
      <c r="V23" s="5"/>
      <c r="W23" s="5"/>
      <c r="X23" s="5"/>
      <c r="Y23" s="5"/>
      <c r="Z23" s="87"/>
    </row>
    <row r="25" spans="11:26">
      <c r="K25" s="6" t="s">
        <v>274</v>
      </c>
    </row>
    <row r="26" spans="11:26">
      <c r="K26" s="172" t="s">
        <v>213</v>
      </c>
      <c r="L26" s="173" t="s">
        <v>275</v>
      </c>
      <c r="M26" s="173" t="s">
        <v>276</v>
      </c>
      <c r="N26" s="173" t="s">
        <v>277</v>
      </c>
      <c r="O26" s="173" t="s">
        <v>278</v>
      </c>
      <c r="P26" s="173" t="s">
        <v>142</v>
      </c>
      <c r="Q26" s="173" t="s">
        <v>279</v>
      </c>
      <c r="R26" s="174" t="s">
        <v>280</v>
      </c>
    </row>
    <row r="27" spans="11:26">
      <c r="K27" s="143">
        <v>46084</v>
      </c>
      <c r="L27" s="108" t="s">
        <v>281</v>
      </c>
      <c r="M27" s="108" t="s">
        <v>282</v>
      </c>
      <c r="N27" s="144">
        <v>4052</v>
      </c>
      <c r="O27" s="145">
        <f>N27*P27</f>
        <v>502.0428</v>
      </c>
      <c r="P27" s="146">
        <v>0.1239</v>
      </c>
      <c r="Q27" s="144">
        <v>13</v>
      </c>
      <c r="R27" s="147">
        <v>3.2000000000000002E-3</v>
      </c>
    </row>
    <row r="28" spans="11:26">
      <c r="K28" s="143">
        <v>46107</v>
      </c>
      <c r="L28" s="108" t="s">
        <v>283</v>
      </c>
      <c r="M28" s="108" t="s">
        <v>284</v>
      </c>
      <c r="N28" s="144">
        <v>4033</v>
      </c>
      <c r="O28" s="145">
        <f>N28*P28</f>
        <v>535.17910000000006</v>
      </c>
      <c r="P28" s="146">
        <v>0.13270000000000001</v>
      </c>
      <c r="Q28" s="144">
        <v>17</v>
      </c>
      <c r="R28" s="147">
        <v>4.1999999999999997E-3</v>
      </c>
    </row>
    <row r="29" spans="11:26">
      <c r="K29" s="143">
        <v>46111</v>
      </c>
      <c r="L29" s="108" t="s">
        <v>285</v>
      </c>
      <c r="M29" s="108" t="s">
        <v>286</v>
      </c>
      <c r="N29" s="144">
        <v>4019</v>
      </c>
      <c r="O29" s="145">
        <f t="shared" ref="O29:O40" si="1">N29*P29</f>
        <v>551.00490000000002</v>
      </c>
      <c r="P29" s="146">
        <v>0.1371</v>
      </c>
      <c r="Q29" s="144">
        <v>19</v>
      </c>
      <c r="R29" s="147">
        <v>4.7000000000000002E-3</v>
      </c>
    </row>
    <row r="30" spans="11:26">
      <c r="K30" s="143">
        <v>46118</v>
      </c>
      <c r="L30" s="108" t="s">
        <v>287</v>
      </c>
      <c r="M30" s="108" t="s">
        <v>288</v>
      </c>
      <c r="N30" s="144">
        <v>3987</v>
      </c>
      <c r="O30" s="145">
        <f t="shared" si="1"/>
        <v>527.87879999999996</v>
      </c>
      <c r="P30" s="146">
        <v>0.13239999999999999</v>
      </c>
      <c r="Q30" s="148">
        <v>28</v>
      </c>
      <c r="R30" s="149">
        <v>7.0000000000000001E-3</v>
      </c>
    </row>
    <row r="31" spans="11:26">
      <c r="K31" s="143">
        <v>46134</v>
      </c>
      <c r="L31" s="108" t="s">
        <v>289</v>
      </c>
      <c r="M31" s="108" t="s">
        <v>290</v>
      </c>
      <c r="N31" s="144">
        <v>953</v>
      </c>
      <c r="O31" s="145">
        <f t="shared" si="1"/>
        <v>125.98660000000001</v>
      </c>
      <c r="P31" s="146">
        <v>0.13220000000000001</v>
      </c>
      <c r="Q31" s="144">
        <v>10</v>
      </c>
      <c r="R31" s="149">
        <v>7.0900000000000005E-2</v>
      </c>
    </row>
    <row r="32" spans="11:26">
      <c r="K32" s="150"/>
      <c r="L32" s="151"/>
      <c r="M32" s="151"/>
      <c r="N32" s="152"/>
      <c r="O32" s="153">
        <f t="shared" si="1"/>
        <v>0</v>
      </c>
      <c r="P32" s="154"/>
      <c r="Q32" s="152"/>
      <c r="R32" s="155"/>
    </row>
    <row r="33" spans="11:18">
      <c r="K33" s="150"/>
      <c r="L33" s="151"/>
      <c r="M33" s="151"/>
      <c r="N33" s="152"/>
      <c r="O33" s="153">
        <f t="shared" si="1"/>
        <v>0</v>
      </c>
      <c r="P33" s="154"/>
      <c r="Q33" s="152"/>
      <c r="R33" s="155"/>
    </row>
    <row r="34" spans="11:18">
      <c r="K34" s="150"/>
      <c r="L34" s="151"/>
      <c r="M34" s="151"/>
      <c r="N34" s="152"/>
      <c r="O34" s="153">
        <f t="shared" si="1"/>
        <v>0</v>
      </c>
      <c r="P34" s="154"/>
      <c r="Q34" s="152"/>
      <c r="R34" s="155"/>
    </row>
    <row r="35" spans="11:18">
      <c r="K35" s="150"/>
      <c r="L35" s="151"/>
      <c r="M35" s="151"/>
      <c r="N35" s="152"/>
      <c r="O35" s="153">
        <f t="shared" si="1"/>
        <v>0</v>
      </c>
      <c r="P35" s="154"/>
      <c r="Q35" s="152"/>
      <c r="R35" s="155"/>
    </row>
    <row r="36" spans="11:18">
      <c r="K36" s="150"/>
      <c r="L36" s="151"/>
      <c r="M36" s="151"/>
      <c r="N36" s="152"/>
      <c r="O36" s="153">
        <f t="shared" si="1"/>
        <v>0</v>
      </c>
      <c r="P36" s="154"/>
      <c r="Q36" s="152"/>
      <c r="R36" s="155"/>
    </row>
    <row r="37" spans="11:18">
      <c r="K37" s="150"/>
      <c r="L37" s="151"/>
      <c r="M37" s="151"/>
      <c r="N37" s="152"/>
      <c r="O37" s="153">
        <f t="shared" si="1"/>
        <v>0</v>
      </c>
      <c r="P37" s="154"/>
      <c r="Q37" s="152"/>
      <c r="R37" s="155"/>
    </row>
    <row r="38" spans="11:18">
      <c r="K38" s="150"/>
      <c r="L38" s="151"/>
      <c r="M38" s="151"/>
      <c r="N38" s="152"/>
      <c r="O38" s="153">
        <f t="shared" si="1"/>
        <v>0</v>
      </c>
      <c r="P38" s="154"/>
      <c r="Q38" s="152"/>
      <c r="R38" s="155"/>
    </row>
    <row r="39" spans="11:18">
      <c r="K39" s="150"/>
      <c r="L39" s="151"/>
      <c r="M39" s="151"/>
      <c r="N39" s="152"/>
      <c r="O39" s="153">
        <f t="shared" si="1"/>
        <v>0</v>
      </c>
      <c r="P39" s="154"/>
      <c r="Q39" s="152"/>
      <c r="R39" s="155"/>
    </row>
    <row r="40" spans="11:18">
      <c r="K40" s="156"/>
      <c r="L40" s="157"/>
      <c r="M40" s="157"/>
      <c r="N40" s="158"/>
      <c r="O40" s="159">
        <f t="shared" si="1"/>
        <v>0</v>
      </c>
      <c r="P40" s="160"/>
      <c r="Q40" s="158"/>
      <c r="R40" s="161"/>
    </row>
    <row r="41" spans="11:18">
      <c r="K41" s="139"/>
      <c r="N41" s="123"/>
      <c r="O41" s="114"/>
      <c r="P41" s="140"/>
      <c r="Q41" s="123"/>
      <c r="R41" s="140"/>
    </row>
    <row r="42" spans="11:18">
      <c r="K42" s="139"/>
      <c r="N42" s="123"/>
      <c r="O42" s="114"/>
      <c r="P42" s="140"/>
      <c r="Q42" s="123"/>
      <c r="R42" s="140"/>
    </row>
    <row r="43" spans="11:18">
      <c r="K43" s="139"/>
      <c r="N43" s="123"/>
      <c r="O43" s="114"/>
      <c r="P43" s="140"/>
      <c r="Q43" s="123"/>
      <c r="R43" s="140"/>
    </row>
    <row r="44" spans="11:18">
      <c r="K44" s="139"/>
      <c r="N44" s="123"/>
      <c r="O44" s="114"/>
      <c r="P44" s="140"/>
      <c r="Q44" s="123"/>
      <c r="R44" s="140"/>
    </row>
    <row r="45" spans="11:18">
      <c r="K45" s="139"/>
      <c r="N45" s="123"/>
      <c r="O45" s="114"/>
      <c r="P45" s="140"/>
      <c r="Q45" s="123"/>
      <c r="R45" s="140"/>
    </row>
    <row r="46" spans="11:18">
      <c r="K46" s="139"/>
      <c r="N46" s="123"/>
      <c r="O46" s="114"/>
      <c r="P46" s="140"/>
      <c r="Q46" s="123"/>
      <c r="R46" s="140"/>
    </row>
    <row r="47" spans="11:18">
      <c r="K47" s="139"/>
      <c r="N47" s="123"/>
      <c r="O47" s="114"/>
      <c r="P47" s="140"/>
      <c r="Q47" s="123"/>
      <c r="R47" s="140"/>
    </row>
    <row r="48" spans="11:18">
      <c r="K48" s="139"/>
      <c r="N48" s="123"/>
      <c r="O48" s="114"/>
      <c r="P48" s="140"/>
      <c r="Q48" s="123"/>
      <c r="R48" s="140"/>
    </row>
    <row r="49" spans="11:18">
      <c r="K49" s="139"/>
      <c r="N49" s="123"/>
      <c r="O49" s="114"/>
      <c r="P49" s="140"/>
      <c r="Q49" s="123"/>
      <c r="R49" s="140"/>
    </row>
    <row r="50" spans="11:18">
      <c r="N50" s="123"/>
      <c r="O50" s="114"/>
      <c r="P50" s="140"/>
      <c r="Q50" s="123"/>
      <c r="R50" s="140"/>
    </row>
    <row r="51" spans="11:18">
      <c r="N51" s="123"/>
      <c r="O51" s="114"/>
      <c r="P51" s="140"/>
      <c r="Q51" s="123"/>
      <c r="R51" s="140"/>
    </row>
  </sheetData>
  <phoneticPr fontId="1"/>
  <hyperlinks>
    <hyperlink ref="L5" r:id="rId1" xr:uid="{D36A39E9-37BE-4003-8A4D-5E7D1E6D8B29}"/>
    <hyperlink ref="L6" r:id="rId2" xr:uid="{BB49006E-1672-42FC-AB41-26BC84DAF90C}"/>
    <hyperlink ref="L7" r:id="rId3" xr:uid="{6EACB8E9-F514-4B7C-9459-DA3C48B6B071}"/>
    <hyperlink ref="L8" r:id="rId4" xr:uid="{79874D95-9DE4-49C0-9CB4-5641CE6BF6BC}"/>
    <hyperlink ref="L9" r:id="rId5" xr:uid="{B0495400-A88B-45D5-A88A-8E75EE0C4777}"/>
    <hyperlink ref="L10" r:id="rId6" xr:uid="{607DFD8F-1C8B-43B2-9CFB-FA46D0DB5D4D}"/>
    <hyperlink ref="L11" r:id="rId7" xr:uid="{1BC65736-E065-4540-9105-367492B96E8F}"/>
    <hyperlink ref="L12" r:id="rId8" xr:uid="{95FB5B6A-D340-453E-A027-DA9387C6D8BD}"/>
    <hyperlink ref="L13" r:id="rId9" xr:uid="{87F38750-4D1D-433F-AB30-A8AD7B9F942D}"/>
    <hyperlink ref="L14" r:id="rId10" xr:uid="{374B612D-CF22-47B5-82D9-8B13FDD21F15}"/>
    <hyperlink ref="L15" r:id="rId11" xr:uid="{6CAE3EB0-A554-44CA-8250-71819D935930}"/>
    <hyperlink ref="L16" r:id="rId12" xr:uid="{1649A177-B013-411F-9D3C-6234D5BDBEA4}"/>
    <hyperlink ref="L17" r:id="rId13" xr:uid="{4081255C-5273-4E7D-A8B4-89D9EC442CBA}"/>
    <hyperlink ref="L18" r:id="rId14" xr:uid="{214F711E-9C4D-48E4-8D03-66A850BD82F9}"/>
    <hyperlink ref="L19" r:id="rId15" xr:uid="{F94FD778-6B37-42DE-B95D-91534E2644C0}"/>
    <hyperlink ref="L20" r:id="rId16" xr:uid="{EF052448-8F0B-4900-8543-C4291CE15676}"/>
    <hyperlink ref="L21" r:id="rId17" xr:uid="{5A87A54F-C905-42AD-972C-482DD1216478}"/>
    <hyperlink ref="L22" r:id="rId18" xr:uid="{CD717765-B1BF-40DE-80BD-8B5BB579CAD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2F475-DAE4-497F-B340-EDB2EF699D7B}">
  <dimension ref="A1:V81"/>
  <sheetViews>
    <sheetView workbookViewId="0">
      <selection activeCell="E3" sqref="E3"/>
    </sheetView>
  </sheetViews>
  <sheetFormatPr defaultRowHeight="18"/>
  <cols>
    <col min="1" max="5" width="10" customWidth="1"/>
    <col min="6" max="6" width="3.75" customWidth="1"/>
    <col min="7" max="7" width="23.33203125" customWidth="1"/>
    <col min="8" max="8" width="21" customWidth="1"/>
    <col min="9" max="9" width="27.5" customWidth="1"/>
    <col min="10" max="20" width="10" customWidth="1"/>
    <col min="24" max="24" width="8.75" customWidth="1"/>
  </cols>
  <sheetData>
    <row r="1" spans="1:22">
      <c r="A1" s="6" t="s">
        <v>291</v>
      </c>
      <c r="B1" s="6"/>
    </row>
    <row r="2" spans="1:22">
      <c r="A2" s="6"/>
      <c r="B2" s="6"/>
    </row>
    <row r="3" spans="1:22">
      <c r="A3" s="6" t="s">
        <v>292</v>
      </c>
      <c r="G3" s="6" t="s">
        <v>293</v>
      </c>
    </row>
    <row r="4" spans="1:22">
      <c r="A4" s="94" t="s">
        <v>213</v>
      </c>
      <c r="B4" s="119" t="s">
        <v>214</v>
      </c>
      <c r="C4" s="162" t="s">
        <v>279</v>
      </c>
      <c r="D4" s="162" t="s">
        <v>294</v>
      </c>
      <c r="E4" s="171" t="s">
        <v>295</v>
      </c>
      <c r="G4" s="129" t="s">
        <v>296</v>
      </c>
      <c r="H4" s="130" t="s">
        <v>217</v>
      </c>
      <c r="I4" s="130" t="s">
        <v>218</v>
      </c>
      <c r="J4" s="130" t="s">
        <v>219</v>
      </c>
      <c r="K4" s="131">
        <v>46095</v>
      </c>
      <c r="L4" s="131">
        <v>46113</v>
      </c>
      <c r="M4" s="131">
        <v>46143</v>
      </c>
      <c r="N4" s="131">
        <v>46174</v>
      </c>
      <c r="O4" s="131">
        <v>46204</v>
      </c>
      <c r="P4" s="131">
        <v>46235</v>
      </c>
      <c r="Q4" s="131">
        <v>46266</v>
      </c>
      <c r="R4" s="131">
        <v>46296</v>
      </c>
      <c r="S4" s="131">
        <v>46327</v>
      </c>
      <c r="T4" s="131">
        <v>46357</v>
      </c>
      <c r="U4" s="131">
        <v>46388</v>
      </c>
      <c r="V4" s="132">
        <v>46419</v>
      </c>
    </row>
    <row r="5" spans="1:22" ht="18" customHeight="1">
      <c r="A5" s="120">
        <v>46095</v>
      </c>
      <c r="B5" s="123"/>
      <c r="C5" s="123"/>
      <c r="D5" s="123"/>
      <c r="E5" s="125">
        <f>K81</f>
        <v>4</v>
      </c>
      <c r="G5" s="133" t="s">
        <v>297</v>
      </c>
      <c r="H5" s="134" t="s">
        <v>298</v>
      </c>
      <c r="I5" s="135" t="s">
        <v>299</v>
      </c>
      <c r="J5" s="36"/>
      <c r="V5" s="121"/>
    </row>
    <row r="6" spans="1:22" ht="18" customHeight="1">
      <c r="A6" s="120">
        <v>46113</v>
      </c>
      <c r="B6" s="123"/>
      <c r="C6" s="123"/>
      <c r="D6" s="123"/>
      <c r="E6" s="125">
        <f>L81</f>
        <v>165</v>
      </c>
      <c r="G6" s="133" t="s">
        <v>300</v>
      </c>
      <c r="H6" s="163" t="s">
        <v>301</v>
      </c>
      <c r="I6" s="135" t="s">
        <v>302</v>
      </c>
      <c r="J6" s="36"/>
      <c r="V6" s="121"/>
    </row>
    <row r="7" spans="1:22" ht="18" customHeight="1">
      <c r="A7" s="120">
        <v>46143</v>
      </c>
      <c r="B7" s="123"/>
      <c r="C7" s="123"/>
      <c r="D7" s="123"/>
      <c r="E7" s="125">
        <f>M81</f>
        <v>0</v>
      </c>
      <c r="G7" s="133" t="s">
        <v>303</v>
      </c>
      <c r="H7" s="134" t="s">
        <v>304</v>
      </c>
      <c r="I7" s="135" t="s">
        <v>305</v>
      </c>
      <c r="J7" s="36"/>
      <c r="V7" s="121"/>
    </row>
    <row r="8" spans="1:22" ht="18" customHeight="1">
      <c r="A8" s="120">
        <v>46174</v>
      </c>
      <c r="B8" s="123"/>
      <c r="C8" s="123"/>
      <c r="D8" s="123"/>
      <c r="E8" s="125">
        <f>N81</f>
        <v>0</v>
      </c>
      <c r="G8" s="136" t="s">
        <v>306</v>
      </c>
      <c r="H8" s="134" t="s">
        <v>307</v>
      </c>
      <c r="I8" s="135" t="s">
        <v>308</v>
      </c>
      <c r="J8" s="36"/>
      <c r="V8" s="121"/>
    </row>
    <row r="9" spans="1:22" ht="18" customHeight="1">
      <c r="A9" s="120">
        <v>46204</v>
      </c>
      <c r="B9" s="123"/>
      <c r="C9" s="123"/>
      <c r="D9" s="123"/>
      <c r="E9" s="125">
        <f>O81</f>
        <v>0</v>
      </c>
      <c r="G9" s="136" t="s">
        <v>309</v>
      </c>
      <c r="H9" s="134" t="s">
        <v>310</v>
      </c>
      <c r="I9" s="135" t="s">
        <v>311</v>
      </c>
      <c r="J9" s="36"/>
      <c r="V9" s="121"/>
    </row>
    <row r="10" spans="1:22" ht="18" customHeight="1">
      <c r="A10" s="120">
        <v>46235</v>
      </c>
      <c r="B10" s="123"/>
      <c r="C10" s="123"/>
      <c r="D10" s="123"/>
      <c r="E10" s="125">
        <f>P81</f>
        <v>0</v>
      </c>
      <c r="G10" s="136" t="s">
        <v>312</v>
      </c>
      <c r="H10" s="134" t="s">
        <v>313</v>
      </c>
      <c r="I10" s="135" t="s">
        <v>314</v>
      </c>
      <c r="J10" s="36"/>
      <c r="V10" s="121"/>
    </row>
    <row r="11" spans="1:22" ht="18" customHeight="1">
      <c r="A11" s="120">
        <v>46266</v>
      </c>
      <c r="B11" s="123"/>
      <c r="C11" s="123"/>
      <c r="D11" s="123"/>
      <c r="E11" s="125">
        <f>Q81</f>
        <v>0</v>
      </c>
      <c r="G11" s="136" t="s">
        <v>315</v>
      </c>
      <c r="H11" s="134" t="s">
        <v>316</v>
      </c>
      <c r="I11" s="135" t="s">
        <v>317</v>
      </c>
      <c r="J11" s="36"/>
      <c r="V11" s="121"/>
    </row>
    <row r="12" spans="1:22" ht="18" customHeight="1">
      <c r="A12" s="120">
        <v>46296</v>
      </c>
      <c r="B12" s="123"/>
      <c r="C12" s="123"/>
      <c r="D12" s="123"/>
      <c r="E12" s="125">
        <f>R81</f>
        <v>0</v>
      </c>
      <c r="G12" s="136" t="s">
        <v>318</v>
      </c>
      <c r="H12" s="134" t="s">
        <v>319</v>
      </c>
      <c r="I12" s="135" t="s">
        <v>320</v>
      </c>
      <c r="J12" s="36"/>
      <c r="V12" s="121"/>
    </row>
    <row r="13" spans="1:22" ht="18" customHeight="1">
      <c r="A13" s="120">
        <v>46327</v>
      </c>
      <c r="B13" s="123"/>
      <c r="C13" s="123"/>
      <c r="D13" s="123"/>
      <c r="E13" s="125">
        <f>S81</f>
        <v>0</v>
      </c>
      <c r="G13" s="133" t="s">
        <v>321</v>
      </c>
      <c r="H13" s="134" t="s">
        <v>322</v>
      </c>
      <c r="I13" s="135" t="s">
        <v>323</v>
      </c>
      <c r="J13" s="36"/>
      <c r="V13" s="121"/>
    </row>
    <row r="14" spans="1:22" ht="18" customHeight="1">
      <c r="A14" s="120">
        <v>46357</v>
      </c>
      <c r="B14" s="123"/>
      <c r="C14" s="123"/>
      <c r="D14" s="123"/>
      <c r="E14" s="125">
        <f>T81</f>
        <v>0</v>
      </c>
      <c r="G14" s="133" t="s">
        <v>324</v>
      </c>
      <c r="H14" s="134" t="s">
        <v>325</v>
      </c>
      <c r="I14" s="135" t="s">
        <v>326</v>
      </c>
      <c r="J14" s="36"/>
      <c r="V14" s="121"/>
    </row>
    <row r="15" spans="1:22" ht="18" customHeight="1">
      <c r="A15" s="120">
        <v>46388</v>
      </c>
      <c r="B15" s="123"/>
      <c r="C15" s="123"/>
      <c r="D15" s="123"/>
      <c r="E15" s="125">
        <f>U81</f>
        <v>0</v>
      </c>
      <c r="G15" s="133" t="s">
        <v>327</v>
      </c>
      <c r="H15" s="134" t="s">
        <v>328</v>
      </c>
      <c r="I15" s="135" t="s">
        <v>329</v>
      </c>
      <c r="J15" s="36"/>
      <c r="V15" s="121"/>
    </row>
    <row r="16" spans="1:22" ht="18" customHeight="1">
      <c r="A16" s="122">
        <v>46419</v>
      </c>
      <c r="B16" s="126"/>
      <c r="C16" s="126"/>
      <c r="D16" s="126"/>
      <c r="E16" s="128">
        <f>V81</f>
        <v>0</v>
      </c>
      <c r="G16" s="133" t="s">
        <v>330</v>
      </c>
      <c r="H16" s="134" t="s">
        <v>331</v>
      </c>
      <c r="I16" s="135" t="s">
        <v>332</v>
      </c>
      <c r="J16" s="36"/>
      <c r="V16" s="121"/>
    </row>
    <row r="17" spans="7:22" ht="18" customHeight="1">
      <c r="G17" s="133" t="s">
        <v>333</v>
      </c>
      <c r="H17" s="134" t="s">
        <v>334</v>
      </c>
      <c r="I17" s="135" t="s">
        <v>335</v>
      </c>
      <c r="J17" s="36"/>
      <c r="V17" s="121"/>
    </row>
    <row r="18" spans="7:22" ht="18" customHeight="1">
      <c r="G18" s="133" t="s">
        <v>336</v>
      </c>
      <c r="H18" s="134" t="s">
        <v>337</v>
      </c>
      <c r="I18" s="135" t="s">
        <v>338</v>
      </c>
      <c r="J18" s="36"/>
      <c r="V18" s="121"/>
    </row>
    <row r="19" spans="7:22" ht="18" customHeight="1">
      <c r="G19" s="136" t="s">
        <v>339</v>
      </c>
      <c r="H19" s="134" t="s">
        <v>340</v>
      </c>
      <c r="I19" s="135" t="s">
        <v>341</v>
      </c>
      <c r="J19" s="36"/>
      <c r="V19" s="121"/>
    </row>
    <row r="20" spans="7:22" ht="18" customHeight="1">
      <c r="G20" s="136" t="s">
        <v>342</v>
      </c>
      <c r="H20" s="134" t="s">
        <v>343</v>
      </c>
      <c r="I20" s="135" t="s">
        <v>344</v>
      </c>
      <c r="J20" s="36"/>
      <c r="V20" s="121"/>
    </row>
    <row r="21" spans="7:22" ht="18" customHeight="1">
      <c r="G21" s="136" t="s">
        <v>345</v>
      </c>
      <c r="H21" s="134" t="s">
        <v>346</v>
      </c>
      <c r="I21" s="135" t="s">
        <v>347</v>
      </c>
      <c r="J21" s="36"/>
      <c r="V21" s="121"/>
    </row>
    <row r="22" spans="7:22" ht="18" customHeight="1">
      <c r="G22" s="136" t="s">
        <v>348</v>
      </c>
      <c r="H22" s="134" t="s">
        <v>349</v>
      </c>
      <c r="I22" s="135" t="s">
        <v>350</v>
      </c>
      <c r="J22" s="36"/>
      <c r="V22" s="121"/>
    </row>
    <row r="23" spans="7:22" ht="18" customHeight="1">
      <c r="G23" s="136" t="s">
        <v>351</v>
      </c>
      <c r="H23" s="134" t="s">
        <v>352</v>
      </c>
      <c r="I23" s="135" t="s">
        <v>353</v>
      </c>
      <c r="J23" s="36"/>
      <c r="V23" s="121"/>
    </row>
    <row r="24" spans="7:22" ht="18" customHeight="1">
      <c r="G24" s="136" t="s">
        <v>354</v>
      </c>
      <c r="H24" s="134" t="s">
        <v>355</v>
      </c>
      <c r="I24" s="135" t="s">
        <v>356</v>
      </c>
      <c r="J24" s="36"/>
      <c r="V24" s="121"/>
    </row>
    <row r="25" spans="7:22" ht="18" customHeight="1">
      <c r="G25" s="136" t="s">
        <v>357</v>
      </c>
      <c r="H25" s="134" t="s">
        <v>358</v>
      </c>
      <c r="I25" s="135" t="s">
        <v>359</v>
      </c>
      <c r="J25" s="36"/>
      <c r="V25" s="121"/>
    </row>
    <row r="26" spans="7:22" ht="18" customHeight="1">
      <c r="G26" s="136" t="s">
        <v>360</v>
      </c>
      <c r="H26" s="134" t="s">
        <v>361</v>
      </c>
      <c r="I26" s="135" t="s">
        <v>362</v>
      </c>
      <c r="J26" s="36"/>
      <c r="V26" s="121"/>
    </row>
    <row r="27" spans="7:22" ht="18" customHeight="1">
      <c r="G27" s="136" t="s">
        <v>363</v>
      </c>
      <c r="H27" s="134" t="s">
        <v>364</v>
      </c>
      <c r="I27" s="135" t="s">
        <v>365</v>
      </c>
      <c r="J27" s="36"/>
      <c r="V27" s="121"/>
    </row>
    <row r="28" spans="7:22" ht="18" customHeight="1">
      <c r="G28" s="136" t="s">
        <v>366</v>
      </c>
      <c r="H28" s="134" t="s">
        <v>367</v>
      </c>
      <c r="I28" s="135" t="s">
        <v>368</v>
      </c>
      <c r="J28" s="36"/>
      <c r="V28" s="121"/>
    </row>
    <row r="29" spans="7:22" ht="18" customHeight="1">
      <c r="G29" s="133" t="s">
        <v>369</v>
      </c>
      <c r="H29" s="134" t="s">
        <v>370</v>
      </c>
      <c r="I29" s="135" t="s">
        <v>371</v>
      </c>
      <c r="J29" s="36"/>
      <c r="V29" s="121"/>
    </row>
    <row r="30" spans="7:22" ht="18" customHeight="1">
      <c r="G30" s="133" t="s">
        <v>372</v>
      </c>
      <c r="H30" s="134" t="s">
        <v>373</v>
      </c>
      <c r="I30" s="135" t="s">
        <v>374</v>
      </c>
      <c r="J30" s="138"/>
      <c r="L30" s="6"/>
      <c r="V30" s="121"/>
    </row>
    <row r="31" spans="7:22" ht="18" customHeight="1">
      <c r="G31" s="86"/>
      <c r="H31" s="164"/>
      <c r="I31" s="164"/>
      <c r="J31" s="5" t="s">
        <v>17</v>
      </c>
      <c r="K31" s="5">
        <f>SUM(K5:K30)</f>
        <v>0</v>
      </c>
      <c r="L31" s="5">
        <f>SUM(L5:L30)</f>
        <v>0</v>
      </c>
      <c r="M31" s="5"/>
      <c r="N31" s="5"/>
      <c r="O31" s="5"/>
      <c r="P31" s="5"/>
      <c r="Q31" s="5"/>
      <c r="R31" s="5"/>
      <c r="S31" s="5"/>
      <c r="T31" s="5"/>
      <c r="U31" s="5"/>
      <c r="V31" s="87"/>
    </row>
    <row r="33" spans="7:22">
      <c r="G33" s="6" t="s">
        <v>375</v>
      </c>
    </row>
    <row r="34" spans="7:22">
      <c r="G34" s="129" t="s">
        <v>216</v>
      </c>
      <c r="H34" s="130" t="s">
        <v>217</v>
      </c>
      <c r="I34" s="130" t="s">
        <v>218</v>
      </c>
      <c r="J34" s="130" t="s">
        <v>219</v>
      </c>
      <c r="K34" s="131">
        <v>46095</v>
      </c>
      <c r="L34" s="131">
        <v>46113</v>
      </c>
      <c r="M34" s="131">
        <v>46143</v>
      </c>
      <c r="N34" s="131">
        <v>46174</v>
      </c>
      <c r="O34" s="131">
        <v>46204</v>
      </c>
      <c r="P34" s="131">
        <v>46235</v>
      </c>
      <c r="Q34" s="131">
        <v>46266</v>
      </c>
      <c r="R34" s="131">
        <v>46296</v>
      </c>
      <c r="S34" s="131">
        <v>46327</v>
      </c>
      <c r="T34" s="131">
        <v>46357</v>
      </c>
      <c r="U34" s="131">
        <v>46388</v>
      </c>
      <c r="V34" s="132">
        <v>46419</v>
      </c>
    </row>
    <row r="35" spans="7:22">
      <c r="G35" s="133" t="s">
        <v>220</v>
      </c>
      <c r="H35" s="134" t="s">
        <v>221</v>
      </c>
      <c r="I35" s="135" t="s">
        <v>222</v>
      </c>
      <c r="J35" s="36"/>
      <c r="V35" s="121"/>
    </row>
    <row r="36" spans="7:22">
      <c r="G36" s="133" t="s">
        <v>223</v>
      </c>
      <c r="H36" s="134" t="s">
        <v>224</v>
      </c>
      <c r="I36" s="135" t="s">
        <v>225</v>
      </c>
      <c r="J36" s="36"/>
      <c r="V36" s="121"/>
    </row>
    <row r="37" spans="7:22">
      <c r="G37" s="133" t="s">
        <v>226</v>
      </c>
      <c r="H37" s="134" t="s">
        <v>227</v>
      </c>
      <c r="I37" s="135" t="s">
        <v>228</v>
      </c>
      <c r="J37" s="36"/>
      <c r="V37" s="121"/>
    </row>
    <row r="38" spans="7:22" ht="75">
      <c r="G38" s="136" t="s">
        <v>229</v>
      </c>
      <c r="H38" s="134" t="s">
        <v>230</v>
      </c>
      <c r="I38" s="135" t="s">
        <v>231</v>
      </c>
      <c r="J38" s="36"/>
      <c r="V38" s="121"/>
    </row>
    <row r="39" spans="7:22" ht="60">
      <c r="G39" s="136" t="s">
        <v>232</v>
      </c>
      <c r="H39" s="134" t="s">
        <v>233</v>
      </c>
      <c r="I39" s="135" t="s">
        <v>234</v>
      </c>
      <c r="J39" s="36"/>
      <c r="V39" s="121"/>
    </row>
    <row r="40" spans="7:22" ht="60">
      <c r="G40" s="136" t="s">
        <v>235</v>
      </c>
      <c r="H40" s="134" t="s">
        <v>236</v>
      </c>
      <c r="I40" s="135" t="s">
        <v>237</v>
      </c>
      <c r="J40" s="36"/>
      <c r="V40" s="121"/>
    </row>
    <row r="41" spans="7:22" ht="45">
      <c r="G41" s="136" t="s">
        <v>238</v>
      </c>
      <c r="H41" s="134" t="s">
        <v>239</v>
      </c>
      <c r="I41" s="135" t="s">
        <v>240</v>
      </c>
      <c r="J41" s="36"/>
      <c r="V41" s="121"/>
    </row>
    <row r="42" spans="7:22" ht="45">
      <c r="G42" s="136" t="s">
        <v>241</v>
      </c>
      <c r="H42" s="134" t="s">
        <v>242</v>
      </c>
      <c r="I42" s="135" t="s">
        <v>243</v>
      </c>
      <c r="J42" s="36"/>
      <c r="V42" s="121"/>
    </row>
    <row r="43" spans="7:22">
      <c r="G43" s="133" t="s">
        <v>244</v>
      </c>
      <c r="H43" s="134" t="s">
        <v>245</v>
      </c>
      <c r="I43" s="135" t="s">
        <v>246</v>
      </c>
      <c r="J43" s="36"/>
      <c r="V43" s="121"/>
    </row>
    <row r="44" spans="7:22">
      <c r="G44" s="133" t="s">
        <v>247</v>
      </c>
      <c r="H44" s="134" t="s">
        <v>248</v>
      </c>
      <c r="I44" s="135" t="s">
        <v>249</v>
      </c>
      <c r="J44" s="36"/>
      <c r="V44" s="121"/>
    </row>
    <row r="45" spans="7:22">
      <c r="G45" s="133" t="s">
        <v>250</v>
      </c>
      <c r="H45" s="134" t="s">
        <v>251</v>
      </c>
      <c r="I45" s="135" t="s">
        <v>252</v>
      </c>
      <c r="J45" s="36"/>
      <c r="V45" s="121"/>
    </row>
    <row r="46" spans="7:22">
      <c r="G46" s="133" t="s">
        <v>253</v>
      </c>
      <c r="H46" s="134" t="s">
        <v>254</v>
      </c>
      <c r="I46" s="135" t="s">
        <v>255</v>
      </c>
      <c r="J46" s="36"/>
      <c r="V46" s="121"/>
    </row>
    <row r="47" spans="7:22">
      <c r="G47" s="133" t="s">
        <v>256</v>
      </c>
      <c r="H47" s="134" t="s">
        <v>257</v>
      </c>
      <c r="I47" s="135" t="s">
        <v>258</v>
      </c>
      <c r="J47" s="36"/>
      <c r="V47" s="121"/>
    </row>
    <row r="48" spans="7:22">
      <c r="G48" s="133" t="s">
        <v>259</v>
      </c>
      <c r="H48" s="134" t="s">
        <v>260</v>
      </c>
      <c r="I48" s="135" t="s">
        <v>261</v>
      </c>
      <c r="J48" s="36"/>
      <c r="V48" s="121"/>
    </row>
    <row r="49" spans="7:22" ht="45">
      <c r="G49" s="136" t="s">
        <v>262</v>
      </c>
      <c r="H49" s="134" t="s">
        <v>263</v>
      </c>
      <c r="I49" s="135" t="s">
        <v>264</v>
      </c>
      <c r="J49" s="36"/>
      <c r="V49" s="121"/>
    </row>
    <row r="50" spans="7:22" ht="60">
      <c r="G50" s="136" t="s">
        <v>265</v>
      </c>
      <c r="H50" s="134" t="s">
        <v>266</v>
      </c>
      <c r="I50" s="135" t="s">
        <v>267</v>
      </c>
      <c r="J50" s="36"/>
      <c r="V50" s="121"/>
    </row>
    <row r="51" spans="7:22">
      <c r="G51" s="133" t="s">
        <v>268</v>
      </c>
      <c r="H51" s="134" t="s">
        <v>269</v>
      </c>
      <c r="I51" s="135" t="s">
        <v>270</v>
      </c>
      <c r="J51" s="36"/>
      <c r="V51" s="121"/>
    </row>
    <row r="52" spans="7:22">
      <c r="G52" s="133" t="s">
        <v>271</v>
      </c>
      <c r="H52" s="137" t="s">
        <v>272</v>
      </c>
      <c r="I52" s="135" t="s">
        <v>273</v>
      </c>
      <c r="J52" s="138">
        <v>46113</v>
      </c>
      <c r="L52" s="6"/>
      <c r="V52" s="121"/>
    </row>
    <row r="53" spans="7:22">
      <c r="G53" s="86"/>
      <c r="H53" s="5"/>
      <c r="I53" s="5"/>
      <c r="J53" s="5" t="s">
        <v>17</v>
      </c>
      <c r="K53" s="5">
        <f>SUM(K35:K52)</f>
        <v>0</v>
      </c>
      <c r="L53" s="5">
        <f>SUM(L35:L52)</f>
        <v>0</v>
      </c>
      <c r="M53" s="5"/>
      <c r="N53" s="5"/>
      <c r="O53" s="5"/>
      <c r="P53" s="5"/>
      <c r="Q53" s="5"/>
      <c r="R53" s="5"/>
      <c r="S53" s="5"/>
      <c r="T53" s="5"/>
      <c r="U53" s="5"/>
      <c r="V53" s="87"/>
    </row>
    <row r="54" spans="7:22">
      <c r="G54" s="139"/>
      <c r="J54" s="123"/>
      <c r="K54" s="114"/>
      <c r="L54" s="140"/>
      <c r="M54" s="123"/>
      <c r="N54" s="140"/>
    </row>
    <row r="55" spans="7:22">
      <c r="G55" s="6" t="s">
        <v>376</v>
      </c>
      <c r="J55" s="123"/>
      <c r="K55" s="114"/>
      <c r="L55" s="140"/>
      <c r="M55" s="123"/>
      <c r="N55" s="140"/>
    </row>
    <row r="56" spans="7:22">
      <c r="G56" s="129" t="s">
        <v>213</v>
      </c>
      <c r="H56" s="130" t="s">
        <v>275</v>
      </c>
      <c r="I56" s="130" t="s">
        <v>276</v>
      </c>
      <c r="J56" s="141" t="s">
        <v>277</v>
      </c>
      <c r="K56" s="130" t="s">
        <v>278</v>
      </c>
      <c r="L56" s="130" t="s">
        <v>142</v>
      </c>
      <c r="M56" s="130" t="s">
        <v>279</v>
      </c>
      <c r="N56" s="142" t="s">
        <v>280</v>
      </c>
    </row>
    <row r="57" spans="7:22">
      <c r="G57" s="143">
        <v>46084</v>
      </c>
      <c r="H57" s="108" t="s">
        <v>281</v>
      </c>
      <c r="I57" s="108" t="s">
        <v>282</v>
      </c>
      <c r="J57" s="144">
        <v>4052</v>
      </c>
      <c r="K57" s="145">
        <f>J57*L57</f>
        <v>502.0428</v>
      </c>
      <c r="L57" s="146">
        <v>0.1239</v>
      </c>
      <c r="M57" s="144">
        <v>13</v>
      </c>
      <c r="N57" s="147">
        <v>3.2000000000000002E-3</v>
      </c>
    </row>
    <row r="58" spans="7:22">
      <c r="G58" s="143">
        <v>46107</v>
      </c>
      <c r="H58" s="108" t="s">
        <v>283</v>
      </c>
      <c r="I58" s="108" t="s">
        <v>284</v>
      </c>
      <c r="J58" s="144">
        <v>4033</v>
      </c>
      <c r="K58" s="145">
        <f>J58*L58</f>
        <v>535.17910000000006</v>
      </c>
      <c r="L58" s="146">
        <v>0.13270000000000001</v>
      </c>
      <c r="M58" s="144">
        <v>17</v>
      </c>
      <c r="N58" s="147">
        <v>4.1999999999999997E-3</v>
      </c>
    </row>
    <row r="59" spans="7:22">
      <c r="G59" s="143">
        <v>46111</v>
      </c>
      <c r="H59" s="108" t="s">
        <v>285</v>
      </c>
      <c r="I59" s="108" t="s">
        <v>286</v>
      </c>
      <c r="J59" s="144">
        <v>4019</v>
      </c>
      <c r="K59" s="145">
        <f t="shared" ref="K59:K70" si="0">J59*L59</f>
        <v>551.00490000000002</v>
      </c>
      <c r="L59" s="146">
        <v>0.1371</v>
      </c>
      <c r="M59" s="144">
        <v>19</v>
      </c>
      <c r="N59" s="147">
        <v>4.7000000000000002E-3</v>
      </c>
    </row>
    <row r="60" spans="7:22">
      <c r="G60" s="143">
        <v>46118</v>
      </c>
      <c r="H60" s="108" t="s">
        <v>287</v>
      </c>
      <c r="I60" s="108" t="s">
        <v>288</v>
      </c>
      <c r="J60" s="144">
        <v>3987</v>
      </c>
      <c r="K60" s="145">
        <f t="shared" si="0"/>
        <v>527.87879999999996</v>
      </c>
      <c r="L60" s="146">
        <v>0.13239999999999999</v>
      </c>
      <c r="M60" s="148">
        <v>28</v>
      </c>
      <c r="N60" s="149">
        <v>7.0000000000000001E-3</v>
      </c>
    </row>
    <row r="61" spans="7:22">
      <c r="G61" s="143">
        <v>46134</v>
      </c>
      <c r="H61" s="108" t="s">
        <v>289</v>
      </c>
      <c r="I61" s="108" t="s">
        <v>290</v>
      </c>
      <c r="J61" s="144">
        <v>953</v>
      </c>
      <c r="K61" s="145">
        <f t="shared" si="0"/>
        <v>125.98660000000001</v>
      </c>
      <c r="L61" s="146">
        <v>0.13220000000000001</v>
      </c>
      <c r="M61" s="144">
        <v>10</v>
      </c>
      <c r="N61" s="149">
        <v>7.0900000000000005E-2</v>
      </c>
    </row>
    <row r="62" spans="7:22">
      <c r="G62" s="150"/>
      <c r="H62" s="151"/>
      <c r="I62" s="151"/>
      <c r="J62" s="152"/>
      <c r="K62" s="153">
        <f t="shared" si="0"/>
        <v>0</v>
      </c>
      <c r="L62" s="154"/>
      <c r="M62" s="152"/>
      <c r="N62" s="155"/>
    </row>
    <row r="63" spans="7:22">
      <c r="G63" s="150"/>
      <c r="H63" s="151"/>
      <c r="I63" s="151"/>
      <c r="J63" s="152"/>
      <c r="K63" s="153">
        <f t="shared" si="0"/>
        <v>0</v>
      </c>
      <c r="L63" s="154"/>
      <c r="M63" s="152"/>
      <c r="N63" s="155"/>
    </row>
    <row r="64" spans="7:22">
      <c r="G64" s="150"/>
      <c r="H64" s="151"/>
      <c r="I64" s="151"/>
      <c r="J64" s="152"/>
      <c r="K64" s="153">
        <f t="shared" si="0"/>
        <v>0</v>
      </c>
      <c r="L64" s="154"/>
      <c r="M64" s="152"/>
      <c r="N64" s="155"/>
    </row>
    <row r="65" spans="7:22">
      <c r="G65" s="150"/>
      <c r="H65" s="151"/>
      <c r="I65" s="151"/>
      <c r="J65" s="152"/>
      <c r="K65" s="153">
        <f t="shared" si="0"/>
        <v>0</v>
      </c>
      <c r="L65" s="154"/>
      <c r="M65" s="152"/>
      <c r="N65" s="155"/>
    </row>
    <row r="66" spans="7:22">
      <c r="G66" s="150"/>
      <c r="H66" s="151"/>
      <c r="I66" s="151"/>
      <c r="J66" s="152"/>
      <c r="K66" s="153">
        <f t="shared" si="0"/>
        <v>0</v>
      </c>
      <c r="L66" s="154"/>
      <c r="M66" s="152"/>
      <c r="N66" s="155"/>
    </row>
    <row r="67" spans="7:22">
      <c r="G67" s="150"/>
      <c r="H67" s="151"/>
      <c r="I67" s="151"/>
      <c r="J67" s="152"/>
      <c r="K67" s="153">
        <f t="shared" si="0"/>
        <v>0</v>
      </c>
      <c r="L67" s="154"/>
      <c r="M67" s="152"/>
      <c r="N67" s="155"/>
    </row>
    <row r="68" spans="7:22">
      <c r="G68" s="150"/>
      <c r="H68" s="151"/>
      <c r="I68" s="151"/>
      <c r="J68" s="152"/>
      <c r="K68" s="153">
        <f t="shared" si="0"/>
        <v>0</v>
      </c>
      <c r="L68" s="154"/>
      <c r="M68" s="152"/>
      <c r="N68" s="155"/>
    </row>
    <row r="69" spans="7:22">
      <c r="G69" s="150"/>
      <c r="H69" s="151"/>
      <c r="I69" s="151"/>
      <c r="J69" s="152"/>
      <c r="K69" s="153">
        <f t="shared" si="0"/>
        <v>0</v>
      </c>
      <c r="L69" s="154"/>
      <c r="M69" s="152"/>
      <c r="N69" s="155"/>
    </row>
    <row r="70" spans="7:22">
      <c r="G70" s="156"/>
      <c r="H70" s="157"/>
      <c r="I70" s="157"/>
      <c r="J70" s="158"/>
      <c r="K70" s="159">
        <f t="shared" si="0"/>
        <v>0</v>
      </c>
      <c r="L70" s="160"/>
      <c r="M70" s="158"/>
      <c r="N70" s="161"/>
    </row>
    <row r="72" spans="7:22">
      <c r="G72" s="6" t="s">
        <v>377</v>
      </c>
    </row>
    <row r="73" spans="7:22">
      <c r="G73" s="129" t="s">
        <v>378</v>
      </c>
      <c r="H73" s="130" t="s">
        <v>217</v>
      </c>
      <c r="I73" s="130" t="s">
        <v>218</v>
      </c>
      <c r="J73" s="130" t="s">
        <v>219</v>
      </c>
      <c r="K73" s="131">
        <v>46095</v>
      </c>
      <c r="L73" s="131">
        <v>46113</v>
      </c>
      <c r="M73" s="131">
        <v>46143</v>
      </c>
      <c r="N73" s="131">
        <v>46174</v>
      </c>
      <c r="O73" s="131">
        <v>46204</v>
      </c>
      <c r="P73" s="131">
        <v>46235</v>
      </c>
      <c r="Q73" s="131">
        <v>46266</v>
      </c>
      <c r="R73" s="131">
        <v>46296</v>
      </c>
      <c r="S73" s="131">
        <v>46327</v>
      </c>
      <c r="T73" s="131">
        <v>46357</v>
      </c>
      <c r="U73" s="131">
        <v>46388</v>
      </c>
      <c r="V73" s="132">
        <v>46419</v>
      </c>
    </row>
    <row r="74" spans="7:22">
      <c r="G74" s="165" t="s">
        <v>379</v>
      </c>
      <c r="H74" s="134" t="s">
        <v>380</v>
      </c>
      <c r="I74" s="166" t="s">
        <v>381</v>
      </c>
      <c r="K74" s="167"/>
      <c r="L74" s="167">
        <v>16</v>
      </c>
      <c r="M74" s="167"/>
      <c r="N74" s="167"/>
      <c r="O74" s="167"/>
      <c r="P74" s="167"/>
      <c r="Q74" s="167"/>
      <c r="R74" s="167"/>
      <c r="S74" s="167"/>
      <c r="T74" s="167"/>
      <c r="U74" s="167"/>
      <c r="V74" s="168"/>
    </row>
    <row r="75" spans="7:22">
      <c r="G75" s="133" t="s">
        <v>382</v>
      </c>
      <c r="H75" s="134" t="s">
        <v>383</v>
      </c>
      <c r="I75" s="135" t="s">
        <v>384</v>
      </c>
      <c r="J75" s="36"/>
      <c r="K75" s="167">
        <v>1</v>
      </c>
      <c r="L75" s="167">
        <v>8</v>
      </c>
      <c r="M75" s="167"/>
      <c r="N75" s="167"/>
      <c r="O75" s="167"/>
      <c r="P75" s="167"/>
      <c r="Q75" s="167"/>
      <c r="R75" s="167"/>
      <c r="S75" s="167"/>
      <c r="T75" s="167"/>
      <c r="U75" s="167"/>
      <c r="V75" s="168"/>
    </row>
    <row r="76" spans="7:22">
      <c r="G76" s="133" t="s">
        <v>385</v>
      </c>
      <c r="H76" s="134" t="s">
        <v>386</v>
      </c>
      <c r="I76" s="135" t="s">
        <v>387</v>
      </c>
      <c r="J76" s="36"/>
      <c r="K76" s="167">
        <v>3</v>
      </c>
      <c r="L76" s="167">
        <v>9</v>
      </c>
      <c r="M76" s="167"/>
      <c r="N76" s="167"/>
      <c r="O76" s="167"/>
      <c r="P76" s="167"/>
      <c r="Q76" s="167"/>
      <c r="R76" s="167"/>
      <c r="S76" s="167"/>
      <c r="T76" s="167"/>
      <c r="U76" s="167"/>
      <c r="V76" s="168"/>
    </row>
    <row r="77" spans="7:22">
      <c r="G77" s="133" t="s">
        <v>388</v>
      </c>
      <c r="H77" s="137" t="s">
        <v>389</v>
      </c>
      <c r="I77" s="135" t="s">
        <v>390</v>
      </c>
      <c r="J77" s="36"/>
      <c r="K77" s="167">
        <v>0</v>
      </c>
      <c r="L77" s="167">
        <v>6</v>
      </c>
      <c r="M77" s="167"/>
      <c r="N77" s="167"/>
      <c r="O77" s="167"/>
      <c r="P77" s="167"/>
      <c r="Q77" s="167"/>
      <c r="R77" s="167"/>
      <c r="S77" s="167"/>
      <c r="T77" s="167"/>
      <c r="U77" s="167"/>
      <c r="V77" s="168"/>
    </row>
    <row r="78" spans="7:22">
      <c r="G78" s="136" t="s">
        <v>391</v>
      </c>
      <c r="H78" s="134"/>
      <c r="I78" s="135"/>
      <c r="J78" s="36"/>
      <c r="K78" s="167"/>
      <c r="L78" s="167">
        <v>40</v>
      </c>
      <c r="M78" s="167"/>
      <c r="N78" s="167"/>
      <c r="O78" s="167"/>
      <c r="P78" s="167"/>
      <c r="Q78" s="167"/>
      <c r="R78" s="167"/>
      <c r="S78" s="167"/>
      <c r="T78" s="167"/>
      <c r="U78" s="167"/>
      <c r="V78" s="168"/>
    </row>
    <row r="79" spans="7:22">
      <c r="G79" s="136" t="s">
        <v>392</v>
      </c>
      <c r="H79" s="134"/>
      <c r="I79" s="135"/>
      <c r="J79" s="36"/>
      <c r="K79" s="167"/>
      <c r="L79" s="167">
        <v>96</v>
      </c>
      <c r="M79" s="167"/>
      <c r="N79" s="167"/>
      <c r="O79" s="167"/>
      <c r="P79" s="167"/>
      <c r="Q79" s="167"/>
      <c r="R79" s="167"/>
      <c r="S79" s="167"/>
      <c r="T79" s="167"/>
      <c r="U79" s="167"/>
      <c r="V79" s="168"/>
    </row>
    <row r="80" spans="7:22">
      <c r="G80" s="136" t="s">
        <v>393</v>
      </c>
      <c r="H80" s="134"/>
      <c r="I80" s="135"/>
      <c r="J80" s="36"/>
      <c r="K80" s="167"/>
      <c r="L80" s="167">
        <v>6</v>
      </c>
      <c r="M80" s="167"/>
      <c r="N80" s="167"/>
      <c r="O80" s="167"/>
      <c r="P80" s="167"/>
      <c r="Q80" s="167"/>
      <c r="R80" s="167"/>
      <c r="S80" s="167"/>
      <c r="T80" s="167"/>
      <c r="U80" s="167"/>
      <c r="V80" s="168"/>
    </row>
    <row r="81" spans="7:22">
      <c r="G81" s="86"/>
      <c r="H81" s="164"/>
      <c r="I81" s="5"/>
      <c r="J81" s="5" t="s">
        <v>17</v>
      </c>
      <c r="K81" s="169">
        <f>SUM(K75:K80)</f>
        <v>4</v>
      </c>
      <c r="L81" s="169">
        <f>SUM(L75:L80)</f>
        <v>165</v>
      </c>
      <c r="M81" s="169"/>
      <c r="N81" s="169"/>
      <c r="O81" s="169"/>
      <c r="P81" s="169"/>
      <c r="Q81" s="169"/>
      <c r="R81" s="169"/>
      <c r="S81" s="169"/>
      <c r="T81" s="169"/>
      <c r="U81" s="169"/>
      <c r="V81" s="170"/>
    </row>
  </sheetData>
  <sortState xmlns:xlrd2="http://schemas.microsoft.com/office/spreadsheetml/2017/richdata2" ref="G75:V77">
    <sortCondition ref="G77"/>
  </sortState>
  <phoneticPr fontId="1"/>
  <hyperlinks>
    <hyperlink ref="H5" r:id="rId1" xr:uid="{0A9F70B9-FD19-4E3E-8386-5AC19D53C519}"/>
    <hyperlink ref="H6" r:id="rId2" xr:uid="{6536BCB9-875B-4208-8AFE-272E78621B29}"/>
    <hyperlink ref="H7" r:id="rId3" xr:uid="{900F375E-4237-40A6-985F-BC25FD7F34D2}"/>
    <hyperlink ref="H8" r:id="rId4" xr:uid="{803CA2F6-D64A-49B1-AF92-B529BE84CACE}"/>
    <hyperlink ref="H9" r:id="rId5" xr:uid="{4AB75B14-684F-4B92-B467-27CCF3B6A30A}"/>
    <hyperlink ref="H10" r:id="rId6" xr:uid="{EBD11429-C79D-438E-8A10-1416B4625766}"/>
    <hyperlink ref="H11" r:id="rId7" xr:uid="{72333E9C-3F1D-4191-BC8F-17DA36A35509}"/>
    <hyperlink ref="H12" r:id="rId8" xr:uid="{F207A393-1E8A-4F62-AA73-8E6E05202E7D}"/>
    <hyperlink ref="H13" r:id="rId9" xr:uid="{A80C2337-464D-4759-9464-11B002F52EDD}"/>
    <hyperlink ref="H14" r:id="rId10" xr:uid="{04790E52-E9B0-4C41-8D5E-37F17E0D7343}"/>
    <hyperlink ref="H15" r:id="rId11" xr:uid="{728B781E-076A-4B85-B49F-483AC922AD8C}"/>
    <hyperlink ref="H16" r:id="rId12" xr:uid="{6DDE2B6F-0910-4B71-A761-AB575DE17976}"/>
    <hyperlink ref="H17" r:id="rId13" xr:uid="{BEF1A3BF-AFA1-4290-A678-ED2E51F57772}"/>
    <hyperlink ref="H18" r:id="rId14" xr:uid="{5328B4EA-1399-4F64-890A-E6D0B0A81314}"/>
    <hyperlink ref="H19" r:id="rId15" xr:uid="{1C005608-76BF-414A-A538-1BDD1E239A61}"/>
    <hyperlink ref="H20" r:id="rId16" xr:uid="{3FE2BF22-6F23-4199-BB5D-8D7B0C4B706B}"/>
    <hyperlink ref="H21" r:id="rId17" xr:uid="{44F8E788-3DE4-490B-9927-69A48B3885CD}"/>
    <hyperlink ref="H22" r:id="rId18" xr:uid="{A4701879-47BA-4A79-8AA0-696278044BAB}"/>
    <hyperlink ref="H23" r:id="rId19" xr:uid="{09306458-7AFE-4ED5-8E75-08F8D77F0B54}"/>
    <hyperlink ref="H24" r:id="rId20" xr:uid="{9A4E8FCA-945F-481C-BD55-51A9CEE19D6C}"/>
    <hyperlink ref="H25" r:id="rId21" xr:uid="{D3A5A358-D2E3-4020-AEB6-1332BA40D559}"/>
    <hyperlink ref="H26" r:id="rId22" xr:uid="{5BDDE9F1-EB34-4CC2-9198-420FD0291FAF}"/>
    <hyperlink ref="H27" r:id="rId23" xr:uid="{893687D9-6433-4132-B042-3264DACEE8A8}"/>
    <hyperlink ref="H28" r:id="rId24" xr:uid="{4478445A-7CE4-4FCE-969B-A8D0C805A042}"/>
    <hyperlink ref="H29" r:id="rId25" xr:uid="{3A04D7F7-E282-4CF3-B927-EBE3AA9C10D9}"/>
    <hyperlink ref="H30" r:id="rId26" xr:uid="{E0A3A2B6-157A-4F47-A489-EAD659C362EA}"/>
    <hyperlink ref="H35" r:id="rId27" xr:uid="{BF2874FE-E09F-474F-917F-75C05B33BEE8}"/>
    <hyperlink ref="H36" r:id="rId28" xr:uid="{342E7C99-8633-4166-97F2-DE26CDAECCE4}"/>
    <hyperlink ref="H37" r:id="rId29" xr:uid="{4DF5CF19-6D99-4274-A1D3-382056755B6E}"/>
    <hyperlink ref="H38" r:id="rId30" xr:uid="{A6EF1D79-53DD-43AD-8C92-EB9A75E80E67}"/>
    <hyperlink ref="H39" r:id="rId31" xr:uid="{753FD9C8-2294-4725-9028-B208D0ABC89F}"/>
    <hyperlink ref="H40" r:id="rId32" xr:uid="{D02A3E1D-BC53-4DB2-AA30-BD20371A54D1}"/>
    <hyperlink ref="H41" r:id="rId33" xr:uid="{8B4662EC-D2E1-4895-869C-3ACE0F1EFCEC}"/>
    <hyperlink ref="H42" r:id="rId34" xr:uid="{D8EB25F0-91F3-4EFC-8E8D-1A61476B2BCC}"/>
    <hyperlink ref="H43" r:id="rId35" xr:uid="{393F6005-B4BE-4836-BECA-1AD230267E72}"/>
    <hyperlink ref="H44" r:id="rId36" xr:uid="{625A4BFC-DE98-4359-A76C-81C95BD379CC}"/>
    <hyperlink ref="H45" r:id="rId37" xr:uid="{46B5993E-DE6A-4B36-B16A-D9407648D4D9}"/>
    <hyperlink ref="H46" r:id="rId38" xr:uid="{554C5F47-FDF5-4406-A694-1176D351C24C}"/>
    <hyperlink ref="H47" r:id="rId39" xr:uid="{CFA06C06-F404-4F86-BFAB-51BE47B3A926}"/>
    <hyperlink ref="H48" r:id="rId40" xr:uid="{7CE8D4E9-DF76-43EE-9603-CDC15754D49C}"/>
    <hyperlink ref="H49" r:id="rId41" xr:uid="{7F6B741E-B3EF-4A27-89DB-2F3A5E4F768D}"/>
    <hyperlink ref="H50" r:id="rId42" xr:uid="{EE8E0C7C-89B3-4638-9033-2617DB8B24DC}"/>
    <hyperlink ref="H51" r:id="rId43" xr:uid="{40F35A07-71B7-4A9B-84DE-2D6185399EBF}"/>
    <hyperlink ref="H52" r:id="rId44" xr:uid="{C61E55E1-E003-469A-A358-D580C4DB67CE}"/>
    <hyperlink ref="H75" r:id="rId45" xr:uid="{B6F2D2E8-BAC0-4590-8EA1-13CDF70B2B6E}"/>
    <hyperlink ref="H76" r:id="rId46" xr:uid="{AFE1A77A-F3D1-4017-B13F-07DC303FA2CF}"/>
    <hyperlink ref="H77" r:id="rId47" xr:uid="{29D201BD-89A3-4F5D-8EE2-1FCDC611BB43}"/>
    <hyperlink ref="H74" r:id="rId48" xr:uid="{523B367D-F8AC-49B8-8B65-7A80042BD5A9}"/>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382A2-FF7B-430D-B6C3-57BDF3954633}">
  <sheetPr>
    <tabColor theme="1" tint="0.499984740745262"/>
  </sheetPr>
  <dimension ref="A1:A41"/>
  <sheetViews>
    <sheetView topLeftCell="A6" workbookViewId="0">
      <selection activeCell="H36" sqref="H36"/>
    </sheetView>
  </sheetViews>
  <sheetFormatPr defaultRowHeight="18"/>
  <cols>
    <col min="1" max="1" width="27" customWidth="1"/>
    <col min="2" max="7" width="9" customWidth="1"/>
  </cols>
  <sheetData>
    <row r="1" spans="1:1" ht="22.5">
      <c r="A1" s="7" t="s">
        <v>394</v>
      </c>
    </row>
    <row r="3" spans="1:1">
      <c r="A3" t="s">
        <v>395</v>
      </c>
    </row>
    <row r="4" spans="1:1">
      <c r="A4" t="s">
        <v>396</v>
      </c>
    </row>
    <row r="6" spans="1:1">
      <c r="A6" t="s">
        <v>397</v>
      </c>
    </row>
    <row r="7" spans="1:1">
      <c r="A7" s="1" t="s">
        <v>398</v>
      </c>
    </row>
    <row r="8" spans="1:1">
      <c r="A8" t="s">
        <v>399</v>
      </c>
    </row>
    <row r="9" spans="1:1">
      <c r="A9" t="s">
        <v>400</v>
      </c>
    </row>
    <row r="10" spans="1:1">
      <c r="A10" t="s">
        <v>401</v>
      </c>
    </row>
    <row r="11" spans="1:1">
      <c r="A11" t="s">
        <v>402</v>
      </c>
    </row>
    <row r="13" spans="1:1">
      <c r="A13" t="s">
        <v>403</v>
      </c>
    </row>
    <row r="14" spans="1:1">
      <c r="A14" t="s">
        <v>404</v>
      </c>
    </row>
    <row r="15" spans="1:1">
      <c r="A15" t="s">
        <v>405</v>
      </c>
    </row>
    <row r="16" spans="1:1">
      <c r="A16" t="s">
        <v>406</v>
      </c>
    </row>
    <row r="17" spans="1:1">
      <c r="A17" t="s">
        <v>407</v>
      </c>
    </row>
    <row r="18" spans="1:1">
      <c r="A18" t="s">
        <v>408</v>
      </c>
    </row>
    <row r="19" spans="1:1">
      <c r="A19" t="s">
        <v>409</v>
      </c>
    </row>
    <row r="20" spans="1:1">
      <c r="A20" t="s">
        <v>410</v>
      </c>
    </row>
    <row r="21" spans="1:1">
      <c r="A21" t="s">
        <v>411</v>
      </c>
    </row>
    <row r="23" spans="1:1">
      <c r="A23" t="s">
        <v>412</v>
      </c>
    </row>
    <row r="24" spans="1:1">
      <c r="A24" t="s">
        <v>413</v>
      </c>
    </row>
    <row r="25" spans="1:1">
      <c r="A25" t="s">
        <v>414</v>
      </c>
    </row>
    <row r="26" spans="1:1">
      <c r="A26" t="s">
        <v>415</v>
      </c>
    </row>
    <row r="27" spans="1:1">
      <c r="A27" t="s">
        <v>416</v>
      </c>
    </row>
    <row r="28" spans="1:1">
      <c r="A28" t="s">
        <v>417</v>
      </c>
    </row>
    <row r="29" spans="1:1">
      <c r="A29" t="s">
        <v>418</v>
      </c>
    </row>
    <row r="30" spans="1:1">
      <c r="A30" t="s">
        <v>419</v>
      </c>
    </row>
    <row r="31" spans="1:1">
      <c r="A31" t="s">
        <v>420</v>
      </c>
    </row>
    <row r="32" spans="1:1">
      <c r="A32" t="s">
        <v>421</v>
      </c>
    </row>
    <row r="34" spans="1:1">
      <c r="A34" t="s">
        <v>422</v>
      </c>
    </row>
    <row r="35" spans="1:1">
      <c r="A35" t="s">
        <v>423</v>
      </c>
    </row>
    <row r="36" spans="1:1">
      <c r="A36" t="s">
        <v>424</v>
      </c>
    </row>
    <row r="37" spans="1:1">
      <c r="A37" t="s">
        <v>425</v>
      </c>
    </row>
    <row r="38" spans="1:1">
      <c r="A38" t="s">
        <v>426</v>
      </c>
    </row>
    <row r="39" spans="1:1">
      <c r="A39" t="s">
        <v>427</v>
      </c>
    </row>
    <row r="40" spans="1:1">
      <c r="A40" t="s">
        <v>428</v>
      </c>
    </row>
    <row r="41" spans="1:1">
      <c r="A41" t="s">
        <v>429</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DF236-B48A-4FB3-8CFE-2B5C0BE9090F}">
  <sheetPr>
    <tabColor theme="1" tint="0.499984740745262"/>
  </sheetPr>
  <dimension ref="A1:B19"/>
  <sheetViews>
    <sheetView workbookViewId="0">
      <selection activeCell="A19" sqref="A19"/>
    </sheetView>
  </sheetViews>
  <sheetFormatPr defaultRowHeight="18"/>
  <cols>
    <col min="1" max="1" width="23.75" customWidth="1"/>
    <col min="2" max="2" width="16.25" customWidth="1"/>
  </cols>
  <sheetData>
    <row r="1" spans="1:2" ht="22.5">
      <c r="A1" s="7" t="s">
        <v>430</v>
      </c>
      <c r="B1" t="s">
        <v>431</v>
      </c>
    </row>
    <row r="3" spans="1:2">
      <c r="A3" s="2" t="s">
        <v>52</v>
      </c>
      <c r="B3" s="16">
        <v>2026</v>
      </c>
    </row>
    <row r="4" spans="1:2">
      <c r="A4" s="3" t="s">
        <v>53</v>
      </c>
      <c r="B4" s="32"/>
    </row>
    <row r="5" spans="1:2">
      <c r="A5" t="s">
        <v>54</v>
      </c>
      <c r="B5" s="33">
        <v>0.1</v>
      </c>
    </row>
    <row r="6" spans="1:2">
      <c r="A6" t="s">
        <v>55</v>
      </c>
      <c r="B6" s="32">
        <f>B4*B5</f>
        <v>0</v>
      </c>
    </row>
    <row r="7" spans="1:2">
      <c r="A7" t="s">
        <v>56</v>
      </c>
      <c r="B7" s="32"/>
    </row>
    <row r="8" spans="1:2">
      <c r="A8" t="s">
        <v>57</v>
      </c>
      <c r="B8" s="32">
        <f>IFERROR(B6/B7,0)</f>
        <v>0</v>
      </c>
    </row>
    <row r="9" spans="1:2">
      <c r="A9" t="s">
        <v>58</v>
      </c>
      <c r="B9" s="33"/>
    </row>
    <row r="10" spans="1:2">
      <c r="A10" t="s">
        <v>59</v>
      </c>
      <c r="B10" s="32">
        <f>IFERROR(B8/B9,0)</f>
        <v>0</v>
      </c>
    </row>
    <row r="11" spans="1:2">
      <c r="A11" t="s">
        <v>60</v>
      </c>
      <c r="B11" s="33"/>
    </row>
    <row r="12" spans="1:2">
      <c r="A12" t="s">
        <v>61</v>
      </c>
      <c r="B12" s="32">
        <f>IFERROR(B10/B11,0)</f>
        <v>0</v>
      </c>
    </row>
    <row r="13" spans="1:2">
      <c r="A13" t="s">
        <v>62</v>
      </c>
      <c r="B13" s="33"/>
    </row>
    <row r="14" spans="1:2">
      <c r="A14" t="s">
        <v>63</v>
      </c>
      <c r="B14" s="34">
        <f>IFERROR(B12/B13,0)</f>
        <v>0</v>
      </c>
    </row>
    <row r="15" spans="1:2">
      <c r="A15" t="s">
        <v>64</v>
      </c>
      <c r="B15" s="33"/>
    </row>
    <row r="16" spans="1:2">
      <c r="A16" t="s">
        <v>432</v>
      </c>
      <c r="B16" s="34">
        <f>IFERROR(B14/B15,0)</f>
        <v>0</v>
      </c>
    </row>
    <row r="17" spans="1:2">
      <c r="A17" t="s">
        <v>433</v>
      </c>
      <c r="B17" s="33"/>
    </row>
    <row r="18" spans="1:2">
      <c r="A18" t="s">
        <v>434</v>
      </c>
      <c r="B18" s="34">
        <f>IFERROR(B16/B17,0)</f>
        <v>0</v>
      </c>
    </row>
    <row r="19" spans="1:2">
      <c r="B19" s="16"/>
    </row>
  </sheetData>
  <phoneticPr fontId="1"/>
  <conditionalFormatting sqref="B3:B4 B7 B9 B11 B13 B15 B17">
    <cfRule type="containsBlanks" dxfId="2" priority="2">
      <formula>LEN(TRIM(B3))=0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DE7FC-4583-4151-98A2-D1239F33C671}">
  <sheetPr>
    <tabColor theme="1" tint="0.499984740745262"/>
  </sheetPr>
  <dimension ref="A1:G16"/>
  <sheetViews>
    <sheetView workbookViewId="0">
      <selection activeCell="C8" sqref="C8"/>
    </sheetView>
  </sheetViews>
  <sheetFormatPr defaultRowHeight="18"/>
  <cols>
    <col min="1" max="1" width="7.5" customWidth="1"/>
    <col min="2" max="7" width="22.5" customWidth="1"/>
  </cols>
  <sheetData>
    <row r="1" spans="1:7" ht="22.5">
      <c r="A1" s="7" t="s">
        <v>435</v>
      </c>
    </row>
    <row r="3" spans="1:7">
      <c r="A3" s="35" t="s">
        <v>213</v>
      </c>
      <c r="B3" s="35" t="s">
        <v>436</v>
      </c>
      <c r="C3" s="35" t="s">
        <v>96</v>
      </c>
      <c r="D3" s="35" t="s">
        <v>95</v>
      </c>
      <c r="E3" s="35" t="s">
        <v>94</v>
      </c>
      <c r="F3" s="35" t="s">
        <v>12</v>
      </c>
      <c r="G3" s="35" t="s">
        <v>437</v>
      </c>
    </row>
    <row r="4" spans="1:7" ht="28.15" customHeight="1">
      <c r="A4">
        <v>3</v>
      </c>
      <c r="B4">
        <f>KGI設定!$B$16/12</f>
        <v>0</v>
      </c>
      <c r="C4">
        <f>KGI設定!$B$14/12</f>
        <v>0</v>
      </c>
      <c r="D4">
        <f>KGI設定!$B$12/12</f>
        <v>0</v>
      </c>
      <c r="E4">
        <f>KGI設定!$B$10/12</f>
        <v>0</v>
      </c>
      <c r="F4">
        <f>KGI設定!$B$8/12</f>
        <v>0</v>
      </c>
      <c r="G4">
        <f>KGI設定!$B$6/12</f>
        <v>0</v>
      </c>
    </row>
    <row r="5" spans="1:7" ht="28.15" customHeight="1">
      <c r="A5">
        <v>4</v>
      </c>
      <c r="B5">
        <f>KGI設定!$B$16/12</f>
        <v>0</v>
      </c>
      <c r="C5">
        <f>KGI設定!$B$14/12</f>
        <v>0</v>
      </c>
      <c r="D5">
        <f>KGI設定!$B$12/12</f>
        <v>0</v>
      </c>
      <c r="E5">
        <f>KGI設定!$B$10/12</f>
        <v>0</v>
      </c>
      <c r="F5">
        <f>KGI設定!$B$8/12</f>
        <v>0</v>
      </c>
      <c r="G5">
        <f>KGI設定!$B$6/12</f>
        <v>0</v>
      </c>
    </row>
    <row r="6" spans="1:7" ht="28.15" customHeight="1">
      <c r="A6">
        <v>5</v>
      </c>
      <c r="B6">
        <f>KGI設定!$B$16/12</f>
        <v>0</v>
      </c>
      <c r="C6">
        <f>KGI設定!$B$14/12</f>
        <v>0</v>
      </c>
      <c r="D6">
        <f>KGI設定!$B$12/12</f>
        <v>0</v>
      </c>
      <c r="E6">
        <f>KGI設定!$B$10/12</f>
        <v>0</v>
      </c>
      <c r="F6">
        <f>KGI設定!$B$8/12</f>
        <v>0</v>
      </c>
      <c r="G6">
        <f>KGI設定!$B$6/12</f>
        <v>0</v>
      </c>
    </row>
    <row r="7" spans="1:7" ht="28.15" customHeight="1">
      <c r="A7">
        <v>6</v>
      </c>
      <c r="B7">
        <f>KGI設定!$B$16/12</f>
        <v>0</v>
      </c>
      <c r="C7">
        <f>KGI設定!$B$14/12</f>
        <v>0</v>
      </c>
      <c r="D7">
        <f>KGI設定!$B$12/12</f>
        <v>0</v>
      </c>
      <c r="E7">
        <f>KGI設定!$B$10/12</f>
        <v>0</v>
      </c>
      <c r="F7">
        <f>KGI設定!$B$8/12</f>
        <v>0</v>
      </c>
      <c r="G7">
        <f>KGI設定!$B$6/12</f>
        <v>0</v>
      </c>
    </row>
    <row r="8" spans="1:7" ht="28.15" customHeight="1">
      <c r="A8">
        <v>7</v>
      </c>
      <c r="B8">
        <f>KGI設定!$B$16/12</f>
        <v>0</v>
      </c>
      <c r="C8">
        <f>KGI設定!$B$14/12</f>
        <v>0</v>
      </c>
      <c r="D8">
        <f>KGI設定!$B$12/12</f>
        <v>0</v>
      </c>
      <c r="E8">
        <f>KGI設定!$B$10/12</f>
        <v>0</v>
      </c>
      <c r="F8">
        <f>KGI設定!$B$8/12</f>
        <v>0</v>
      </c>
      <c r="G8">
        <f>KGI設定!$B$6/12</f>
        <v>0</v>
      </c>
    </row>
    <row r="9" spans="1:7" ht="28.15" customHeight="1">
      <c r="A9">
        <v>8</v>
      </c>
      <c r="B9">
        <f>KGI設定!$B$16/12</f>
        <v>0</v>
      </c>
      <c r="C9">
        <f>KGI設定!$B$14/12</f>
        <v>0</v>
      </c>
      <c r="D9">
        <f>KGI設定!$B$12/12</f>
        <v>0</v>
      </c>
      <c r="E9">
        <f>KGI設定!$B$10/12</f>
        <v>0</v>
      </c>
      <c r="F9">
        <f>KGI設定!$B$8/12</f>
        <v>0</v>
      </c>
      <c r="G9">
        <f>KGI設定!$B$6/12</f>
        <v>0</v>
      </c>
    </row>
    <row r="10" spans="1:7" ht="28.15" customHeight="1">
      <c r="A10">
        <v>9</v>
      </c>
      <c r="B10">
        <f>KGI設定!$B$16/12</f>
        <v>0</v>
      </c>
      <c r="C10">
        <f>KGI設定!$B$14/12</f>
        <v>0</v>
      </c>
      <c r="D10">
        <f>KGI設定!$B$12/12</f>
        <v>0</v>
      </c>
      <c r="E10">
        <f>KGI設定!$B$10/12</f>
        <v>0</v>
      </c>
      <c r="F10">
        <f>KGI設定!$B$8/12</f>
        <v>0</v>
      </c>
      <c r="G10">
        <f>KGI設定!$B$6/12</f>
        <v>0</v>
      </c>
    </row>
    <row r="11" spans="1:7" ht="28.15" customHeight="1">
      <c r="A11">
        <v>10</v>
      </c>
      <c r="B11">
        <f>KGI設定!$B$16/12</f>
        <v>0</v>
      </c>
      <c r="C11">
        <f>KGI設定!$B$14/12</f>
        <v>0</v>
      </c>
      <c r="D11">
        <f>KGI設定!$B$12/12</f>
        <v>0</v>
      </c>
      <c r="E11">
        <f>KGI設定!$B$10/12</f>
        <v>0</v>
      </c>
      <c r="F11">
        <f>KGI設定!$B$8/12</f>
        <v>0</v>
      </c>
      <c r="G11">
        <f>KGI設定!$B$6/12</f>
        <v>0</v>
      </c>
    </row>
    <row r="12" spans="1:7" ht="28.15" customHeight="1">
      <c r="A12">
        <v>11</v>
      </c>
      <c r="B12">
        <f>KGI設定!$B$16/12</f>
        <v>0</v>
      </c>
      <c r="C12">
        <f>KGI設定!$B$14/12</f>
        <v>0</v>
      </c>
      <c r="D12">
        <f>KGI設定!$B$12/12</f>
        <v>0</v>
      </c>
      <c r="E12">
        <f>KGI設定!$B$10/12</f>
        <v>0</v>
      </c>
      <c r="F12">
        <f>KGI設定!$B$8/12</f>
        <v>0</v>
      </c>
      <c r="G12">
        <f>KGI設定!$B$6/12</f>
        <v>0</v>
      </c>
    </row>
    <row r="13" spans="1:7" ht="28.15" customHeight="1">
      <c r="A13">
        <v>12</v>
      </c>
      <c r="B13">
        <f>KGI設定!$B$16/12</f>
        <v>0</v>
      </c>
      <c r="C13">
        <f>KGI設定!$B$14/12</f>
        <v>0</v>
      </c>
      <c r="D13">
        <f>KGI設定!$B$12/12</f>
        <v>0</v>
      </c>
      <c r="E13">
        <f>KGI設定!$B$10/12</f>
        <v>0</v>
      </c>
      <c r="F13">
        <f>KGI設定!$B$8/12</f>
        <v>0</v>
      </c>
      <c r="G13">
        <f>KGI設定!$B$6/12</f>
        <v>0</v>
      </c>
    </row>
    <row r="14" spans="1:7" ht="28.15" customHeight="1">
      <c r="A14">
        <v>1</v>
      </c>
      <c r="B14">
        <f>KGI設定!$B$16/12</f>
        <v>0</v>
      </c>
      <c r="C14">
        <f>KGI設定!$B$14/12</f>
        <v>0</v>
      </c>
      <c r="D14">
        <f>KGI設定!$B$12/12</f>
        <v>0</v>
      </c>
      <c r="E14">
        <f>KGI設定!$B$10/12</f>
        <v>0</v>
      </c>
      <c r="F14">
        <f>KGI設定!$B$8/12</f>
        <v>0</v>
      </c>
      <c r="G14">
        <f>KGI設定!$B$6/12</f>
        <v>0</v>
      </c>
    </row>
    <row r="15" spans="1:7" ht="28.15" customHeight="1">
      <c r="A15" s="5">
        <v>2</v>
      </c>
      <c r="B15" s="5">
        <f>KGI設定!$B$16/12</f>
        <v>0</v>
      </c>
      <c r="C15" s="5">
        <f>KGI設定!$B$14/12</f>
        <v>0</v>
      </c>
      <c r="D15" s="5">
        <f>KGI設定!$B$12/12</f>
        <v>0</v>
      </c>
      <c r="E15" s="5">
        <f>KGI設定!$B$10/12</f>
        <v>0</v>
      </c>
      <c r="F15" s="5">
        <f>KGI設定!$B$8/12</f>
        <v>0</v>
      </c>
      <c r="G15" s="5">
        <f>KGI設定!$B$6/12</f>
        <v>0</v>
      </c>
    </row>
    <row r="16" spans="1:7" ht="37.9" customHeight="1">
      <c r="A16" t="s">
        <v>438</v>
      </c>
      <c r="B16">
        <f t="shared" ref="B16:G16" si="0">SUM(B4:B15)</f>
        <v>0</v>
      </c>
      <c r="C16">
        <f t="shared" si="0"/>
        <v>0</v>
      </c>
      <c r="D16">
        <f t="shared" si="0"/>
        <v>0</v>
      </c>
      <c r="E16">
        <f t="shared" si="0"/>
        <v>0</v>
      </c>
      <c r="F16">
        <f t="shared" si="0"/>
        <v>0</v>
      </c>
      <c r="G16">
        <f t="shared" si="0"/>
        <v>0</v>
      </c>
    </row>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B8EB2-24E1-4B29-B714-6F1F79F0EF8A}">
  <sheetPr>
    <tabColor theme="1" tint="0.499984740745262"/>
  </sheetPr>
  <dimension ref="A1:Q40"/>
  <sheetViews>
    <sheetView workbookViewId="0">
      <selection activeCell="I4" sqref="I4"/>
    </sheetView>
  </sheetViews>
  <sheetFormatPr defaultRowHeight="18"/>
  <cols>
    <col min="1" max="2" width="8" customWidth="1"/>
    <col min="3" max="6" width="11.75" customWidth="1"/>
    <col min="7" max="7" width="13.25" customWidth="1"/>
    <col min="8" max="8" width="11.75" customWidth="1"/>
    <col min="9" max="9" width="13.75" customWidth="1"/>
    <col min="10" max="17" width="11.75" customWidth="1"/>
  </cols>
  <sheetData>
    <row r="1" spans="1:17" ht="22.5">
      <c r="A1" s="7" t="s">
        <v>439</v>
      </c>
      <c r="C1" s="8" t="s">
        <v>440</v>
      </c>
    </row>
    <row r="3" spans="1:17">
      <c r="A3" t="s">
        <v>441</v>
      </c>
      <c r="B3" t="s">
        <v>213</v>
      </c>
      <c r="C3" t="s">
        <v>442</v>
      </c>
      <c r="D3" t="s">
        <v>443</v>
      </c>
      <c r="E3" t="s">
        <v>444</v>
      </c>
      <c r="F3" t="s">
        <v>445</v>
      </c>
      <c r="G3" t="s">
        <v>446</v>
      </c>
      <c r="H3" t="s">
        <v>447</v>
      </c>
      <c r="I3" t="s">
        <v>448</v>
      </c>
      <c r="J3" t="s">
        <v>96</v>
      </c>
      <c r="K3" t="s">
        <v>95</v>
      </c>
      <c r="L3" t="s">
        <v>94</v>
      </c>
      <c r="M3" t="s">
        <v>12</v>
      </c>
      <c r="N3" t="s">
        <v>449</v>
      </c>
      <c r="O3" t="s">
        <v>450</v>
      </c>
      <c r="P3" t="s">
        <v>451</v>
      </c>
      <c r="Q3" t="s">
        <v>452</v>
      </c>
    </row>
    <row r="4" spans="1:17">
      <c r="A4" s="36">
        <v>46113</v>
      </c>
      <c r="B4">
        <v>4</v>
      </c>
      <c r="C4" t="s">
        <v>453</v>
      </c>
      <c r="D4" t="s">
        <v>454</v>
      </c>
      <c r="E4">
        <v>1</v>
      </c>
      <c r="N4">
        <f>IFERROR(M4*KGI設定!$B$7,0)</f>
        <v>0</v>
      </c>
    </row>
    <row r="5" spans="1:17">
      <c r="A5" s="36"/>
    </row>
    <row r="6" spans="1:17">
      <c r="A6" s="36"/>
    </row>
    <row r="7" spans="1:17">
      <c r="A7" s="36"/>
    </row>
    <row r="8" spans="1:17">
      <c r="A8" s="36"/>
    </row>
    <row r="9" spans="1:17">
      <c r="A9" s="36"/>
    </row>
    <row r="10" spans="1:17">
      <c r="A10" s="36"/>
    </row>
    <row r="11" spans="1:17">
      <c r="A11" s="36"/>
    </row>
    <row r="12" spans="1:17">
      <c r="A12" s="36"/>
    </row>
    <row r="13" spans="1:17">
      <c r="A13" s="36"/>
    </row>
    <row r="14" spans="1:17">
      <c r="A14" s="36"/>
    </row>
    <row r="15" spans="1:17">
      <c r="A15" s="36"/>
    </row>
    <row r="16" spans="1:17">
      <c r="A16" s="36"/>
    </row>
    <row r="17" spans="1:1">
      <c r="A17" s="36"/>
    </row>
    <row r="18" spans="1:1">
      <c r="A18" s="36"/>
    </row>
    <row r="19" spans="1:1">
      <c r="A19" s="36"/>
    </row>
    <row r="20" spans="1:1">
      <c r="A20" s="36"/>
    </row>
    <row r="21" spans="1:1">
      <c r="A21" s="36"/>
    </row>
    <row r="22" spans="1:1">
      <c r="A22" s="36"/>
    </row>
    <row r="23" spans="1:1">
      <c r="A23" s="36"/>
    </row>
    <row r="24" spans="1:1">
      <c r="A24" s="36"/>
    </row>
    <row r="25" spans="1:1">
      <c r="A25" s="36"/>
    </row>
    <row r="26" spans="1:1">
      <c r="A26" s="36"/>
    </row>
    <row r="27" spans="1:1">
      <c r="A27" s="36"/>
    </row>
    <row r="28" spans="1:1">
      <c r="A28" s="36"/>
    </row>
    <row r="29" spans="1:1">
      <c r="A29" s="36"/>
    </row>
    <row r="30" spans="1:1">
      <c r="A30" s="36"/>
    </row>
    <row r="31" spans="1:1">
      <c r="A31" s="36"/>
    </row>
    <row r="32" spans="1:1">
      <c r="A32" s="36"/>
    </row>
    <row r="33" spans="1:1">
      <c r="A33" s="36"/>
    </row>
    <row r="34" spans="1:1">
      <c r="A34" s="36"/>
    </row>
    <row r="35" spans="1:1">
      <c r="A35" s="36"/>
    </row>
    <row r="36" spans="1:1">
      <c r="A36" s="36"/>
    </row>
    <row r="37" spans="1:1">
      <c r="A37" s="36"/>
    </row>
    <row r="38" spans="1:1">
      <c r="A38" s="36"/>
    </row>
    <row r="39" spans="1:1">
      <c r="A39" s="36"/>
    </row>
    <row r="40" spans="1:1">
      <c r="A40" s="36"/>
    </row>
  </sheetData>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52497-9B55-4B3E-89A6-78AFBB3F7B07}">
  <sheetPr>
    <tabColor theme="1" tint="0.499984740745262"/>
  </sheetPr>
  <dimension ref="A1:G16"/>
  <sheetViews>
    <sheetView workbookViewId="0">
      <selection activeCell="B4" sqref="B4"/>
    </sheetView>
  </sheetViews>
  <sheetFormatPr defaultRowHeight="18"/>
  <cols>
    <col min="1" max="1" width="5.75" customWidth="1"/>
  </cols>
  <sheetData>
    <row r="1" spans="1:7" ht="22.5">
      <c r="A1" s="7" t="s">
        <v>455</v>
      </c>
    </row>
    <row r="3" spans="1:7" ht="24">
      <c r="A3" s="4" t="s">
        <v>456</v>
      </c>
      <c r="B3" s="37" t="s">
        <v>448</v>
      </c>
      <c r="C3" t="s">
        <v>96</v>
      </c>
      <c r="D3" t="s">
        <v>95</v>
      </c>
      <c r="E3" t="s">
        <v>94</v>
      </c>
      <c r="F3" t="s">
        <v>12</v>
      </c>
      <c r="G3" t="s">
        <v>449</v>
      </c>
    </row>
    <row r="4" spans="1:7">
      <c r="A4">
        <v>3</v>
      </c>
      <c r="B4">
        <f>SUMIFS(施策入力!$F:$F,施策入力!$A:$A,$A4)</f>
        <v>0</v>
      </c>
      <c r="C4">
        <f>SUMIFS(施策入力!$J:$J,施策入力!$B:$B,$A4,施策入力!$P:$P,"計画")</f>
        <v>0</v>
      </c>
      <c r="D4">
        <f>SUMIFS(施策入力!$K:$K,施策入力!$B:$B,$A4,施策入力!$P:$P,"計画")</f>
        <v>0</v>
      </c>
      <c r="E4">
        <f>SUMIFS(施策入力!$L:$L,施策入力!$B:$B,$A4,施策入力!$P:$P,"計画")</f>
        <v>0</v>
      </c>
      <c r="F4">
        <f>SUMIFS(施策入力!$M:$M,施策入力!$B:$B,$A4,施策入力!$P:$P,"計画")</f>
        <v>0</v>
      </c>
      <c r="G4">
        <f>SUMIFS(施策入力!$N:$N,施策入力!$B:$B,$A4,施策入力!$P:$P,"計画")</f>
        <v>0</v>
      </c>
    </row>
    <row r="5" spans="1:7">
      <c r="A5">
        <v>4</v>
      </c>
      <c r="B5">
        <f>SUMIFS(施策入力!$F:$F,施策入力!$A:$A,$A5)</f>
        <v>0</v>
      </c>
      <c r="C5">
        <f>SUMIFS(施策入力!$J:$J,施策入力!$B:$B,$A5,施策入力!$P:$P,"計画")</f>
        <v>0</v>
      </c>
      <c r="D5">
        <f>SUMIFS(施策入力!$K:$K,施策入力!$B:$B,$A5,施策入力!$P:$P,"計画")</f>
        <v>0</v>
      </c>
      <c r="E5">
        <f>SUMIFS(施策入力!$L:$L,施策入力!$B:$B,$A5,施策入力!$P:$P,"計画")</f>
        <v>0</v>
      </c>
      <c r="F5">
        <f>SUMIFS(施策入力!$M:$M,施策入力!$B:$B,$A5,施策入力!$P:$P,"計画")</f>
        <v>0</v>
      </c>
      <c r="G5">
        <f>SUMIFS(施策入力!$N:$N,施策入力!$B:$B,$A5,施策入力!$P:$P,"計画")</f>
        <v>0</v>
      </c>
    </row>
    <row r="6" spans="1:7">
      <c r="A6">
        <v>5</v>
      </c>
      <c r="B6">
        <f>SUMIFS(施策入力!$F:$F,施策入力!$A:$A,$A6)</f>
        <v>0</v>
      </c>
      <c r="C6">
        <f>SUMIFS(施策入力!$J:$J,施策入力!$B:$B,$A6,施策入力!$P:$P,"計画")</f>
        <v>0</v>
      </c>
      <c r="D6">
        <f>SUMIFS(施策入力!$K:$K,施策入力!$B:$B,$A6,施策入力!$P:$P,"計画")</f>
        <v>0</v>
      </c>
      <c r="E6">
        <f>SUMIFS(施策入力!$L:$L,施策入力!$B:$B,$A6,施策入力!$P:$P,"計画")</f>
        <v>0</v>
      </c>
      <c r="F6">
        <f>SUMIFS(施策入力!$M:$M,施策入力!$B:$B,$A6,施策入力!$P:$P,"計画")</f>
        <v>0</v>
      </c>
      <c r="G6">
        <f>SUMIFS(施策入力!$N:$N,施策入力!$B:$B,$A6,施策入力!$P:$P,"計画")</f>
        <v>0</v>
      </c>
    </row>
    <row r="7" spans="1:7">
      <c r="A7">
        <v>6</v>
      </c>
      <c r="B7">
        <f>SUMIFS(施策入力!$F:$F,施策入力!$A:$A,$A7)</f>
        <v>0</v>
      </c>
      <c r="C7">
        <f>SUMIFS(施策入力!$J:$J,施策入力!$B:$B,$A7,施策入力!$P:$P,"計画")</f>
        <v>0</v>
      </c>
      <c r="D7">
        <f>SUMIFS(施策入力!$K:$K,施策入力!$B:$B,$A7,施策入力!$P:$P,"計画")</f>
        <v>0</v>
      </c>
      <c r="E7">
        <f>SUMIFS(施策入力!$L:$L,施策入力!$B:$B,$A7,施策入力!$P:$P,"計画")</f>
        <v>0</v>
      </c>
      <c r="F7">
        <f>SUMIFS(施策入力!$M:$M,施策入力!$B:$B,$A7,施策入力!$P:$P,"計画")</f>
        <v>0</v>
      </c>
      <c r="G7">
        <f>SUMIFS(施策入力!$N:$N,施策入力!$B:$B,$A7,施策入力!$P:$P,"計画")</f>
        <v>0</v>
      </c>
    </row>
    <row r="8" spans="1:7">
      <c r="A8">
        <v>7</v>
      </c>
      <c r="B8">
        <f>SUMIFS(施策入力!$F:$F,施策入力!$A:$A,$A8)</f>
        <v>0</v>
      </c>
      <c r="C8">
        <f>SUMIFS(施策入力!$J:$J,施策入力!$B:$B,$A8,施策入力!$P:$P,"計画")</f>
        <v>0</v>
      </c>
      <c r="D8">
        <f>SUMIFS(施策入力!$K:$K,施策入力!$B:$B,$A8,施策入力!$P:$P,"計画")</f>
        <v>0</v>
      </c>
      <c r="E8">
        <f>SUMIFS(施策入力!$L:$L,施策入力!$B:$B,$A8,施策入力!$P:$P,"計画")</f>
        <v>0</v>
      </c>
      <c r="F8">
        <f>SUMIFS(施策入力!$M:$M,施策入力!$B:$B,$A8,施策入力!$P:$P,"計画")</f>
        <v>0</v>
      </c>
      <c r="G8">
        <f>SUMIFS(施策入力!$N:$N,施策入力!$B:$B,$A8,施策入力!$P:$P,"計画")</f>
        <v>0</v>
      </c>
    </row>
    <row r="9" spans="1:7">
      <c r="A9">
        <v>8</v>
      </c>
      <c r="B9">
        <f>SUMIFS(施策入力!$F:$F,施策入力!$A:$A,$A9)</f>
        <v>0</v>
      </c>
      <c r="C9">
        <f>SUMIFS(施策入力!$J:$J,施策入力!$B:$B,$A9,施策入力!$P:$P,"計画")</f>
        <v>0</v>
      </c>
      <c r="D9">
        <f>SUMIFS(施策入力!$K:$K,施策入力!$B:$B,$A9,施策入力!$P:$P,"計画")</f>
        <v>0</v>
      </c>
      <c r="E9">
        <f>SUMIFS(施策入力!$L:$L,施策入力!$B:$B,$A9,施策入力!$P:$P,"計画")</f>
        <v>0</v>
      </c>
      <c r="F9">
        <f>SUMIFS(施策入力!$M:$M,施策入力!$B:$B,$A9,施策入力!$P:$P,"計画")</f>
        <v>0</v>
      </c>
      <c r="G9">
        <f>SUMIFS(施策入力!$N:$N,施策入力!$B:$B,$A9,施策入力!$P:$P,"計画")</f>
        <v>0</v>
      </c>
    </row>
    <row r="10" spans="1:7">
      <c r="A10">
        <v>9</v>
      </c>
      <c r="B10">
        <f>SUMIFS(施策入力!$F:$F,施策入力!$A:$A,$A10)</f>
        <v>0</v>
      </c>
      <c r="C10">
        <f>SUMIFS(施策入力!$J:$J,施策入力!$B:$B,$A10,施策入力!$P:$P,"計画")</f>
        <v>0</v>
      </c>
      <c r="D10">
        <f>SUMIFS(施策入力!$K:$K,施策入力!$B:$B,$A10,施策入力!$P:$P,"計画")</f>
        <v>0</v>
      </c>
      <c r="E10">
        <f>SUMIFS(施策入力!$L:$L,施策入力!$B:$B,$A10,施策入力!$P:$P,"計画")</f>
        <v>0</v>
      </c>
      <c r="F10">
        <f>SUMIFS(施策入力!$M:$M,施策入力!$B:$B,$A10,施策入力!$P:$P,"計画")</f>
        <v>0</v>
      </c>
      <c r="G10">
        <f>SUMIFS(施策入力!$N:$N,施策入力!$B:$B,$A10,施策入力!$P:$P,"計画")</f>
        <v>0</v>
      </c>
    </row>
    <row r="11" spans="1:7">
      <c r="A11">
        <v>10</v>
      </c>
      <c r="B11">
        <f>SUMIFS(施策入力!$F:$F,施策入力!$A:$A,$A11)</f>
        <v>0</v>
      </c>
      <c r="C11">
        <f>SUMIFS(施策入力!$J:$J,施策入力!$B:$B,$A11,施策入力!$P:$P,"計画")</f>
        <v>0</v>
      </c>
      <c r="D11">
        <f>SUMIFS(施策入力!$K:$K,施策入力!$B:$B,$A11,施策入力!$P:$P,"計画")</f>
        <v>0</v>
      </c>
      <c r="E11">
        <f>SUMIFS(施策入力!$L:$L,施策入力!$B:$B,$A11,施策入力!$P:$P,"計画")</f>
        <v>0</v>
      </c>
      <c r="F11">
        <f>SUMIFS(施策入力!$M:$M,施策入力!$B:$B,$A11,施策入力!$P:$P,"計画")</f>
        <v>0</v>
      </c>
      <c r="G11">
        <f>SUMIFS(施策入力!$N:$N,施策入力!$B:$B,$A11,施策入力!$P:$P,"計画")</f>
        <v>0</v>
      </c>
    </row>
    <row r="12" spans="1:7">
      <c r="A12">
        <v>11</v>
      </c>
      <c r="B12">
        <f>SUMIFS(施策入力!$F:$F,施策入力!$A:$A,$A12)</f>
        <v>0</v>
      </c>
      <c r="C12">
        <f>SUMIFS(施策入力!$J:$J,施策入力!$B:$B,$A12,施策入力!$P:$P,"計画")</f>
        <v>0</v>
      </c>
      <c r="D12">
        <f>SUMIFS(施策入力!$K:$K,施策入力!$B:$B,$A12,施策入力!$P:$P,"計画")</f>
        <v>0</v>
      </c>
      <c r="E12">
        <f>SUMIFS(施策入力!$L:$L,施策入力!$B:$B,$A12,施策入力!$P:$P,"計画")</f>
        <v>0</v>
      </c>
      <c r="F12">
        <f>SUMIFS(施策入力!$M:$M,施策入力!$B:$B,$A12,施策入力!$P:$P,"計画")</f>
        <v>0</v>
      </c>
      <c r="G12">
        <f>SUMIFS(施策入力!$N:$N,施策入力!$B:$B,$A12,施策入力!$P:$P,"計画")</f>
        <v>0</v>
      </c>
    </row>
    <row r="13" spans="1:7">
      <c r="A13">
        <v>12</v>
      </c>
      <c r="B13">
        <f>SUMIFS(施策入力!$F:$F,施策入力!$A:$A,$A13)</f>
        <v>0</v>
      </c>
      <c r="C13">
        <f>SUMIFS(施策入力!$J:$J,施策入力!$B:$B,$A13,施策入力!$P:$P,"計画")</f>
        <v>0</v>
      </c>
      <c r="D13">
        <f>SUMIFS(施策入力!$K:$K,施策入力!$B:$B,$A13,施策入力!$P:$P,"計画")</f>
        <v>0</v>
      </c>
      <c r="E13">
        <f>SUMIFS(施策入力!$L:$L,施策入力!$B:$B,$A13,施策入力!$P:$P,"計画")</f>
        <v>0</v>
      </c>
      <c r="F13">
        <f>SUMIFS(施策入力!$M:$M,施策入力!$B:$B,$A13,施策入力!$P:$P,"計画")</f>
        <v>0</v>
      </c>
      <c r="G13">
        <f>SUMIFS(施策入力!$N:$N,施策入力!$B:$B,$A13,施策入力!$P:$P,"計画")</f>
        <v>0</v>
      </c>
    </row>
    <row r="14" spans="1:7">
      <c r="A14">
        <v>1</v>
      </c>
      <c r="B14">
        <f>SUMIFS(施策入力!$F:$F,施策入力!$A:$A,$A14)</f>
        <v>0</v>
      </c>
      <c r="C14">
        <f>SUMIFS(施策入力!$J:$J,施策入力!$B:$B,$A14,施策入力!$P:$P,"計画")</f>
        <v>0</v>
      </c>
      <c r="D14">
        <f>SUMIFS(施策入力!$K:$K,施策入力!$B:$B,$A14,施策入力!$P:$P,"計画")</f>
        <v>0</v>
      </c>
      <c r="E14">
        <f>SUMIFS(施策入力!$L:$L,施策入力!$B:$B,$A14,施策入力!$P:$P,"計画")</f>
        <v>0</v>
      </c>
      <c r="F14">
        <f>SUMIFS(施策入力!$M:$M,施策入力!$B:$B,$A14,施策入力!$P:$P,"計画")</f>
        <v>0</v>
      </c>
      <c r="G14">
        <f>SUMIFS(施策入力!$N:$N,施策入力!$B:$B,$A14,施策入力!$P:$P,"計画")</f>
        <v>0</v>
      </c>
    </row>
    <row r="15" spans="1:7">
      <c r="A15" s="5">
        <v>2</v>
      </c>
      <c r="B15" s="5">
        <f>SUMIFS(施策入力!$F:$F,施策入力!$A:$A,$A15)</f>
        <v>0</v>
      </c>
      <c r="C15" s="5">
        <f>SUMIFS(施策入力!$J:$J,施策入力!$B:$B,$A15,施策入力!$P:$P,"計画")</f>
        <v>0</v>
      </c>
      <c r="D15" s="5">
        <f>SUMIFS(施策入力!$K:$K,施策入力!$B:$B,$A15,施策入力!$P:$P,"計画")</f>
        <v>0</v>
      </c>
      <c r="E15" s="5">
        <f>SUMIFS(施策入力!$L:$L,施策入力!$B:$B,$A15,施策入力!$P:$P,"計画")</f>
        <v>0</v>
      </c>
      <c r="F15" s="5">
        <f>SUMIFS(施策入力!$M:$M,施策入力!$B:$B,$A15,施策入力!$P:$P,"計画")</f>
        <v>0</v>
      </c>
      <c r="G15" s="5">
        <f>SUMIFS(施策入力!$N:$N,施策入力!$B:$B,$A15,施策入力!$P:$P,"計画")</f>
        <v>0</v>
      </c>
    </row>
    <row r="16" spans="1:7">
      <c r="A16" t="s">
        <v>457</v>
      </c>
      <c r="B16">
        <f>SUM(B4:B15)</f>
        <v>0</v>
      </c>
      <c r="C16">
        <f t="shared" ref="C16:G16" si="0">SUM(C4:C15)</f>
        <v>0</v>
      </c>
      <c r="D16">
        <f t="shared" si="0"/>
        <v>0</v>
      </c>
      <c r="E16">
        <f t="shared" si="0"/>
        <v>0</v>
      </c>
      <c r="F16">
        <f t="shared" si="0"/>
        <v>0</v>
      </c>
      <c r="G16">
        <f t="shared" si="0"/>
        <v>0</v>
      </c>
    </row>
  </sheetData>
  <phoneticPr fontId="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EAFA7-C5DF-4620-9A21-7333C4CDF60E}">
  <sheetPr>
    <tabColor theme="1" tint="0.499984740745262"/>
  </sheetPr>
  <dimension ref="A1:G20"/>
  <sheetViews>
    <sheetView workbookViewId="0">
      <selection activeCell="C9" sqref="C9"/>
    </sheetView>
  </sheetViews>
  <sheetFormatPr defaultRowHeight="18"/>
  <cols>
    <col min="1" max="7" width="22.25" customWidth="1"/>
  </cols>
  <sheetData>
    <row r="1" spans="1:7" ht="22.5">
      <c r="A1" s="7" t="s">
        <v>458</v>
      </c>
    </row>
    <row r="3" spans="1:7">
      <c r="A3" t="s">
        <v>459</v>
      </c>
      <c r="B3" s="39">
        <f>KGI設定!B6</f>
        <v>0</v>
      </c>
      <c r="C3" t="s">
        <v>460</v>
      </c>
      <c r="D3" s="39">
        <f>KGI設定!B14</f>
        <v>0</v>
      </c>
      <c r="E3" t="s">
        <v>461</v>
      </c>
      <c r="F3" s="39">
        <f>KGI設定!B10</f>
        <v>0</v>
      </c>
    </row>
    <row r="4" spans="1:7">
      <c r="A4" t="s">
        <v>449</v>
      </c>
      <c r="B4" s="39">
        <f>施策集計!G16</f>
        <v>0</v>
      </c>
      <c r="C4" t="s">
        <v>462</v>
      </c>
      <c r="D4" s="39">
        <f>施策集計!C16</f>
        <v>0</v>
      </c>
      <c r="E4" t="s">
        <v>463</v>
      </c>
      <c r="F4" s="39">
        <f>施策集計!E16</f>
        <v>0</v>
      </c>
    </row>
    <row r="5" spans="1:7">
      <c r="A5" t="s">
        <v>464</v>
      </c>
      <c r="B5" s="39">
        <f>B4-B3</f>
        <v>0</v>
      </c>
      <c r="C5" t="s">
        <v>465</v>
      </c>
      <c r="D5" s="39">
        <f>D4-D3</f>
        <v>0</v>
      </c>
      <c r="E5" t="s">
        <v>466</v>
      </c>
      <c r="F5" s="39">
        <f>F4-F3</f>
        <v>0</v>
      </c>
    </row>
    <row r="8" spans="1:7">
      <c r="A8" t="s">
        <v>213</v>
      </c>
      <c r="B8" t="s">
        <v>467</v>
      </c>
      <c r="C8" t="s">
        <v>468</v>
      </c>
      <c r="D8" t="s">
        <v>469</v>
      </c>
      <c r="E8" t="s">
        <v>470</v>
      </c>
      <c r="F8" t="s">
        <v>471</v>
      </c>
      <c r="G8" t="s">
        <v>472</v>
      </c>
    </row>
    <row r="9" spans="1:7">
      <c r="A9">
        <v>3</v>
      </c>
      <c r="B9" s="38">
        <f>ファネル計画!B4</f>
        <v>0</v>
      </c>
      <c r="C9" s="38">
        <f>施策集計!B4</f>
        <v>0</v>
      </c>
      <c r="D9" s="38">
        <f>ファネル計画!C4</f>
        <v>0</v>
      </c>
      <c r="E9" s="38">
        <f>施策集計!C4</f>
        <v>0</v>
      </c>
      <c r="F9" s="38">
        <f>ファネル計画!E4</f>
        <v>0</v>
      </c>
      <c r="G9" s="38">
        <f>施策集計!E4</f>
        <v>0</v>
      </c>
    </row>
    <row r="10" spans="1:7">
      <c r="A10">
        <v>4</v>
      </c>
      <c r="B10" s="38">
        <f>ファネル計画!B5</f>
        <v>0</v>
      </c>
      <c r="C10" s="38">
        <f>施策集計!B5</f>
        <v>0</v>
      </c>
      <c r="D10" s="38">
        <f>ファネル計画!C5</f>
        <v>0</v>
      </c>
      <c r="E10" s="38">
        <f>施策集計!C5</f>
        <v>0</v>
      </c>
      <c r="F10" s="38">
        <f>ファネル計画!E5</f>
        <v>0</v>
      </c>
      <c r="G10" s="38">
        <f>施策集計!E5</f>
        <v>0</v>
      </c>
    </row>
    <row r="11" spans="1:7">
      <c r="A11">
        <v>5</v>
      </c>
      <c r="B11" s="38">
        <f>ファネル計画!B6</f>
        <v>0</v>
      </c>
      <c r="C11" s="38">
        <f>施策集計!B6</f>
        <v>0</v>
      </c>
      <c r="D11" s="38">
        <f>ファネル計画!C6</f>
        <v>0</v>
      </c>
      <c r="E11" s="38">
        <f>施策集計!C6</f>
        <v>0</v>
      </c>
      <c r="F11" s="38">
        <f>ファネル計画!E6</f>
        <v>0</v>
      </c>
      <c r="G11" s="38">
        <f>施策集計!E6</f>
        <v>0</v>
      </c>
    </row>
    <row r="12" spans="1:7">
      <c r="A12">
        <v>6</v>
      </c>
      <c r="B12" s="38">
        <f>ファネル計画!B7</f>
        <v>0</v>
      </c>
      <c r="C12" s="38">
        <f>施策集計!B7</f>
        <v>0</v>
      </c>
      <c r="D12" s="38">
        <f>ファネル計画!C7</f>
        <v>0</v>
      </c>
      <c r="E12" s="38">
        <f>施策集計!C7</f>
        <v>0</v>
      </c>
      <c r="F12" s="38">
        <f>ファネル計画!E7</f>
        <v>0</v>
      </c>
      <c r="G12" s="38">
        <f>施策集計!E7</f>
        <v>0</v>
      </c>
    </row>
    <row r="13" spans="1:7">
      <c r="A13">
        <v>7</v>
      </c>
      <c r="B13" s="38">
        <f>ファネル計画!B8</f>
        <v>0</v>
      </c>
      <c r="C13" s="38">
        <f>施策集計!B8</f>
        <v>0</v>
      </c>
      <c r="D13" s="38">
        <f>ファネル計画!C8</f>
        <v>0</v>
      </c>
      <c r="E13" s="38">
        <f>施策集計!C8</f>
        <v>0</v>
      </c>
      <c r="F13" s="38">
        <f>ファネル計画!E8</f>
        <v>0</v>
      </c>
      <c r="G13" s="38">
        <f>施策集計!E8</f>
        <v>0</v>
      </c>
    </row>
    <row r="14" spans="1:7">
      <c r="A14">
        <v>8</v>
      </c>
      <c r="B14" s="38">
        <f>ファネル計画!B9</f>
        <v>0</v>
      </c>
      <c r="C14" s="38">
        <f>施策集計!B9</f>
        <v>0</v>
      </c>
      <c r="D14" s="38">
        <f>ファネル計画!C9</f>
        <v>0</v>
      </c>
      <c r="E14" s="38">
        <f>施策集計!C9</f>
        <v>0</v>
      </c>
      <c r="F14" s="38">
        <f>ファネル計画!E9</f>
        <v>0</v>
      </c>
      <c r="G14" s="38">
        <f>施策集計!E9</f>
        <v>0</v>
      </c>
    </row>
    <row r="15" spans="1:7">
      <c r="A15">
        <v>9</v>
      </c>
      <c r="B15" s="38">
        <f>ファネル計画!B10</f>
        <v>0</v>
      </c>
      <c r="C15" s="38">
        <f>施策集計!B10</f>
        <v>0</v>
      </c>
      <c r="D15" s="38">
        <f>ファネル計画!C10</f>
        <v>0</v>
      </c>
      <c r="E15" s="38">
        <f>施策集計!C10</f>
        <v>0</v>
      </c>
      <c r="F15" s="38">
        <f>ファネル計画!E10</f>
        <v>0</v>
      </c>
      <c r="G15" s="38">
        <f>施策集計!E10</f>
        <v>0</v>
      </c>
    </row>
    <row r="16" spans="1:7">
      <c r="A16">
        <v>10</v>
      </c>
      <c r="B16" s="38">
        <f>ファネル計画!B11</f>
        <v>0</v>
      </c>
      <c r="C16" s="38">
        <f>施策集計!B11</f>
        <v>0</v>
      </c>
      <c r="D16" s="38">
        <f>ファネル計画!C11</f>
        <v>0</v>
      </c>
      <c r="E16" s="38">
        <f>施策集計!C11</f>
        <v>0</v>
      </c>
      <c r="F16" s="38">
        <f>ファネル計画!E11</f>
        <v>0</v>
      </c>
      <c r="G16" s="38">
        <f>施策集計!E11</f>
        <v>0</v>
      </c>
    </row>
    <row r="17" spans="1:7">
      <c r="A17">
        <v>11</v>
      </c>
      <c r="B17" s="38">
        <f>ファネル計画!B12</f>
        <v>0</v>
      </c>
      <c r="C17" s="38">
        <f>施策集計!B12</f>
        <v>0</v>
      </c>
      <c r="D17" s="38">
        <f>ファネル計画!C12</f>
        <v>0</v>
      </c>
      <c r="E17" s="38">
        <f>施策集計!C12</f>
        <v>0</v>
      </c>
      <c r="F17" s="38">
        <f>ファネル計画!E12</f>
        <v>0</v>
      </c>
      <c r="G17" s="38">
        <f>施策集計!E12</f>
        <v>0</v>
      </c>
    </row>
    <row r="18" spans="1:7">
      <c r="A18">
        <v>12</v>
      </c>
      <c r="B18" s="38">
        <f>ファネル計画!B13</f>
        <v>0</v>
      </c>
      <c r="C18" s="38">
        <f>施策集計!B13</f>
        <v>0</v>
      </c>
      <c r="D18" s="38">
        <f>ファネル計画!C13</f>
        <v>0</v>
      </c>
      <c r="E18" s="38">
        <f>施策集計!C13</f>
        <v>0</v>
      </c>
      <c r="F18" s="38">
        <f>ファネル計画!E13</f>
        <v>0</v>
      </c>
      <c r="G18" s="38">
        <f>施策集計!E13</f>
        <v>0</v>
      </c>
    </row>
    <row r="19" spans="1:7">
      <c r="A19">
        <v>1</v>
      </c>
      <c r="B19" s="38">
        <f>ファネル計画!B14</f>
        <v>0</v>
      </c>
      <c r="C19" s="38">
        <f>施策集計!B14</f>
        <v>0</v>
      </c>
      <c r="D19" s="38">
        <f>ファネル計画!C14</f>
        <v>0</v>
      </c>
      <c r="E19" s="38">
        <f>施策集計!C14</f>
        <v>0</v>
      </c>
      <c r="F19" s="38">
        <f>ファネル計画!E14</f>
        <v>0</v>
      </c>
      <c r="G19" s="38">
        <f>施策集計!E14</f>
        <v>0</v>
      </c>
    </row>
    <row r="20" spans="1:7">
      <c r="A20">
        <v>2</v>
      </c>
      <c r="B20" s="38">
        <f>ファネル計画!B15</f>
        <v>0</v>
      </c>
      <c r="C20" s="38">
        <f>施策集計!B15</f>
        <v>0</v>
      </c>
      <c r="D20" s="38">
        <f>ファネル計画!C15</f>
        <v>0</v>
      </c>
      <c r="E20" s="38">
        <f>施策集計!C15</f>
        <v>0</v>
      </c>
      <c r="F20" s="38">
        <f>ファネル計画!E15</f>
        <v>0</v>
      </c>
      <c r="G20" s="38">
        <f>施策集計!E15</f>
        <v>0</v>
      </c>
    </row>
  </sheetData>
  <phoneticPr fontId="1"/>
  <conditionalFormatting sqref="B5 D5 F5">
    <cfRule type="cellIs" dxfId="1" priority="1" operator="lessThan">
      <formula>0</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F7D0C-B56D-479E-B8DF-954130A97736}">
  <sheetPr>
    <tabColor theme="1" tint="0.499984740745262"/>
  </sheetPr>
  <dimension ref="A1:F100"/>
  <sheetViews>
    <sheetView workbookViewId="0">
      <selection activeCell="J86" sqref="J86"/>
    </sheetView>
  </sheetViews>
  <sheetFormatPr defaultRowHeight="18"/>
  <cols>
    <col min="1" max="1" width="48.25" bestFit="1" customWidth="1"/>
    <col min="2" max="2" width="26" bestFit="1" customWidth="1"/>
    <col min="3" max="3" width="24" bestFit="1" customWidth="1"/>
    <col min="4" max="4" width="14.5" bestFit="1" customWidth="1"/>
    <col min="5" max="5" width="12.5" bestFit="1" customWidth="1"/>
    <col min="6" max="6" width="15.75" bestFit="1" customWidth="1"/>
  </cols>
  <sheetData>
    <row r="1" spans="1:6">
      <c r="A1" t="s">
        <v>473</v>
      </c>
      <c r="B1" t="s">
        <v>474</v>
      </c>
      <c r="C1" t="s">
        <v>475</v>
      </c>
    </row>
    <row r="2" spans="1:6">
      <c r="A2" t="s">
        <v>476</v>
      </c>
      <c r="B2" t="s">
        <v>477</v>
      </c>
      <c r="C2" t="s">
        <v>477</v>
      </c>
      <c r="D2" t="s">
        <v>478</v>
      </c>
      <c r="E2" t="s">
        <v>479</v>
      </c>
      <c r="F2" t="s">
        <v>480</v>
      </c>
    </row>
    <row r="3" spans="1:6">
      <c r="A3" t="s">
        <v>481</v>
      </c>
      <c r="B3" s="114">
        <v>11</v>
      </c>
      <c r="C3" s="114">
        <v>1</v>
      </c>
      <c r="D3">
        <f t="shared" ref="D3:D34" si="0">RANK(B3,$B$3:$B$99,0)</f>
        <v>79</v>
      </c>
      <c r="E3">
        <f t="shared" ref="E3:E34" si="1">RANK(C3,$C$3:$C$99,0)</f>
        <v>9</v>
      </c>
      <c r="F3" s="115">
        <f t="shared" ref="F3:F34" si="2">D3/E3</f>
        <v>8.7777777777777786</v>
      </c>
    </row>
    <row r="4" spans="1:6" s="116" customFormat="1">
      <c r="A4" s="116" t="s">
        <v>482</v>
      </c>
      <c r="B4" s="117">
        <v>104</v>
      </c>
      <c r="C4" s="117">
        <v>10</v>
      </c>
      <c r="D4" s="116">
        <f t="shared" si="0"/>
        <v>17</v>
      </c>
      <c r="E4" s="116">
        <f t="shared" si="1"/>
        <v>2</v>
      </c>
      <c r="F4" s="118">
        <f t="shared" si="2"/>
        <v>8.5</v>
      </c>
    </row>
    <row r="5" spans="1:6">
      <c r="A5" t="s">
        <v>483</v>
      </c>
      <c r="B5" s="114">
        <v>26</v>
      </c>
      <c r="C5" s="114">
        <v>1</v>
      </c>
      <c r="D5">
        <f t="shared" si="0"/>
        <v>55</v>
      </c>
      <c r="E5">
        <f t="shared" si="1"/>
        <v>9</v>
      </c>
      <c r="F5" s="115">
        <f t="shared" si="2"/>
        <v>6.1111111111111107</v>
      </c>
    </row>
    <row r="6" spans="1:6" s="116" customFormat="1">
      <c r="A6" s="116" t="s">
        <v>484</v>
      </c>
      <c r="B6" s="117">
        <v>32</v>
      </c>
      <c r="C6" s="117">
        <v>1</v>
      </c>
      <c r="D6" s="116">
        <f t="shared" si="0"/>
        <v>51</v>
      </c>
      <c r="E6" s="116">
        <f t="shared" si="1"/>
        <v>9</v>
      </c>
      <c r="F6" s="118">
        <f t="shared" si="2"/>
        <v>5.666666666666667</v>
      </c>
    </row>
    <row r="7" spans="1:6">
      <c r="A7" t="s">
        <v>485</v>
      </c>
      <c r="B7" s="114">
        <v>57</v>
      </c>
      <c r="C7" s="114">
        <v>2</v>
      </c>
      <c r="D7">
        <f t="shared" si="0"/>
        <v>29</v>
      </c>
      <c r="E7">
        <f t="shared" si="1"/>
        <v>6</v>
      </c>
      <c r="F7" s="115">
        <f t="shared" si="2"/>
        <v>4.833333333333333</v>
      </c>
    </row>
    <row r="8" spans="1:6">
      <c r="A8" t="s">
        <v>486</v>
      </c>
      <c r="B8" s="114">
        <v>1</v>
      </c>
      <c r="C8" s="114">
        <v>0</v>
      </c>
      <c r="D8">
        <f t="shared" si="0"/>
        <v>92</v>
      </c>
      <c r="E8">
        <f t="shared" si="1"/>
        <v>20</v>
      </c>
      <c r="F8" s="115">
        <f t="shared" si="2"/>
        <v>4.5999999999999996</v>
      </c>
    </row>
    <row r="9" spans="1:6">
      <c r="A9" t="s">
        <v>487</v>
      </c>
      <c r="B9" s="114">
        <v>1</v>
      </c>
      <c r="C9" s="114">
        <v>0</v>
      </c>
      <c r="D9">
        <f t="shared" si="0"/>
        <v>92</v>
      </c>
      <c r="E9">
        <f t="shared" si="1"/>
        <v>20</v>
      </c>
      <c r="F9" s="115">
        <f t="shared" si="2"/>
        <v>4.5999999999999996</v>
      </c>
    </row>
    <row r="10" spans="1:6">
      <c r="A10" t="s">
        <v>488</v>
      </c>
      <c r="B10" s="114">
        <v>1</v>
      </c>
      <c r="C10" s="114">
        <v>0</v>
      </c>
      <c r="D10">
        <f t="shared" si="0"/>
        <v>92</v>
      </c>
      <c r="E10">
        <f t="shared" si="1"/>
        <v>20</v>
      </c>
      <c r="F10" s="115">
        <f t="shared" si="2"/>
        <v>4.5999999999999996</v>
      </c>
    </row>
    <row r="11" spans="1:6">
      <c r="A11" t="s">
        <v>489</v>
      </c>
      <c r="B11" s="114">
        <v>1</v>
      </c>
      <c r="C11" s="114">
        <v>0</v>
      </c>
      <c r="D11">
        <f t="shared" si="0"/>
        <v>92</v>
      </c>
      <c r="E11">
        <f t="shared" si="1"/>
        <v>20</v>
      </c>
      <c r="F11" s="115">
        <f t="shared" si="2"/>
        <v>4.5999999999999996</v>
      </c>
    </row>
    <row r="12" spans="1:6">
      <c r="A12" t="s">
        <v>490</v>
      </c>
      <c r="B12" s="114">
        <v>1</v>
      </c>
      <c r="C12" s="114">
        <v>0</v>
      </c>
      <c r="D12">
        <f t="shared" si="0"/>
        <v>92</v>
      </c>
      <c r="E12">
        <f t="shared" si="1"/>
        <v>20</v>
      </c>
      <c r="F12" s="115">
        <f t="shared" si="2"/>
        <v>4.5999999999999996</v>
      </c>
    </row>
    <row r="13" spans="1:6">
      <c r="A13" t="s">
        <v>491</v>
      </c>
      <c r="B13" s="114">
        <v>1</v>
      </c>
      <c r="C13" s="114">
        <v>0</v>
      </c>
      <c r="D13">
        <f t="shared" si="0"/>
        <v>92</v>
      </c>
      <c r="E13">
        <f t="shared" si="1"/>
        <v>20</v>
      </c>
      <c r="F13" s="115">
        <f t="shared" si="2"/>
        <v>4.5999999999999996</v>
      </c>
    </row>
    <row r="14" spans="1:6">
      <c r="A14" t="s">
        <v>492</v>
      </c>
      <c r="B14" s="114">
        <v>2</v>
      </c>
      <c r="C14" s="114">
        <v>0</v>
      </c>
      <c r="D14">
        <f t="shared" si="0"/>
        <v>88</v>
      </c>
      <c r="E14">
        <f t="shared" si="1"/>
        <v>20</v>
      </c>
      <c r="F14" s="115">
        <f t="shared" si="2"/>
        <v>4.4000000000000004</v>
      </c>
    </row>
    <row r="15" spans="1:6">
      <c r="A15" t="s">
        <v>493</v>
      </c>
      <c r="B15" s="114">
        <v>2</v>
      </c>
      <c r="C15" s="114">
        <v>0</v>
      </c>
      <c r="D15">
        <f t="shared" si="0"/>
        <v>88</v>
      </c>
      <c r="E15">
        <f t="shared" si="1"/>
        <v>20</v>
      </c>
      <c r="F15" s="115">
        <f t="shared" si="2"/>
        <v>4.4000000000000004</v>
      </c>
    </row>
    <row r="16" spans="1:6">
      <c r="A16" t="s">
        <v>494</v>
      </c>
      <c r="B16" s="114">
        <v>2</v>
      </c>
      <c r="C16" s="114">
        <v>0</v>
      </c>
      <c r="D16">
        <f t="shared" si="0"/>
        <v>88</v>
      </c>
      <c r="E16">
        <f t="shared" si="1"/>
        <v>20</v>
      </c>
      <c r="F16" s="115">
        <f t="shared" si="2"/>
        <v>4.4000000000000004</v>
      </c>
    </row>
    <row r="17" spans="1:6">
      <c r="A17" t="s">
        <v>495</v>
      </c>
      <c r="B17" s="114">
        <v>2</v>
      </c>
      <c r="C17" s="114">
        <v>0</v>
      </c>
      <c r="D17">
        <f t="shared" si="0"/>
        <v>88</v>
      </c>
      <c r="E17">
        <f t="shared" si="1"/>
        <v>20</v>
      </c>
      <c r="F17" s="115">
        <f t="shared" si="2"/>
        <v>4.4000000000000004</v>
      </c>
    </row>
    <row r="18" spans="1:6">
      <c r="A18" t="s">
        <v>496</v>
      </c>
      <c r="B18" s="114">
        <v>4</v>
      </c>
      <c r="C18" s="114">
        <v>0</v>
      </c>
      <c r="D18">
        <f t="shared" si="0"/>
        <v>85</v>
      </c>
      <c r="E18">
        <f t="shared" si="1"/>
        <v>20</v>
      </c>
      <c r="F18" s="115">
        <f t="shared" si="2"/>
        <v>4.25</v>
      </c>
    </row>
    <row r="19" spans="1:6">
      <c r="A19" t="s">
        <v>497</v>
      </c>
      <c r="B19" s="114">
        <v>4</v>
      </c>
      <c r="C19" s="114">
        <v>0</v>
      </c>
      <c r="D19">
        <f t="shared" si="0"/>
        <v>85</v>
      </c>
      <c r="E19">
        <f t="shared" si="1"/>
        <v>20</v>
      </c>
      <c r="F19" s="115">
        <f t="shared" si="2"/>
        <v>4.25</v>
      </c>
    </row>
    <row r="20" spans="1:6">
      <c r="A20" t="s">
        <v>498</v>
      </c>
      <c r="B20" s="114">
        <v>4</v>
      </c>
      <c r="C20" s="114">
        <v>0</v>
      </c>
      <c r="D20">
        <f t="shared" si="0"/>
        <v>85</v>
      </c>
      <c r="E20">
        <f t="shared" si="1"/>
        <v>20</v>
      </c>
      <c r="F20" s="115">
        <f t="shared" si="2"/>
        <v>4.25</v>
      </c>
    </row>
    <row r="21" spans="1:6">
      <c r="A21" t="s">
        <v>499</v>
      </c>
      <c r="B21" s="114">
        <v>5</v>
      </c>
      <c r="C21" s="114">
        <v>0</v>
      </c>
      <c r="D21">
        <f t="shared" si="0"/>
        <v>84</v>
      </c>
      <c r="E21">
        <f t="shared" si="1"/>
        <v>20</v>
      </c>
      <c r="F21" s="115">
        <f t="shared" si="2"/>
        <v>4.2</v>
      </c>
    </row>
    <row r="22" spans="1:6">
      <c r="A22" t="s">
        <v>500</v>
      </c>
      <c r="B22" s="114">
        <v>8</v>
      </c>
      <c r="C22" s="114">
        <v>0</v>
      </c>
      <c r="D22">
        <f t="shared" si="0"/>
        <v>82</v>
      </c>
      <c r="E22">
        <f t="shared" si="1"/>
        <v>20</v>
      </c>
      <c r="F22" s="115">
        <f t="shared" si="2"/>
        <v>4.0999999999999996</v>
      </c>
    </row>
    <row r="23" spans="1:6">
      <c r="A23" t="s">
        <v>501</v>
      </c>
      <c r="B23" s="114">
        <v>8</v>
      </c>
      <c r="C23" s="114">
        <v>0</v>
      </c>
      <c r="D23">
        <f t="shared" si="0"/>
        <v>82</v>
      </c>
      <c r="E23">
        <f t="shared" si="1"/>
        <v>20</v>
      </c>
      <c r="F23" s="115">
        <f t="shared" si="2"/>
        <v>4.0999999999999996</v>
      </c>
    </row>
    <row r="24" spans="1:6">
      <c r="A24" t="s">
        <v>502</v>
      </c>
      <c r="B24" s="114">
        <v>9</v>
      </c>
      <c r="C24" s="114">
        <v>0</v>
      </c>
      <c r="D24">
        <f t="shared" si="0"/>
        <v>80</v>
      </c>
      <c r="E24">
        <f t="shared" si="1"/>
        <v>20</v>
      </c>
      <c r="F24" s="115">
        <f t="shared" si="2"/>
        <v>4</v>
      </c>
    </row>
    <row r="25" spans="1:6">
      <c r="A25" t="s">
        <v>503</v>
      </c>
      <c r="B25" s="114">
        <v>9</v>
      </c>
      <c r="C25" s="114">
        <v>0</v>
      </c>
      <c r="D25">
        <f t="shared" si="0"/>
        <v>80</v>
      </c>
      <c r="E25">
        <f t="shared" si="1"/>
        <v>20</v>
      </c>
      <c r="F25" s="115">
        <f t="shared" si="2"/>
        <v>4</v>
      </c>
    </row>
    <row r="26" spans="1:6">
      <c r="A26" t="s">
        <v>504</v>
      </c>
      <c r="B26" s="114">
        <v>12</v>
      </c>
      <c r="C26" s="114">
        <v>0</v>
      </c>
      <c r="D26">
        <f t="shared" si="0"/>
        <v>77</v>
      </c>
      <c r="E26">
        <f t="shared" si="1"/>
        <v>20</v>
      </c>
      <c r="F26" s="115">
        <f t="shared" si="2"/>
        <v>3.85</v>
      </c>
    </row>
    <row r="27" spans="1:6">
      <c r="A27" t="s">
        <v>505</v>
      </c>
      <c r="B27" s="114">
        <v>12</v>
      </c>
      <c r="C27" s="114">
        <v>0</v>
      </c>
      <c r="D27">
        <f t="shared" si="0"/>
        <v>77</v>
      </c>
      <c r="E27">
        <f t="shared" si="1"/>
        <v>20</v>
      </c>
      <c r="F27" s="115">
        <f t="shared" si="2"/>
        <v>3.85</v>
      </c>
    </row>
    <row r="28" spans="1:6">
      <c r="A28" t="s">
        <v>506</v>
      </c>
      <c r="B28" s="114">
        <v>14</v>
      </c>
      <c r="C28" s="114">
        <v>0</v>
      </c>
      <c r="D28">
        <f t="shared" si="0"/>
        <v>76</v>
      </c>
      <c r="E28">
        <f t="shared" si="1"/>
        <v>20</v>
      </c>
      <c r="F28" s="115">
        <f t="shared" si="2"/>
        <v>3.8</v>
      </c>
    </row>
    <row r="29" spans="1:6">
      <c r="A29" t="s">
        <v>507</v>
      </c>
      <c r="B29" s="114">
        <v>15</v>
      </c>
      <c r="C29" s="114">
        <v>0</v>
      </c>
      <c r="D29">
        <f t="shared" si="0"/>
        <v>75</v>
      </c>
      <c r="E29">
        <f t="shared" si="1"/>
        <v>20</v>
      </c>
      <c r="F29" s="115">
        <f t="shared" si="2"/>
        <v>3.75</v>
      </c>
    </row>
    <row r="30" spans="1:6">
      <c r="A30" t="s">
        <v>508</v>
      </c>
      <c r="B30" s="114">
        <v>16</v>
      </c>
      <c r="C30" s="114">
        <v>0</v>
      </c>
      <c r="D30">
        <f t="shared" si="0"/>
        <v>65</v>
      </c>
      <c r="E30">
        <f t="shared" si="1"/>
        <v>20</v>
      </c>
      <c r="F30" s="115">
        <f t="shared" si="2"/>
        <v>3.25</v>
      </c>
    </row>
    <row r="31" spans="1:6">
      <c r="A31" t="s">
        <v>509</v>
      </c>
      <c r="B31" s="114">
        <v>16</v>
      </c>
      <c r="C31" s="114">
        <v>0</v>
      </c>
      <c r="D31">
        <f t="shared" si="0"/>
        <v>65</v>
      </c>
      <c r="E31">
        <f t="shared" si="1"/>
        <v>20</v>
      </c>
      <c r="F31" s="115">
        <f t="shared" si="2"/>
        <v>3.25</v>
      </c>
    </row>
    <row r="32" spans="1:6">
      <c r="A32" t="s">
        <v>510</v>
      </c>
      <c r="B32" s="114">
        <v>16</v>
      </c>
      <c r="C32" s="114">
        <v>0</v>
      </c>
      <c r="D32">
        <f t="shared" si="0"/>
        <v>65</v>
      </c>
      <c r="E32">
        <f t="shared" si="1"/>
        <v>20</v>
      </c>
      <c r="F32" s="115">
        <f t="shared" si="2"/>
        <v>3.25</v>
      </c>
    </row>
    <row r="33" spans="1:6">
      <c r="A33" t="s">
        <v>511</v>
      </c>
      <c r="B33" s="114">
        <v>16</v>
      </c>
      <c r="C33" s="114">
        <v>0</v>
      </c>
      <c r="D33">
        <f t="shared" si="0"/>
        <v>65</v>
      </c>
      <c r="E33">
        <f t="shared" si="1"/>
        <v>20</v>
      </c>
      <c r="F33" s="115">
        <f t="shared" si="2"/>
        <v>3.25</v>
      </c>
    </row>
    <row r="34" spans="1:6">
      <c r="A34" t="s">
        <v>512</v>
      </c>
      <c r="B34" s="114">
        <v>16</v>
      </c>
      <c r="C34" s="114">
        <v>0</v>
      </c>
      <c r="D34">
        <f t="shared" si="0"/>
        <v>65</v>
      </c>
      <c r="E34">
        <f t="shared" si="1"/>
        <v>20</v>
      </c>
      <c r="F34" s="115">
        <f t="shared" si="2"/>
        <v>3.25</v>
      </c>
    </row>
    <row r="35" spans="1:6">
      <c r="A35" t="s">
        <v>513</v>
      </c>
      <c r="B35" s="114">
        <v>16</v>
      </c>
      <c r="C35" s="114">
        <v>0</v>
      </c>
      <c r="D35">
        <f t="shared" ref="D35:D66" si="3">RANK(B35,$B$3:$B$99,0)</f>
        <v>65</v>
      </c>
      <c r="E35">
        <f t="shared" ref="E35:E66" si="4">RANK(C35,$C$3:$C$99,0)</f>
        <v>20</v>
      </c>
      <c r="F35" s="115">
        <f t="shared" ref="F35:F66" si="5">D35/E35</f>
        <v>3.25</v>
      </c>
    </row>
    <row r="36" spans="1:6">
      <c r="A36" t="s">
        <v>514</v>
      </c>
      <c r="B36" s="114">
        <v>16</v>
      </c>
      <c r="C36" s="114">
        <v>0</v>
      </c>
      <c r="D36">
        <f t="shared" si="3"/>
        <v>65</v>
      </c>
      <c r="E36">
        <f t="shared" si="4"/>
        <v>20</v>
      </c>
      <c r="F36" s="115">
        <f t="shared" si="5"/>
        <v>3.25</v>
      </c>
    </row>
    <row r="37" spans="1:6">
      <c r="A37" t="s">
        <v>515</v>
      </c>
      <c r="B37" s="114">
        <v>16</v>
      </c>
      <c r="C37" s="114">
        <v>0</v>
      </c>
      <c r="D37">
        <f t="shared" si="3"/>
        <v>65</v>
      </c>
      <c r="E37">
        <f t="shared" si="4"/>
        <v>20</v>
      </c>
      <c r="F37" s="115">
        <f t="shared" si="5"/>
        <v>3.25</v>
      </c>
    </row>
    <row r="38" spans="1:6">
      <c r="A38" t="s">
        <v>516</v>
      </c>
      <c r="B38" s="114">
        <v>16</v>
      </c>
      <c r="C38" s="114">
        <v>0</v>
      </c>
      <c r="D38">
        <f t="shared" si="3"/>
        <v>65</v>
      </c>
      <c r="E38">
        <f t="shared" si="4"/>
        <v>20</v>
      </c>
      <c r="F38" s="115">
        <f t="shared" si="5"/>
        <v>3.25</v>
      </c>
    </row>
    <row r="39" spans="1:6">
      <c r="A39" t="s">
        <v>517</v>
      </c>
      <c r="B39" s="114">
        <v>16</v>
      </c>
      <c r="C39" s="114">
        <v>0</v>
      </c>
      <c r="D39">
        <f t="shared" si="3"/>
        <v>65</v>
      </c>
      <c r="E39">
        <f t="shared" si="4"/>
        <v>20</v>
      </c>
      <c r="F39" s="115">
        <f t="shared" si="5"/>
        <v>3.25</v>
      </c>
    </row>
    <row r="40" spans="1:6">
      <c r="A40" t="s">
        <v>518</v>
      </c>
      <c r="B40" s="114">
        <v>144</v>
      </c>
      <c r="C40" s="114">
        <v>3</v>
      </c>
      <c r="D40">
        <f t="shared" si="3"/>
        <v>16</v>
      </c>
      <c r="E40">
        <f t="shared" si="4"/>
        <v>5</v>
      </c>
      <c r="F40" s="115">
        <f t="shared" si="5"/>
        <v>3.2</v>
      </c>
    </row>
    <row r="41" spans="1:6">
      <c r="A41" t="s">
        <v>519</v>
      </c>
      <c r="B41" s="114">
        <v>17</v>
      </c>
      <c r="C41" s="114">
        <v>0</v>
      </c>
      <c r="D41">
        <f t="shared" si="3"/>
        <v>64</v>
      </c>
      <c r="E41">
        <f t="shared" si="4"/>
        <v>20</v>
      </c>
      <c r="F41" s="115">
        <f t="shared" si="5"/>
        <v>3.2</v>
      </c>
    </row>
    <row r="42" spans="1:6">
      <c r="A42" t="s">
        <v>520</v>
      </c>
      <c r="B42" s="114">
        <v>86</v>
      </c>
      <c r="C42" s="114">
        <v>2</v>
      </c>
      <c r="D42">
        <f t="shared" si="3"/>
        <v>19</v>
      </c>
      <c r="E42">
        <f t="shared" si="4"/>
        <v>6</v>
      </c>
      <c r="F42" s="115">
        <f t="shared" si="5"/>
        <v>3.1666666666666665</v>
      </c>
    </row>
    <row r="43" spans="1:6">
      <c r="A43" t="s">
        <v>521</v>
      </c>
      <c r="B43" s="114">
        <v>18</v>
      </c>
      <c r="C43" s="114">
        <v>0</v>
      </c>
      <c r="D43">
        <f t="shared" si="3"/>
        <v>63</v>
      </c>
      <c r="E43">
        <f t="shared" si="4"/>
        <v>20</v>
      </c>
      <c r="F43" s="115">
        <f t="shared" si="5"/>
        <v>3.15</v>
      </c>
    </row>
    <row r="44" spans="1:6">
      <c r="A44" t="s">
        <v>522</v>
      </c>
      <c r="B44" s="114">
        <v>19</v>
      </c>
      <c r="C44" s="114">
        <v>0</v>
      </c>
      <c r="D44">
        <f t="shared" si="3"/>
        <v>61</v>
      </c>
      <c r="E44">
        <f t="shared" si="4"/>
        <v>20</v>
      </c>
      <c r="F44" s="115">
        <f t="shared" si="5"/>
        <v>3.05</v>
      </c>
    </row>
    <row r="45" spans="1:6">
      <c r="A45" t="s">
        <v>523</v>
      </c>
      <c r="B45" s="114">
        <v>19</v>
      </c>
      <c r="C45" s="114">
        <v>0</v>
      </c>
      <c r="D45">
        <f t="shared" si="3"/>
        <v>61</v>
      </c>
      <c r="E45">
        <f t="shared" si="4"/>
        <v>20</v>
      </c>
      <c r="F45" s="115">
        <f t="shared" si="5"/>
        <v>3.05</v>
      </c>
    </row>
    <row r="46" spans="1:6">
      <c r="A46" t="s">
        <v>524</v>
      </c>
      <c r="B46" s="114">
        <v>20</v>
      </c>
      <c r="C46" s="114">
        <v>0</v>
      </c>
      <c r="D46">
        <f t="shared" si="3"/>
        <v>60</v>
      </c>
      <c r="E46">
        <f t="shared" si="4"/>
        <v>20</v>
      </c>
      <c r="F46" s="115">
        <f t="shared" si="5"/>
        <v>3</v>
      </c>
    </row>
    <row r="47" spans="1:6">
      <c r="A47" t="s">
        <v>525</v>
      </c>
      <c r="B47" s="114">
        <v>21</v>
      </c>
      <c r="C47" s="114">
        <v>0</v>
      </c>
      <c r="D47">
        <f t="shared" si="3"/>
        <v>59</v>
      </c>
      <c r="E47">
        <f t="shared" si="4"/>
        <v>20</v>
      </c>
      <c r="F47" s="115">
        <f t="shared" si="5"/>
        <v>2.95</v>
      </c>
    </row>
    <row r="48" spans="1:6">
      <c r="A48" t="s">
        <v>526</v>
      </c>
      <c r="B48" s="114">
        <v>22</v>
      </c>
      <c r="C48" s="114">
        <v>0</v>
      </c>
      <c r="D48">
        <f t="shared" si="3"/>
        <v>58</v>
      </c>
      <c r="E48">
        <f t="shared" si="4"/>
        <v>20</v>
      </c>
      <c r="F48" s="115">
        <f t="shared" si="5"/>
        <v>2.9</v>
      </c>
    </row>
    <row r="49" spans="1:6">
      <c r="A49" t="s">
        <v>527</v>
      </c>
      <c r="B49" s="114">
        <v>23</v>
      </c>
      <c r="C49" s="114">
        <v>0</v>
      </c>
      <c r="D49">
        <f t="shared" si="3"/>
        <v>57</v>
      </c>
      <c r="E49">
        <f t="shared" si="4"/>
        <v>20</v>
      </c>
      <c r="F49" s="115">
        <f t="shared" si="5"/>
        <v>2.85</v>
      </c>
    </row>
    <row r="50" spans="1:6">
      <c r="A50" t="s">
        <v>528</v>
      </c>
      <c r="B50" s="114">
        <v>25</v>
      </c>
      <c r="C50" s="114">
        <v>0</v>
      </c>
      <c r="D50">
        <f t="shared" si="3"/>
        <v>56</v>
      </c>
      <c r="E50">
        <f t="shared" si="4"/>
        <v>20</v>
      </c>
      <c r="F50" s="115">
        <f t="shared" si="5"/>
        <v>2.8</v>
      </c>
    </row>
    <row r="51" spans="1:6">
      <c r="A51" t="s">
        <v>529</v>
      </c>
      <c r="B51" s="114">
        <v>27</v>
      </c>
      <c r="C51" s="114">
        <v>0</v>
      </c>
      <c r="D51">
        <f t="shared" si="3"/>
        <v>54</v>
      </c>
      <c r="E51">
        <f t="shared" si="4"/>
        <v>20</v>
      </c>
      <c r="F51" s="115">
        <f t="shared" si="5"/>
        <v>2.7</v>
      </c>
    </row>
    <row r="52" spans="1:6">
      <c r="A52" t="s">
        <v>530</v>
      </c>
      <c r="B52" s="114">
        <v>30</v>
      </c>
      <c r="C52" s="114">
        <v>0</v>
      </c>
      <c r="D52">
        <f t="shared" si="3"/>
        <v>53</v>
      </c>
      <c r="E52">
        <f t="shared" si="4"/>
        <v>20</v>
      </c>
      <c r="F52" s="115">
        <f t="shared" si="5"/>
        <v>2.65</v>
      </c>
    </row>
    <row r="53" spans="1:6">
      <c r="A53" t="s">
        <v>531</v>
      </c>
      <c r="B53" s="114">
        <v>32</v>
      </c>
      <c r="C53" s="114">
        <v>0</v>
      </c>
      <c r="D53">
        <f t="shared" si="3"/>
        <v>51</v>
      </c>
      <c r="E53">
        <f t="shared" si="4"/>
        <v>20</v>
      </c>
      <c r="F53" s="115">
        <f t="shared" si="5"/>
        <v>2.5499999999999998</v>
      </c>
    </row>
    <row r="54" spans="1:6">
      <c r="A54" t="s">
        <v>532</v>
      </c>
      <c r="B54" s="114">
        <v>33</v>
      </c>
      <c r="C54" s="114">
        <v>0</v>
      </c>
      <c r="D54">
        <f t="shared" si="3"/>
        <v>49</v>
      </c>
      <c r="E54">
        <f t="shared" si="4"/>
        <v>20</v>
      </c>
      <c r="F54" s="115">
        <f t="shared" si="5"/>
        <v>2.4500000000000002</v>
      </c>
    </row>
    <row r="55" spans="1:6">
      <c r="A55" t="s">
        <v>533</v>
      </c>
      <c r="B55" s="114">
        <v>33</v>
      </c>
      <c r="C55" s="114">
        <v>0</v>
      </c>
      <c r="D55">
        <f t="shared" si="3"/>
        <v>49</v>
      </c>
      <c r="E55">
        <f t="shared" si="4"/>
        <v>20</v>
      </c>
      <c r="F55" s="115">
        <f t="shared" si="5"/>
        <v>2.4500000000000002</v>
      </c>
    </row>
    <row r="56" spans="1:6">
      <c r="A56" t="s">
        <v>534</v>
      </c>
      <c r="B56" s="114">
        <v>80</v>
      </c>
      <c r="C56" s="114">
        <v>1</v>
      </c>
      <c r="D56">
        <f t="shared" si="3"/>
        <v>21</v>
      </c>
      <c r="E56">
        <f t="shared" si="4"/>
        <v>9</v>
      </c>
      <c r="F56" s="115">
        <f t="shared" si="5"/>
        <v>2.3333333333333335</v>
      </c>
    </row>
    <row r="57" spans="1:6">
      <c r="A57" t="s">
        <v>535</v>
      </c>
      <c r="B57" s="114">
        <v>34</v>
      </c>
      <c r="C57" s="114">
        <v>0</v>
      </c>
      <c r="D57">
        <f t="shared" si="3"/>
        <v>46</v>
      </c>
      <c r="E57">
        <f t="shared" si="4"/>
        <v>20</v>
      </c>
      <c r="F57" s="115">
        <f t="shared" si="5"/>
        <v>2.2999999999999998</v>
      </c>
    </row>
    <row r="58" spans="1:6">
      <c r="A58" t="s">
        <v>536</v>
      </c>
      <c r="B58" s="114">
        <v>34</v>
      </c>
      <c r="C58" s="114">
        <v>0</v>
      </c>
      <c r="D58">
        <f t="shared" si="3"/>
        <v>46</v>
      </c>
      <c r="E58">
        <f t="shared" si="4"/>
        <v>20</v>
      </c>
      <c r="F58" s="115">
        <f t="shared" si="5"/>
        <v>2.2999999999999998</v>
      </c>
    </row>
    <row r="59" spans="1:6">
      <c r="A59" t="s">
        <v>537</v>
      </c>
      <c r="B59" s="114">
        <v>34</v>
      </c>
      <c r="C59" s="114">
        <v>0</v>
      </c>
      <c r="D59">
        <f t="shared" si="3"/>
        <v>46</v>
      </c>
      <c r="E59">
        <f t="shared" si="4"/>
        <v>20</v>
      </c>
      <c r="F59" s="115">
        <f t="shared" si="5"/>
        <v>2.2999999999999998</v>
      </c>
    </row>
    <row r="60" spans="1:6">
      <c r="A60" t="s">
        <v>538</v>
      </c>
      <c r="B60" s="114">
        <v>35</v>
      </c>
      <c r="C60" s="114">
        <v>0</v>
      </c>
      <c r="D60">
        <f t="shared" si="3"/>
        <v>45</v>
      </c>
      <c r="E60">
        <f t="shared" si="4"/>
        <v>20</v>
      </c>
      <c r="F60" s="115">
        <f t="shared" si="5"/>
        <v>2.25</v>
      </c>
    </row>
    <row r="61" spans="1:6">
      <c r="A61" t="s">
        <v>539</v>
      </c>
      <c r="B61" s="114">
        <v>36</v>
      </c>
      <c r="C61" s="114">
        <v>0</v>
      </c>
      <c r="D61">
        <f t="shared" si="3"/>
        <v>44</v>
      </c>
      <c r="E61">
        <f t="shared" si="4"/>
        <v>20</v>
      </c>
      <c r="F61" s="115">
        <f t="shared" si="5"/>
        <v>2.2000000000000002</v>
      </c>
    </row>
    <row r="62" spans="1:6">
      <c r="A62" t="s">
        <v>540</v>
      </c>
      <c r="B62" s="114">
        <v>37</v>
      </c>
      <c r="C62" s="114">
        <v>0</v>
      </c>
      <c r="D62">
        <f t="shared" si="3"/>
        <v>43</v>
      </c>
      <c r="E62">
        <f t="shared" si="4"/>
        <v>20</v>
      </c>
      <c r="F62" s="115">
        <f t="shared" si="5"/>
        <v>2.15</v>
      </c>
    </row>
    <row r="63" spans="1:6">
      <c r="A63" t="s">
        <v>541</v>
      </c>
      <c r="B63" s="114">
        <v>38</v>
      </c>
      <c r="C63" s="114">
        <v>0</v>
      </c>
      <c r="D63">
        <f t="shared" si="3"/>
        <v>42</v>
      </c>
      <c r="E63">
        <f t="shared" si="4"/>
        <v>20</v>
      </c>
      <c r="F63" s="115">
        <f t="shared" si="5"/>
        <v>2.1</v>
      </c>
    </row>
    <row r="64" spans="1:6">
      <c r="A64" t="s">
        <v>542</v>
      </c>
      <c r="B64" s="114">
        <v>39</v>
      </c>
      <c r="C64" s="114">
        <v>0</v>
      </c>
      <c r="D64">
        <f t="shared" si="3"/>
        <v>41</v>
      </c>
      <c r="E64">
        <f t="shared" si="4"/>
        <v>20</v>
      </c>
      <c r="F64" s="115">
        <f t="shared" si="5"/>
        <v>2.0499999999999998</v>
      </c>
    </row>
    <row r="65" spans="1:6">
      <c r="A65" t="s">
        <v>543</v>
      </c>
      <c r="B65" s="114">
        <v>41</v>
      </c>
      <c r="C65" s="114">
        <v>0</v>
      </c>
      <c r="D65">
        <f t="shared" si="3"/>
        <v>40</v>
      </c>
      <c r="E65">
        <f t="shared" si="4"/>
        <v>20</v>
      </c>
      <c r="F65" s="115">
        <f t="shared" si="5"/>
        <v>2</v>
      </c>
    </row>
    <row r="66" spans="1:6">
      <c r="A66" t="s">
        <v>544</v>
      </c>
      <c r="B66" s="114">
        <v>42</v>
      </c>
      <c r="C66" s="114">
        <v>0</v>
      </c>
      <c r="D66">
        <f t="shared" si="3"/>
        <v>39</v>
      </c>
      <c r="E66">
        <f t="shared" si="4"/>
        <v>20</v>
      </c>
      <c r="F66" s="115">
        <f t="shared" si="5"/>
        <v>1.95</v>
      </c>
    </row>
    <row r="67" spans="1:6">
      <c r="A67" t="s">
        <v>545</v>
      </c>
      <c r="B67" s="114">
        <v>43</v>
      </c>
      <c r="C67" s="114">
        <v>0</v>
      </c>
      <c r="D67">
        <f t="shared" ref="D67:D99" si="6">RANK(B67,$B$3:$B$99,0)</f>
        <v>38</v>
      </c>
      <c r="E67">
        <f t="shared" ref="E67:E99" si="7">RANK(C67,$C$3:$C$99,0)</f>
        <v>20</v>
      </c>
      <c r="F67" s="115">
        <f t="shared" ref="F67:F98" si="8">D67/E67</f>
        <v>1.9</v>
      </c>
    </row>
    <row r="68" spans="1:6">
      <c r="A68" t="s">
        <v>546</v>
      </c>
      <c r="B68" s="114">
        <v>44</v>
      </c>
      <c r="C68" s="114">
        <v>0</v>
      </c>
      <c r="D68">
        <f t="shared" si="6"/>
        <v>37</v>
      </c>
      <c r="E68">
        <f t="shared" si="7"/>
        <v>20</v>
      </c>
      <c r="F68" s="115">
        <f t="shared" si="8"/>
        <v>1.85</v>
      </c>
    </row>
    <row r="69" spans="1:6">
      <c r="A69" t="s">
        <v>547</v>
      </c>
      <c r="B69" s="114">
        <v>45</v>
      </c>
      <c r="C69" s="114">
        <v>0</v>
      </c>
      <c r="D69">
        <f t="shared" si="6"/>
        <v>36</v>
      </c>
      <c r="E69">
        <f t="shared" si="7"/>
        <v>20</v>
      </c>
      <c r="F69" s="115">
        <f t="shared" si="8"/>
        <v>1.8</v>
      </c>
    </row>
    <row r="70" spans="1:6">
      <c r="A70" t="s">
        <v>548</v>
      </c>
      <c r="B70" s="114">
        <v>46</v>
      </c>
      <c r="C70" s="114">
        <v>0</v>
      </c>
      <c r="D70">
        <f t="shared" si="6"/>
        <v>35</v>
      </c>
      <c r="E70">
        <f t="shared" si="7"/>
        <v>20</v>
      </c>
      <c r="F70" s="115">
        <f t="shared" si="8"/>
        <v>1.75</v>
      </c>
    </row>
    <row r="71" spans="1:6">
      <c r="A71" t="s">
        <v>549</v>
      </c>
      <c r="B71" s="114">
        <v>145</v>
      </c>
      <c r="C71" s="114">
        <v>1</v>
      </c>
      <c r="D71">
        <f t="shared" si="6"/>
        <v>15</v>
      </c>
      <c r="E71">
        <f t="shared" si="7"/>
        <v>9</v>
      </c>
      <c r="F71" s="115">
        <f t="shared" si="8"/>
        <v>1.6666666666666667</v>
      </c>
    </row>
    <row r="72" spans="1:6">
      <c r="A72" t="s">
        <v>550</v>
      </c>
      <c r="B72" s="114">
        <v>47</v>
      </c>
      <c r="C72" s="114">
        <v>0</v>
      </c>
      <c r="D72">
        <f t="shared" si="6"/>
        <v>33</v>
      </c>
      <c r="E72">
        <f t="shared" si="7"/>
        <v>20</v>
      </c>
      <c r="F72" s="115">
        <f t="shared" si="8"/>
        <v>1.65</v>
      </c>
    </row>
    <row r="73" spans="1:6">
      <c r="A73" t="s">
        <v>551</v>
      </c>
      <c r="B73" s="114">
        <v>47</v>
      </c>
      <c r="C73" s="114">
        <v>0</v>
      </c>
      <c r="D73">
        <f t="shared" si="6"/>
        <v>33</v>
      </c>
      <c r="E73">
        <f t="shared" si="7"/>
        <v>20</v>
      </c>
      <c r="F73" s="115">
        <f t="shared" si="8"/>
        <v>1.65</v>
      </c>
    </row>
    <row r="74" spans="1:6">
      <c r="A74" t="s">
        <v>552</v>
      </c>
      <c r="B74" s="114">
        <v>48</v>
      </c>
      <c r="C74" s="114">
        <v>0</v>
      </c>
      <c r="D74">
        <f t="shared" si="6"/>
        <v>32</v>
      </c>
      <c r="E74">
        <f t="shared" si="7"/>
        <v>20</v>
      </c>
      <c r="F74" s="115">
        <f t="shared" si="8"/>
        <v>1.6</v>
      </c>
    </row>
    <row r="75" spans="1:6">
      <c r="A75" t="s">
        <v>553</v>
      </c>
      <c r="B75" s="114">
        <v>50</v>
      </c>
      <c r="C75" s="114">
        <v>0</v>
      </c>
      <c r="D75">
        <f t="shared" si="6"/>
        <v>31</v>
      </c>
      <c r="E75">
        <f t="shared" si="7"/>
        <v>20</v>
      </c>
      <c r="F75" s="115">
        <f t="shared" si="8"/>
        <v>1.55</v>
      </c>
    </row>
    <row r="76" spans="1:6">
      <c r="A76" t="s">
        <v>554</v>
      </c>
      <c r="B76" s="114">
        <v>53</v>
      </c>
      <c r="C76" s="114">
        <v>0</v>
      </c>
      <c r="D76">
        <f t="shared" si="6"/>
        <v>30</v>
      </c>
      <c r="E76">
        <f t="shared" si="7"/>
        <v>20</v>
      </c>
      <c r="F76" s="115">
        <f t="shared" si="8"/>
        <v>1.5</v>
      </c>
    </row>
    <row r="77" spans="1:6">
      <c r="A77" t="s">
        <v>555</v>
      </c>
      <c r="B77" s="114">
        <v>62</v>
      </c>
      <c r="C77" s="114">
        <v>0</v>
      </c>
      <c r="D77">
        <f t="shared" si="6"/>
        <v>28</v>
      </c>
      <c r="E77">
        <f t="shared" si="7"/>
        <v>20</v>
      </c>
      <c r="F77" s="115">
        <f t="shared" si="8"/>
        <v>1.4</v>
      </c>
    </row>
    <row r="78" spans="1:6">
      <c r="A78" t="s">
        <v>556</v>
      </c>
      <c r="B78" s="114">
        <v>174</v>
      </c>
      <c r="C78" s="114">
        <v>1</v>
      </c>
      <c r="D78">
        <f t="shared" si="6"/>
        <v>12</v>
      </c>
      <c r="E78">
        <f t="shared" si="7"/>
        <v>9</v>
      </c>
      <c r="F78" s="115">
        <f t="shared" si="8"/>
        <v>1.3333333333333333</v>
      </c>
    </row>
    <row r="79" spans="1:6">
      <c r="A79" t="s">
        <v>557</v>
      </c>
      <c r="B79" s="114">
        <v>66</v>
      </c>
      <c r="C79" s="114">
        <v>0</v>
      </c>
      <c r="D79">
        <f t="shared" si="6"/>
        <v>26</v>
      </c>
      <c r="E79">
        <f t="shared" si="7"/>
        <v>20</v>
      </c>
      <c r="F79" s="115">
        <f t="shared" si="8"/>
        <v>1.3</v>
      </c>
    </row>
    <row r="80" spans="1:6">
      <c r="A80" t="s">
        <v>558</v>
      </c>
      <c r="B80" s="114">
        <v>66</v>
      </c>
      <c r="C80" s="114">
        <v>0</v>
      </c>
      <c r="D80">
        <f t="shared" si="6"/>
        <v>26</v>
      </c>
      <c r="E80">
        <f t="shared" si="7"/>
        <v>20</v>
      </c>
      <c r="F80" s="115">
        <f t="shared" si="8"/>
        <v>1.3</v>
      </c>
    </row>
    <row r="81" spans="1:6">
      <c r="A81" t="s">
        <v>559</v>
      </c>
      <c r="B81" s="114">
        <v>67</v>
      </c>
      <c r="C81" s="114">
        <v>0</v>
      </c>
      <c r="D81">
        <f t="shared" si="6"/>
        <v>25</v>
      </c>
      <c r="E81">
        <f t="shared" si="7"/>
        <v>20</v>
      </c>
      <c r="F81" s="115">
        <f t="shared" si="8"/>
        <v>1.25</v>
      </c>
    </row>
    <row r="82" spans="1:6">
      <c r="A82" t="s">
        <v>560</v>
      </c>
      <c r="B82" s="114">
        <v>176</v>
      </c>
      <c r="C82" s="114">
        <v>1</v>
      </c>
      <c r="D82">
        <f t="shared" si="6"/>
        <v>11</v>
      </c>
      <c r="E82">
        <f t="shared" si="7"/>
        <v>9</v>
      </c>
      <c r="F82" s="115">
        <f t="shared" si="8"/>
        <v>1.2222222222222223</v>
      </c>
    </row>
    <row r="83" spans="1:6">
      <c r="A83" t="s">
        <v>561</v>
      </c>
      <c r="B83" s="114">
        <v>71</v>
      </c>
      <c r="C83" s="114">
        <v>0</v>
      </c>
      <c r="D83">
        <f t="shared" si="6"/>
        <v>24</v>
      </c>
      <c r="E83">
        <f t="shared" si="7"/>
        <v>20</v>
      </c>
      <c r="F83" s="115">
        <f t="shared" si="8"/>
        <v>1.2</v>
      </c>
    </row>
    <row r="84" spans="1:6">
      <c r="A84" t="s">
        <v>562</v>
      </c>
      <c r="B84" s="114">
        <v>201</v>
      </c>
      <c r="C84" s="114">
        <v>2</v>
      </c>
      <c r="D84">
        <f t="shared" si="6"/>
        <v>7</v>
      </c>
      <c r="E84">
        <f t="shared" si="7"/>
        <v>6</v>
      </c>
      <c r="F84" s="115">
        <f t="shared" si="8"/>
        <v>1.1666666666666667</v>
      </c>
    </row>
    <row r="85" spans="1:6">
      <c r="A85" t="s">
        <v>563</v>
      </c>
      <c r="B85" s="114">
        <v>72</v>
      </c>
      <c r="C85" s="114">
        <v>0</v>
      </c>
      <c r="D85">
        <f t="shared" si="6"/>
        <v>23</v>
      </c>
      <c r="E85">
        <f t="shared" si="7"/>
        <v>20</v>
      </c>
      <c r="F85" s="115">
        <f t="shared" si="8"/>
        <v>1.1499999999999999</v>
      </c>
    </row>
    <row r="86" spans="1:6">
      <c r="A86" t="s">
        <v>564</v>
      </c>
      <c r="B86" s="114">
        <v>78</v>
      </c>
      <c r="C86" s="114">
        <v>0</v>
      </c>
      <c r="D86">
        <f t="shared" si="6"/>
        <v>22</v>
      </c>
      <c r="E86">
        <f t="shared" si="7"/>
        <v>20</v>
      </c>
      <c r="F86" s="115">
        <f t="shared" si="8"/>
        <v>1.1000000000000001</v>
      </c>
    </row>
    <row r="87" spans="1:6">
      <c r="A87" t="s">
        <v>565</v>
      </c>
      <c r="B87" s="114">
        <v>7055</v>
      </c>
      <c r="C87" s="114">
        <v>43</v>
      </c>
      <c r="D87">
        <f t="shared" si="6"/>
        <v>1</v>
      </c>
      <c r="E87">
        <f t="shared" si="7"/>
        <v>1</v>
      </c>
      <c r="F87" s="115">
        <f t="shared" si="8"/>
        <v>1</v>
      </c>
    </row>
    <row r="88" spans="1:6">
      <c r="A88" t="s">
        <v>566</v>
      </c>
      <c r="B88" s="114">
        <v>185</v>
      </c>
      <c r="C88" s="114">
        <v>1</v>
      </c>
      <c r="D88">
        <f t="shared" si="6"/>
        <v>9</v>
      </c>
      <c r="E88">
        <f t="shared" si="7"/>
        <v>9</v>
      </c>
      <c r="F88" s="115">
        <f t="shared" si="8"/>
        <v>1</v>
      </c>
    </row>
    <row r="89" spans="1:6">
      <c r="A89" t="s">
        <v>567</v>
      </c>
      <c r="B89" s="114">
        <v>83</v>
      </c>
      <c r="C89" s="114">
        <v>0</v>
      </c>
      <c r="D89">
        <f t="shared" si="6"/>
        <v>20</v>
      </c>
      <c r="E89">
        <f t="shared" si="7"/>
        <v>20</v>
      </c>
      <c r="F89" s="115">
        <f t="shared" si="8"/>
        <v>1</v>
      </c>
    </row>
    <row r="90" spans="1:6">
      <c r="A90" t="s">
        <v>568</v>
      </c>
      <c r="B90" s="114">
        <v>90</v>
      </c>
      <c r="C90" s="114">
        <v>0</v>
      </c>
      <c r="D90">
        <f t="shared" si="6"/>
        <v>18</v>
      </c>
      <c r="E90">
        <f t="shared" si="7"/>
        <v>20</v>
      </c>
      <c r="F90" s="115">
        <f t="shared" si="8"/>
        <v>0.9</v>
      </c>
    </row>
    <row r="91" spans="1:6">
      <c r="A91" t="s">
        <v>569</v>
      </c>
      <c r="B91" s="114">
        <v>198</v>
      </c>
      <c r="C91" s="114">
        <v>1</v>
      </c>
      <c r="D91">
        <f t="shared" si="6"/>
        <v>8</v>
      </c>
      <c r="E91">
        <f t="shared" si="7"/>
        <v>9</v>
      </c>
      <c r="F91" s="115">
        <f t="shared" si="8"/>
        <v>0.88888888888888884</v>
      </c>
    </row>
    <row r="92" spans="1:6">
      <c r="A92" t="s">
        <v>570</v>
      </c>
      <c r="B92" s="114">
        <v>412</v>
      </c>
      <c r="C92" s="114">
        <v>5</v>
      </c>
      <c r="D92">
        <f t="shared" si="6"/>
        <v>3</v>
      </c>
      <c r="E92">
        <f t="shared" si="7"/>
        <v>4</v>
      </c>
      <c r="F92" s="115">
        <f t="shared" si="8"/>
        <v>0.75</v>
      </c>
    </row>
    <row r="93" spans="1:6">
      <c r="A93" t="s">
        <v>571</v>
      </c>
      <c r="B93" s="114">
        <v>153</v>
      </c>
      <c r="C93" s="114">
        <v>0</v>
      </c>
      <c r="D93">
        <f t="shared" si="6"/>
        <v>14</v>
      </c>
      <c r="E93">
        <f t="shared" si="7"/>
        <v>20</v>
      </c>
      <c r="F93" s="115">
        <f t="shared" si="8"/>
        <v>0.7</v>
      </c>
    </row>
    <row r="94" spans="1:6">
      <c r="A94" t="s">
        <v>572</v>
      </c>
      <c r="B94" s="114">
        <v>1609</v>
      </c>
      <c r="C94" s="114">
        <v>8</v>
      </c>
      <c r="D94">
        <f t="shared" si="6"/>
        <v>2</v>
      </c>
      <c r="E94">
        <f t="shared" si="7"/>
        <v>3</v>
      </c>
      <c r="F94" s="115">
        <f t="shared" si="8"/>
        <v>0.66666666666666663</v>
      </c>
    </row>
    <row r="95" spans="1:6">
      <c r="A95" t="s">
        <v>573</v>
      </c>
      <c r="B95" s="114">
        <v>167</v>
      </c>
      <c r="C95" s="114">
        <v>0</v>
      </c>
      <c r="D95">
        <f t="shared" si="6"/>
        <v>13</v>
      </c>
      <c r="E95">
        <f t="shared" si="7"/>
        <v>20</v>
      </c>
      <c r="F95" s="115">
        <f t="shared" si="8"/>
        <v>0.65</v>
      </c>
    </row>
    <row r="96" spans="1:6">
      <c r="A96" t="s">
        <v>574</v>
      </c>
      <c r="B96" s="114">
        <v>227</v>
      </c>
      <c r="C96" s="114">
        <v>1</v>
      </c>
      <c r="D96">
        <f t="shared" si="6"/>
        <v>5</v>
      </c>
      <c r="E96">
        <f t="shared" si="7"/>
        <v>9</v>
      </c>
      <c r="F96" s="115">
        <f t="shared" si="8"/>
        <v>0.55555555555555558</v>
      </c>
    </row>
    <row r="97" spans="1:6">
      <c r="A97" t="s">
        <v>575</v>
      </c>
      <c r="B97" s="114">
        <v>185</v>
      </c>
      <c r="C97" s="114">
        <v>0</v>
      </c>
      <c r="D97">
        <f t="shared" si="6"/>
        <v>9</v>
      </c>
      <c r="E97">
        <f t="shared" si="7"/>
        <v>20</v>
      </c>
      <c r="F97" s="115">
        <f t="shared" si="8"/>
        <v>0.45</v>
      </c>
    </row>
    <row r="98" spans="1:6">
      <c r="A98" t="s">
        <v>576</v>
      </c>
      <c r="B98" s="114">
        <v>395</v>
      </c>
      <c r="C98" s="114">
        <v>1</v>
      </c>
      <c r="D98">
        <f t="shared" si="6"/>
        <v>4</v>
      </c>
      <c r="E98">
        <f t="shared" si="7"/>
        <v>9</v>
      </c>
      <c r="F98" s="115">
        <f t="shared" si="8"/>
        <v>0.44444444444444442</v>
      </c>
    </row>
    <row r="99" spans="1:6">
      <c r="A99" t="s">
        <v>577</v>
      </c>
      <c r="B99" s="114">
        <v>223</v>
      </c>
      <c r="C99" s="114">
        <v>0</v>
      </c>
      <c r="D99">
        <f t="shared" si="6"/>
        <v>6</v>
      </c>
      <c r="E99">
        <f t="shared" si="7"/>
        <v>20</v>
      </c>
      <c r="F99" s="115">
        <f t="shared" ref="F99" si="9">D99/E99</f>
        <v>0.3</v>
      </c>
    </row>
    <row r="100" spans="1:6">
      <c r="A100" t="s">
        <v>565</v>
      </c>
    </row>
  </sheetData>
  <autoFilter ref="A2:F2" xr:uid="{8F5F7D0C-B56D-479E-B8DF-954130A97736}">
    <sortState xmlns:xlrd2="http://schemas.microsoft.com/office/spreadsheetml/2017/richdata2" ref="A3:F100">
      <sortCondition descending="1" ref="F2"/>
    </sortState>
  </autoFilter>
  <phoneticPr fontId="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7C8E5-B87A-4211-8010-A2F17828CEEA}">
  <sheetPr>
    <tabColor rgb="FFFFFF00"/>
  </sheetPr>
  <dimension ref="A2:T9"/>
  <sheetViews>
    <sheetView workbookViewId="0">
      <pane xSplit="1" ySplit="3" topLeftCell="I4" activePane="bottomRight" state="frozen"/>
      <selection pane="topRight"/>
      <selection pane="bottomLeft"/>
      <selection pane="bottomRight" activeCell="M5" sqref="M5"/>
    </sheetView>
  </sheetViews>
  <sheetFormatPr defaultColWidth="9" defaultRowHeight="18"/>
  <cols>
    <col min="1" max="1" width="29.75" bestFit="1" customWidth="1"/>
    <col min="2" max="16" width="23" customWidth="1"/>
    <col min="17" max="17" width="23.33203125" customWidth="1"/>
  </cols>
  <sheetData>
    <row r="2" spans="1:20">
      <c r="B2" t="s">
        <v>578</v>
      </c>
      <c r="L2" t="s">
        <v>579</v>
      </c>
    </row>
    <row r="3" spans="1:20">
      <c r="B3" t="s">
        <v>172</v>
      </c>
      <c r="C3" t="s">
        <v>173</v>
      </c>
      <c r="D3" t="s">
        <v>174</v>
      </c>
      <c r="E3" t="s">
        <v>175</v>
      </c>
      <c r="F3" t="s">
        <v>176</v>
      </c>
      <c r="G3" t="s">
        <v>177</v>
      </c>
      <c r="H3" t="s">
        <v>178</v>
      </c>
      <c r="I3" t="s">
        <v>179</v>
      </c>
      <c r="J3" t="s">
        <v>180</v>
      </c>
      <c r="K3" t="s">
        <v>181</v>
      </c>
      <c r="L3" t="s">
        <v>182</v>
      </c>
      <c r="M3" t="s">
        <v>183</v>
      </c>
      <c r="N3" t="s">
        <v>172</v>
      </c>
      <c r="O3" t="s">
        <v>173</v>
      </c>
      <c r="P3" t="s">
        <v>174</v>
      </c>
      <c r="Q3" t="s">
        <v>175</v>
      </c>
    </row>
    <row r="4" spans="1:20" ht="24.75" customHeight="1">
      <c r="A4" t="s">
        <v>101</v>
      </c>
      <c r="B4" s="199">
        <v>2488</v>
      </c>
      <c r="C4" s="199">
        <v>1957</v>
      </c>
      <c r="D4" s="199">
        <v>2151</v>
      </c>
      <c r="E4" s="260">
        <v>2555</v>
      </c>
      <c r="F4" s="213">
        <v>5132</v>
      </c>
      <c r="G4" s="260">
        <v>2621</v>
      </c>
      <c r="H4" s="199">
        <v>2793</v>
      </c>
      <c r="I4" s="199">
        <v>3227</v>
      </c>
      <c r="J4" s="199">
        <v>2861</v>
      </c>
      <c r="K4" s="199">
        <v>2952</v>
      </c>
      <c r="L4" s="213">
        <v>3381</v>
      </c>
      <c r="M4" s="199">
        <v>2967</v>
      </c>
      <c r="N4" s="260">
        <v>3047</v>
      </c>
      <c r="O4" s="199">
        <v>3156</v>
      </c>
      <c r="P4" s="199">
        <v>2639</v>
      </c>
      <c r="Q4" s="199"/>
      <c r="R4" s="199"/>
      <c r="S4" s="199"/>
      <c r="T4" s="199"/>
    </row>
    <row r="5" spans="1:20" ht="150" customHeight="1">
      <c r="A5" t="s">
        <v>580</v>
      </c>
      <c r="B5" s="261"/>
      <c r="C5" s="261"/>
      <c r="D5" s="262"/>
      <c r="E5" s="261" t="s">
        <v>581</v>
      </c>
      <c r="F5" s="261" t="s">
        <v>582</v>
      </c>
      <c r="G5" s="262" t="s">
        <v>583</v>
      </c>
      <c r="H5" s="261"/>
      <c r="I5" s="261" t="s">
        <v>584</v>
      </c>
      <c r="J5" s="261" t="s">
        <v>585</v>
      </c>
      <c r="K5" s="261" t="s">
        <v>586</v>
      </c>
      <c r="L5" s="261" t="s">
        <v>587</v>
      </c>
      <c r="M5" s="261" t="s">
        <v>588</v>
      </c>
      <c r="N5" s="261" t="s">
        <v>589</v>
      </c>
      <c r="O5" s="261" t="s">
        <v>590</v>
      </c>
      <c r="P5" s="261" t="s">
        <v>591</v>
      </c>
      <c r="Q5" s="261" t="s">
        <v>592</v>
      </c>
    </row>
    <row r="6" spans="1:20" ht="24.75" customHeight="1">
      <c r="A6" t="s">
        <v>196</v>
      </c>
      <c r="B6" s="167"/>
      <c r="C6" s="167">
        <v>20</v>
      </c>
      <c r="D6" s="167">
        <v>13</v>
      </c>
      <c r="E6" s="167">
        <v>15</v>
      </c>
      <c r="F6" s="263">
        <v>44</v>
      </c>
      <c r="G6" s="263">
        <v>29</v>
      </c>
      <c r="H6" s="263">
        <v>30</v>
      </c>
      <c r="I6" s="167">
        <v>19</v>
      </c>
      <c r="J6" s="167">
        <v>23</v>
      </c>
      <c r="K6" s="167">
        <v>14</v>
      </c>
      <c r="L6" s="167">
        <v>13</v>
      </c>
      <c r="M6" s="167">
        <v>13</v>
      </c>
      <c r="N6" s="167">
        <v>8</v>
      </c>
      <c r="O6" s="167">
        <v>7</v>
      </c>
      <c r="P6" s="263">
        <v>44</v>
      </c>
    </row>
    <row r="7" spans="1:20" ht="24.75" customHeight="1">
      <c r="A7" t="s">
        <v>593</v>
      </c>
      <c r="B7" s="140" t="e">
        <f>B6/B1</f>
        <v>#DIV/0!</v>
      </c>
      <c r="C7" s="140">
        <f>C6/C4</f>
        <v>1.0219724067450179E-2</v>
      </c>
      <c r="D7" s="140">
        <f t="shared" ref="D7:P7" si="0">D6/D4</f>
        <v>6.04370060437006E-3</v>
      </c>
      <c r="E7" s="140">
        <f t="shared" si="0"/>
        <v>5.8708414872798431E-3</v>
      </c>
      <c r="F7" s="140">
        <f t="shared" si="0"/>
        <v>8.5736554949337497E-3</v>
      </c>
      <c r="G7" s="140">
        <f t="shared" si="0"/>
        <v>1.1064479206409768E-2</v>
      </c>
      <c r="H7" s="140">
        <f t="shared" si="0"/>
        <v>1.0741138560687433E-2</v>
      </c>
      <c r="I7" s="140">
        <f t="shared" si="0"/>
        <v>5.8878215060427638E-3</v>
      </c>
      <c r="J7" s="140">
        <f t="shared" si="0"/>
        <v>8.0391471513456825E-3</v>
      </c>
      <c r="K7" s="140">
        <f t="shared" si="0"/>
        <v>4.7425474254742545E-3</v>
      </c>
      <c r="L7" s="140">
        <f t="shared" si="0"/>
        <v>3.845016267376516E-3</v>
      </c>
      <c r="M7" s="140">
        <f t="shared" si="0"/>
        <v>4.3815301651499829E-3</v>
      </c>
      <c r="N7" s="140">
        <f t="shared" si="0"/>
        <v>2.6255333114538889E-3</v>
      </c>
      <c r="O7" s="140">
        <f t="shared" si="0"/>
        <v>2.2179974651457541E-3</v>
      </c>
      <c r="P7" s="140">
        <f t="shared" si="0"/>
        <v>1.6672982190223569E-2</v>
      </c>
      <c r="Q7" s="140" t="e">
        <f>Q6/Q4</f>
        <v>#DIV/0!</v>
      </c>
    </row>
    <row r="8" spans="1:20" ht="196.5" customHeight="1">
      <c r="A8" t="s">
        <v>594</v>
      </c>
      <c r="B8" s="261"/>
      <c r="C8" s="261" t="s">
        <v>595</v>
      </c>
      <c r="D8" s="261" t="s">
        <v>596</v>
      </c>
      <c r="E8" s="261" t="s">
        <v>597</v>
      </c>
      <c r="F8" s="261" t="s">
        <v>598</v>
      </c>
      <c r="G8" s="262" t="s">
        <v>599</v>
      </c>
      <c r="H8" s="261" t="s">
        <v>600</v>
      </c>
      <c r="I8" s="261" t="s">
        <v>601</v>
      </c>
      <c r="J8" s="261" t="s">
        <v>602</v>
      </c>
      <c r="K8" s="261" t="s">
        <v>603</v>
      </c>
      <c r="L8" s="261" t="s">
        <v>604</v>
      </c>
      <c r="M8" s="261" t="s">
        <v>605</v>
      </c>
      <c r="N8" s="261" t="s">
        <v>606</v>
      </c>
      <c r="O8" s="261" t="s">
        <v>607</v>
      </c>
      <c r="P8" s="261" t="s">
        <v>608</v>
      </c>
      <c r="Q8" s="261" t="s">
        <v>609</v>
      </c>
    </row>
    <row r="9" spans="1:20">
      <c r="L9" t="s">
        <v>610</v>
      </c>
    </row>
  </sheetData>
  <phoneticPr fontId="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D96C9-2B61-4467-BEAB-2F356089B1F4}">
  <sheetPr>
    <tabColor rgb="FFFFFF00"/>
  </sheetPr>
  <dimension ref="A2:T8"/>
  <sheetViews>
    <sheetView workbookViewId="0">
      <pane xSplit="1" ySplit="3" topLeftCell="N4" activePane="bottomRight" state="frozen"/>
      <selection pane="topRight"/>
      <selection pane="bottomLeft"/>
      <selection pane="bottomRight" activeCell="Q8" sqref="Q8"/>
    </sheetView>
  </sheetViews>
  <sheetFormatPr defaultColWidth="9" defaultRowHeight="18"/>
  <cols>
    <col min="1" max="1" width="29.75" bestFit="1" customWidth="1"/>
    <col min="2" max="16" width="23" customWidth="1"/>
    <col min="17" max="17" width="24.5" customWidth="1"/>
  </cols>
  <sheetData>
    <row r="2" spans="1:20">
      <c r="B2" t="s">
        <v>578</v>
      </c>
      <c r="L2" t="s">
        <v>579</v>
      </c>
    </row>
    <row r="3" spans="1:20">
      <c r="B3" t="s">
        <v>172</v>
      </c>
      <c r="C3" t="s">
        <v>173</v>
      </c>
      <c r="D3" t="s">
        <v>174</v>
      </c>
      <c r="E3" t="s">
        <v>175</v>
      </c>
      <c r="F3" t="s">
        <v>176</v>
      </c>
      <c r="G3" t="s">
        <v>177</v>
      </c>
      <c r="H3" t="s">
        <v>178</v>
      </c>
      <c r="I3" t="s">
        <v>179</v>
      </c>
      <c r="J3" t="s">
        <v>180</v>
      </c>
      <c r="K3" t="s">
        <v>181</v>
      </c>
      <c r="L3" t="s">
        <v>182</v>
      </c>
      <c r="M3" t="s">
        <v>183</v>
      </c>
      <c r="N3" t="s">
        <v>172</v>
      </c>
      <c r="O3" t="s">
        <v>173</v>
      </c>
      <c r="P3" t="s">
        <v>174</v>
      </c>
      <c r="Q3" t="s">
        <v>175</v>
      </c>
    </row>
    <row r="4" spans="1:20" ht="24.75" customHeight="1">
      <c r="A4" t="s">
        <v>101</v>
      </c>
      <c r="B4" s="199"/>
      <c r="C4" s="199">
        <v>1793</v>
      </c>
      <c r="D4" s="199">
        <v>1571</v>
      </c>
      <c r="E4" s="260">
        <v>1823</v>
      </c>
      <c r="F4" s="199">
        <v>1907</v>
      </c>
      <c r="G4" s="260">
        <v>1415</v>
      </c>
      <c r="H4" s="199">
        <v>1475</v>
      </c>
      <c r="I4" s="199">
        <v>1819</v>
      </c>
      <c r="J4" s="199">
        <v>2088</v>
      </c>
      <c r="K4" s="213">
        <v>2637</v>
      </c>
      <c r="L4" s="199">
        <v>2227</v>
      </c>
      <c r="M4" s="213">
        <v>3811</v>
      </c>
      <c r="N4" s="260">
        <v>2465</v>
      </c>
      <c r="O4" s="199">
        <v>2750</v>
      </c>
      <c r="P4" s="199">
        <v>2887</v>
      </c>
      <c r="Q4" s="199"/>
      <c r="R4" s="199"/>
      <c r="S4" s="199"/>
      <c r="T4" s="199"/>
    </row>
    <row r="5" spans="1:20" ht="150" customHeight="1">
      <c r="A5" t="s">
        <v>580</v>
      </c>
      <c r="B5" s="261"/>
      <c r="C5" s="261"/>
      <c r="D5" s="262"/>
      <c r="E5" s="262"/>
      <c r="F5" s="261" t="s">
        <v>611</v>
      </c>
      <c r="G5" s="262"/>
      <c r="H5" s="261" t="s">
        <v>612</v>
      </c>
      <c r="I5" s="261" t="s">
        <v>613</v>
      </c>
      <c r="J5" s="261" t="s">
        <v>614</v>
      </c>
      <c r="K5" s="261" t="s">
        <v>615</v>
      </c>
      <c r="L5" s="261" t="s">
        <v>616</v>
      </c>
      <c r="M5" s="261" t="s">
        <v>617</v>
      </c>
      <c r="N5" s="261" t="s">
        <v>618</v>
      </c>
      <c r="O5" s="261"/>
      <c r="P5" s="261" t="s">
        <v>619</v>
      </c>
    </row>
    <row r="6" spans="1:20" ht="24.75" customHeight="1">
      <c r="A6" t="s">
        <v>196</v>
      </c>
      <c r="B6" s="167"/>
      <c r="C6" s="167">
        <v>4</v>
      </c>
      <c r="D6" s="167">
        <v>5</v>
      </c>
      <c r="E6" s="263">
        <v>7</v>
      </c>
      <c r="F6" s="167">
        <v>0</v>
      </c>
      <c r="G6" s="167">
        <v>2</v>
      </c>
      <c r="H6" s="167">
        <v>3</v>
      </c>
      <c r="I6" s="167">
        <v>1</v>
      </c>
      <c r="J6" s="167">
        <v>2</v>
      </c>
      <c r="K6" s="167">
        <v>2</v>
      </c>
      <c r="L6" s="167">
        <v>2</v>
      </c>
      <c r="M6" s="167">
        <v>3</v>
      </c>
      <c r="N6" s="263">
        <v>7</v>
      </c>
      <c r="O6" s="167">
        <v>3</v>
      </c>
      <c r="P6" s="167">
        <v>4</v>
      </c>
    </row>
    <row r="7" spans="1:20" ht="24.75" customHeight="1">
      <c r="A7" t="s">
        <v>593</v>
      </c>
      <c r="B7" s="140" t="e">
        <f>B6/B1</f>
        <v>#DIV/0!</v>
      </c>
      <c r="C7" s="140">
        <f t="shared" ref="C7:Q7" si="0">C6/C4</f>
        <v>2.2308979364194089E-3</v>
      </c>
      <c r="D7" s="140">
        <f t="shared" si="0"/>
        <v>3.1826861871419479E-3</v>
      </c>
      <c r="E7" s="140">
        <f t="shared" si="0"/>
        <v>3.8398244651673065E-3</v>
      </c>
      <c r="F7" s="140">
        <f t="shared" si="0"/>
        <v>0</v>
      </c>
      <c r="G7" s="140">
        <f t="shared" si="0"/>
        <v>1.4134275618374558E-3</v>
      </c>
      <c r="H7" s="140">
        <f t="shared" si="0"/>
        <v>2.0338983050847458E-3</v>
      </c>
      <c r="I7" s="140">
        <f t="shared" si="0"/>
        <v>5.4975261132490382E-4</v>
      </c>
      <c r="J7" s="140">
        <f t="shared" si="0"/>
        <v>9.5785440613026815E-4</v>
      </c>
      <c r="K7" s="140">
        <f t="shared" si="0"/>
        <v>7.5843761850587785E-4</v>
      </c>
      <c r="L7" s="140">
        <f t="shared" si="0"/>
        <v>8.9806915132465196E-4</v>
      </c>
      <c r="M7" s="140">
        <f t="shared" si="0"/>
        <v>7.8719496195224351E-4</v>
      </c>
      <c r="N7" s="140">
        <f t="shared" si="0"/>
        <v>2.8397565922920892E-3</v>
      </c>
      <c r="O7" s="140">
        <f t="shared" si="0"/>
        <v>1.090909090909091E-3</v>
      </c>
      <c r="P7" s="140">
        <f t="shared" si="0"/>
        <v>1.3855213023900243E-3</v>
      </c>
      <c r="Q7" s="140" t="e">
        <f t="shared" si="0"/>
        <v>#DIV/0!</v>
      </c>
    </row>
    <row r="8" spans="1:20" ht="150" customHeight="1">
      <c r="A8" t="s">
        <v>594</v>
      </c>
      <c r="B8" s="261" t="s">
        <v>620</v>
      </c>
      <c r="C8" s="261" t="s">
        <v>621</v>
      </c>
      <c r="D8" s="261" t="s">
        <v>622</v>
      </c>
      <c r="E8" s="261" t="s">
        <v>623</v>
      </c>
      <c r="F8" s="261" t="s">
        <v>624</v>
      </c>
      <c r="G8" s="261" t="s">
        <v>625</v>
      </c>
      <c r="H8" s="261" t="s">
        <v>626</v>
      </c>
      <c r="I8" s="261" t="s">
        <v>627</v>
      </c>
      <c r="J8" s="261" t="s">
        <v>628</v>
      </c>
      <c r="K8" s="261" t="s">
        <v>629</v>
      </c>
      <c r="L8" s="261"/>
      <c r="M8" s="261" t="s">
        <v>630</v>
      </c>
      <c r="N8" s="261" t="s">
        <v>631</v>
      </c>
      <c r="O8" s="261" t="s">
        <v>632</v>
      </c>
      <c r="P8" s="261" t="s">
        <v>633</v>
      </c>
      <c r="Q8" s="261" t="s">
        <v>634</v>
      </c>
    </row>
  </sheetData>
  <phoneticPr fontId="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93456-2437-4318-A84F-7CFA3D90982D}">
  <sheetPr>
    <tabColor rgb="FFFFFF00"/>
  </sheetPr>
  <dimension ref="A2:T11"/>
  <sheetViews>
    <sheetView workbookViewId="0">
      <pane xSplit="1" ySplit="3" topLeftCell="C4" activePane="bottomRight" state="frozen"/>
      <selection pane="topRight"/>
      <selection pane="bottomLeft"/>
      <selection pane="bottomRight" activeCell="Q11" sqref="Q11"/>
    </sheetView>
  </sheetViews>
  <sheetFormatPr defaultRowHeight="18"/>
  <cols>
    <col min="1" max="1" width="29.75" bestFit="1" customWidth="1"/>
    <col min="2" max="2" width="22.75" customWidth="1"/>
    <col min="3" max="16" width="23" customWidth="1"/>
    <col min="17" max="17" width="25.33203125" customWidth="1"/>
  </cols>
  <sheetData>
    <row r="2" spans="1:20">
      <c r="B2" t="s">
        <v>578</v>
      </c>
      <c r="L2" t="s">
        <v>579</v>
      </c>
    </row>
    <row r="3" spans="1:20">
      <c r="B3" t="s">
        <v>172</v>
      </c>
      <c r="C3" t="s">
        <v>173</v>
      </c>
      <c r="D3" t="s">
        <v>174</v>
      </c>
      <c r="E3" t="s">
        <v>175</v>
      </c>
      <c r="F3" t="s">
        <v>176</v>
      </c>
      <c r="G3" t="s">
        <v>177</v>
      </c>
      <c r="H3" t="s">
        <v>178</v>
      </c>
      <c r="I3" t="s">
        <v>179</v>
      </c>
      <c r="J3" t="s">
        <v>180</v>
      </c>
      <c r="K3" t="s">
        <v>181</v>
      </c>
      <c r="L3" t="s">
        <v>182</v>
      </c>
      <c r="M3" t="s">
        <v>183</v>
      </c>
      <c r="N3" t="s">
        <v>172</v>
      </c>
      <c r="O3" t="s">
        <v>173</v>
      </c>
      <c r="P3" t="s">
        <v>174</v>
      </c>
      <c r="Q3" t="s">
        <v>175</v>
      </c>
    </row>
    <row r="4" spans="1:20" ht="24.75" customHeight="1">
      <c r="A4" t="s">
        <v>101</v>
      </c>
      <c r="C4" s="199">
        <v>2764</v>
      </c>
      <c r="D4" s="213">
        <v>3250</v>
      </c>
      <c r="E4" s="264">
        <v>3298</v>
      </c>
      <c r="F4" s="213">
        <v>3286</v>
      </c>
      <c r="G4" s="260">
        <v>2471</v>
      </c>
      <c r="H4" s="199">
        <v>3002</v>
      </c>
      <c r="I4" s="199">
        <v>3183</v>
      </c>
      <c r="J4" s="199">
        <v>2833</v>
      </c>
      <c r="K4" s="199">
        <v>3119</v>
      </c>
      <c r="L4" s="199">
        <v>2764</v>
      </c>
      <c r="M4" s="213">
        <v>3472</v>
      </c>
      <c r="N4" s="260">
        <v>2188</v>
      </c>
      <c r="O4" s="199">
        <v>2398</v>
      </c>
      <c r="P4" s="199">
        <v>2453</v>
      </c>
      <c r="Q4" s="199"/>
      <c r="R4" s="199"/>
      <c r="S4" s="199"/>
      <c r="T4" s="199"/>
    </row>
    <row r="5" spans="1:20" ht="150" customHeight="1">
      <c r="A5" t="s">
        <v>580</v>
      </c>
      <c r="C5" s="261" t="s">
        <v>635</v>
      </c>
      <c r="D5" s="262"/>
      <c r="E5" s="262"/>
      <c r="F5" s="262" t="s">
        <v>636</v>
      </c>
      <c r="G5" s="262" t="s">
        <v>583</v>
      </c>
      <c r="H5" s="261" t="s">
        <v>637</v>
      </c>
      <c r="I5" s="262"/>
      <c r="J5" s="262" t="s">
        <v>638</v>
      </c>
      <c r="K5" s="261" t="s">
        <v>639</v>
      </c>
      <c r="L5" s="261" t="s">
        <v>640</v>
      </c>
      <c r="M5" s="261" t="s">
        <v>641</v>
      </c>
      <c r="N5" s="261" t="s">
        <v>642</v>
      </c>
      <c r="O5" s="261" t="s">
        <v>643</v>
      </c>
      <c r="P5" s="261" t="s">
        <v>644</v>
      </c>
      <c r="Q5" s="261" t="s">
        <v>645</v>
      </c>
    </row>
    <row r="6" spans="1:20" ht="18" hidden="1" customHeight="1">
      <c r="A6" t="s">
        <v>646</v>
      </c>
      <c r="C6" s="167">
        <v>1</v>
      </c>
      <c r="D6" s="167">
        <v>1</v>
      </c>
      <c r="E6" s="167">
        <v>1</v>
      </c>
      <c r="F6" s="167">
        <v>2</v>
      </c>
      <c r="G6" s="167">
        <v>0</v>
      </c>
      <c r="H6" s="167">
        <v>1</v>
      </c>
      <c r="I6" s="167">
        <v>0</v>
      </c>
      <c r="J6" s="167">
        <v>0</v>
      </c>
      <c r="K6" s="167">
        <v>0</v>
      </c>
      <c r="L6" s="167">
        <v>6</v>
      </c>
      <c r="M6" s="167">
        <v>21</v>
      </c>
      <c r="N6" s="167">
        <v>0</v>
      </c>
      <c r="O6" s="167">
        <v>2</v>
      </c>
      <c r="P6" s="167"/>
    </row>
    <row r="7" spans="1:20" ht="18" hidden="1" customHeight="1">
      <c r="A7" t="s">
        <v>647</v>
      </c>
      <c r="C7" s="167">
        <v>20</v>
      </c>
      <c r="D7" s="167">
        <v>29</v>
      </c>
      <c r="E7" s="167">
        <v>16</v>
      </c>
      <c r="F7" s="167">
        <v>45</v>
      </c>
      <c r="G7" s="167">
        <v>21</v>
      </c>
      <c r="H7" s="167">
        <v>26</v>
      </c>
      <c r="I7" s="167">
        <v>29</v>
      </c>
      <c r="J7" s="167">
        <v>7</v>
      </c>
      <c r="K7" s="167">
        <v>18</v>
      </c>
      <c r="L7" s="167">
        <v>30</v>
      </c>
      <c r="M7" s="167">
        <v>27</v>
      </c>
      <c r="N7" s="167">
        <v>9</v>
      </c>
      <c r="O7" s="167">
        <v>25</v>
      </c>
      <c r="P7" s="167"/>
      <c r="Q7" s="140" t="e">
        <f>Q6/Q4</f>
        <v>#DIV/0!</v>
      </c>
    </row>
    <row r="8" spans="1:20" ht="18" hidden="1" customHeight="1">
      <c r="A8" t="s">
        <v>648</v>
      </c>
      <c r="C8" s="167">
        <v>5</v>
      </c>
      <c r="D8" s="167">
        <v>3</v>
      </c>
      <c r="E8" s="167">
        <v>1</v>
      </c>
      <c r="F8" s="167">
        <v>3</v>
      </c>
      <c r="G8" s="167">
        <v>1</v>
      </c>
      <c r="H8" s="167">
        <v>3</v>
      </c>
      <c r="I8" s="167">
        <v>3</v>
      </c>
      <c r="J8" s="167">
        <v>1</v>
      </c>
      <c r="K8" s="167">
        <v>0</v>
      </c>
      <c r="L8" s="167">
        <v>8</v>
      </c>
      <c r="M8" s="167">
        <v>4</v>
      </c>
      <c r="N8" s="167">
        <v>4</v>
      </c>
      <c r="O8" s="167">
        <v>4</v>
      </c>
      <c r="P8" s="167"/>
    </row>
    <row r="9" spans="1:20" ht="24.75" customHeight="1">
      <c r="A9" t="s">
        <v>196</v>
      </c>
      <c r="C9" s="167">
        <v>26</v>
      </c>
      <c r="D9" s="167">
        <v>27</v>
      </c>
      <c r="E9" s="167">
        <v>18</v>
      </c>
      <c r="F9" s="263">
        <v>45</v>
      </c>
      <c r="G9" s="167">
        <f t="shared" ref="G9:N9" si="0">SUM(G6:G8)</f>
        <v>22</v>
      </c>
      <c r="H9" s="167">
        <f t="shared" si="0"/>
        <v>30</v>
      </c>
      <c r="I9" s="167">
        <f t="shared" si="0"/>
        <v>32</v>
      </c>
      <c r="J9" s="167">
        <f t="shared" si="0"/>
        <v>8</v>
      </c>
      <c r="K9" s="167">
        <f t="shared" si="0"/>
        <v>18</v>
      </c>
      <c r="L9" s="263">
        <f t="shared" si="0"/>
        <v>44</v>
      </c>
      <c r="M9" s="263">
        <f t="shared" si="0"/>
        <v>52</v>
      </c>
      <c r="N9" s="167">
        <f t="shared" si="0"/>
        <v>13</v>
      </c>
      <c r="O9" s="167">
        <v>18</v>
      </c>
      <c r="P9" s="167">
        <v>36</v>
      </c>
    </row>
    <row r="10" spans="1:20" ht="24.75" customHeight="1">
      <c r="A10" t="s">
        <v>593</v>
      </c>
      <c r="C10" s="140">
        <f>C9/C4</f>
        <v>9.4066570188133143E-3</v>
      </c>
      <c r="D10" s="140">
        <f t="shared" ref="D10:Q10" si="1">D9/D4</f>
        <v>8.3076923076923076E-3</v>
      </c>
      <c r="E10" s="140">
        <f t="shared" si="1"/>
        <v>5.4578532443905394E-3</v>
      </c>
      <c r="F10" s="140">
        <f t="shared" si="1"/>
        <v>1.3694461351186854E-2</v>
      </c>
      <c r="G10" s="140">
        <f t="shared" si="1"/>
        <v>8.9032780250910565E-3</v>
      </c>
      <c r="H10" s="140">
        <f t="shared" si="1"/>
        <v>9.9933377748167886E-3</v>
      </c>
      <c r="I10" s="140">
        <f t="shared" si="1"/>
        <v>1.0053408733898837E-2</v>
      </c>
      <c r="J10" s="140">
        <f t="shared" si="1"/>
        <v>2.8238616307800918E-3</v>
      </c>
      <c r="K10" s="140">
        <f t="shared" si="1"/>
        <v>5.7710804745110611E-3</v>
      </c>
      <c r="L10" s="140">
        <f t="shared" si="1"/>
        <v>1.5918958031837915E-2</v>
      </c>
      <c r="M10" s="140">
        <f t="shared" si="1"/>
        <v>1.4976958525345621E-2</v>
      </c>
      <c r="N10" s="140">
        <f t="shared" si="1"/>
        <v>5.9414990859232176E-3</v>
      </c>
      <c r="O10" s="140">
        <f t="shared" si="1"/>
        <v>7.5062552126772307E-3</v>
      </c>
      <c r="P10" s="140">
        <f t="shared" si="1"/>
        <v>1.4675907052588666E-2</v>
      </c>
      <c r="Q10" s="140" t="e">
        <f t="shared" si="1"/>
        <v>#DIV/0!</v>
      </c>
    </row>
    <row r="11" spans="1:20" ht="150" customHeight="1">
      <c r="A11" t="s">
        <v>594</v>
      </c>
      <c r="C11" s="261" t="s">
        <v>649</v>
      </c>
      <c r="D11" s="261" t="s">
        <v>650</v>
      </c>
      <c r="E11" s="262" t="s">
        <v>651</v>
      </c>
      <c r="F11" s="261" t="s">
        <v>652</v>
      </c>
      <c r="G11" s="262" t="s">
        <v>653</v>
      </c>
      <c r="H11" s="261" t="s">
        <v>654</v>
      </c>
      <c r="I11" s="261" t="s">
        <v>655</v>
      </c>
      <c r="J11" s="262"/>
      <c r="K11" s="261" t="s">
        <v>656</v>
      </c>
      <c r="L11" s="261" t="s">
        <v>657</v>
      </c>
      <c r="M11" s="261" t="s">
        <v>658</v>
      </c>
      <c r="N11" s="261" t="s">
        <v>659</v>
      </c>
      <c r="O11" s="261" t="s">
        <v>660</v>
      </c>
      <c r="P11" s="261" t="s">
        <v>661</v>
      </c>
      <c r="Q11" s="261" t="s">
        <v>662</v>
      </c>
    </row>
  </sheetData>
  <phoneticPr fontId="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F09BA-A1EE-494A-8DB1-539F5C0C8E4F}">
  <sheetPr>
    <tabColor rgb="FFFFFF00"/>
  </sheetPr>
  <dimension ref="A2:T11"/>
  <sheetViews>
    <sheetView zoomScale="48" workbookViewId="0">
      <pane xSplit="1" ySplit="3" topLeftCell="F4" activePane="bottomRight" state="frozen"/>
      <selection pane="topRight"/>
      <selection pane="bottomLeft"/>
      <selection pane="bottomRight" activeCell="P9" sqref="P9"/>
    </sheetView>
  </sheetViews>
  <sheetFormatPr defaultRowHeight="18"/>
  <cols>
    <col min="1" max="1" width="29.75" bestFit="1" customWidth="1"/>
    <col min="2" max="2" width="22.75" customWidth="1"/>
    <col min="3" max="16" width="23" customWidth="1"/>
    <col min="17" max="17" width="23.75" customWidth="1"/>
  </cols>
  <sheetData>
    <row r="2" spans="1:20">
      <c r="B2" t="s">
        <v>578</v>
      </c>
      <c r="L2" t="s">
        <v>579</v>
      </c>
    </row>
    <row r="3" spans="1:20">
      <c r="B3" t="s">
        <v>172</v>
      </c>
      <c r="C3" t="s">
        <v>173</v>
      </c>
      <c r="D3" t="s">
        <v>174</v>
      </c>
      <c r="E3" t="s">
        <v>175</v>
      </c>
      <c r="F3" t="s">
        <v>176</v>
      </c>
      <c r="G3" t="s">
        <v>177</v>
      </c>
      <c r="H3" t="s">
        <v>178</v>
      </c>
      <c r="I3" t="s">
        <v>179</v>
      </c>
      <c r="J3" t="s">
        <v>180</v>
      </c>
      <c r="K3" t="s">
        <v>181</v>
      </c>
      <c r="L3" t="s">
        <v>182</v>
      </c>
      <c r="M3" t="s">
        <v>183</v>
      </c>
      <c r="N3" t="s">
        <v>172</v>
      </c>
      <c r="O3" t="s">
        <v>173</v>
      </c>
      <c r="P3" t="s">
        <v>174</v>
      </c>
      <c r="Q3" t="s">
        <v>175</v>
      </c>
    </row>
    <row r="4" spans="1:20" s="265" customFormat="1" ht="24.75" customHeight="1">
      <c r="A4" s="259" t="s">
        <v>101</v>
      </c>
      <c r="B4" s="265">
        <v>764</v>
      </c>
      <c r="C4" s="265">
        <v>1778</v>
      </c>
      <c r="D4" s="265">
        <v>972</v>
      </c>
      <c r="E4" s="265">
        <v>1028</v>
      </c>
      <c r="F4" s="265">
        <v>3160</v>
      </c>
      <c r="G4" s="265">
        <v>1281</v>
      </c>
      <c r="H4" s="265">
        <v>1652</v>
      </c>
      <c r="I4" s="265">
        <v>1120</v>
      </c>
      <c r="J4" s="265">
        <v>1551</v>
      </c>
      <c r="K4" s="265">
        <v>1613</v>
      </c>
      <c r="L4" s="265">
        <v>1364</v>
      </c>
      <c r="M4" s="265">
        <v>1222</v>
      </c>
      <c r="N4" s="265">
        <v>1317</v>
      </c>
      <c r="O4" s="265">
        <v>1450</v>
      </c>
      <c r="P4" s="265">
        <v>1172</v>
      </c>
      <c r="Q4" s="266"/>
      <c r="R4" s="266"/>
      <c r="S4" s="266"/>
      <c r="T4" s="266"/>
    </row>
    <row r="5" spans="1:20" ht="258" customHeight="1">
      <c r="A5" t="s">
        <v>580</v>
      </c>
      <c r="C5" s="261"/>
      <c r="D5" s="262"/>
      <c r="E5" s="262"/>
      <c r="F5" s="261" t="s">
        <v>663</v>
      </c>
      <c r="G5" s="262"/>
      <c r="H5" s="261" t="s">
        <v>664</v>
      </c>
      <c r="I5" s="261" t="s">
        <v>665</v>
      </c>
      <c r="J5" s="261" t="s">
        <v>666</v>
      </c>
      <c r="K5" s="261" t="s">
        <v>667</v>
      </c>
      <c r="L5" s="261" t="s">
        <v>668</v>
      </c>
      <c r="M5" s="261" t="s">
        <v>669</v>
      </c>
      <c r="N5" s="261" t="s">
        <v>670</v>
      </c>
      <c r="O5" s="261" t="s">
        <v>671</v>
      </c>
      <c r="P5" s="261" t="s">
        <v>672</v>
      </c>
      <c r="Q5" s="261"/>
    </row>
    <row r="6" spans="1:20" ht="231.75" hidden="1" customHeight="1">
      <c r="A6" t="s">
        <v>646</v>
      </c>
      <c r="C6" s="167"/>
      <c r="D6" s="167"/>
      <c r="E6" s="167"/>
      <c r="F6" s="167"/>
      <c r="G6" s="167"/>
      <c r="H6" s="167"/>
      <c r="I6" s="167"/>
      <c r="J6" s="167"/>
      <c r="K6" s="167"/>
      <c r="L6" s="167"/>
      <c r="M6" s="167"/>
      <c r="N6" s="167"/>
      <c r="O6" s="167"/>
      <c r="P6" s="167"/>
    </row>
    <row r="7" spans="1:20" ht="3.75" customHeight="1">
      <c r="A7" t="s">
        <v>647</v>
      </c>
      <c r="C7" s="167"/>
      <c r="D7" s="167"/>
      <c r="E7" s="167"/>
      <c r="F7" s="167"/>
      <c r="G7" s="167"/>
      <c r="H7" s="167"/>
      <c r="I7" s="167"/>
      <c r="J7" s="167"/>
      <c r="K7" s="167"/>
      <c r="L7" s="167"/>
      <c r="M7" s="167"/>
      <c r="N7" s="167"/>
      <c r="O7" s="167"/>
      <c r="P7" s="167"/>
      <c r="Q7" s="140"/>
    </row>
    <row r="8" spans="1:20" ht="63" hidden="1" customHeight="1">
      <c r="A8" t="s">
        <v>648</v>
      </c>
      <c r="C8" s="167"/>
      <c r="D8" s="167"/>
      <c r="E8" s="167"/>
      <c r="F8" s="167"/>
      <c r="G8" s="167"/>
      <c r="H8" s="167"/>
      <c r="I8" s="167"/>
      <c r="J8" s="167"/>
      <c r="K8" s="167"/>
      <c r="L8" s="167"/>
      <c r="M8" s="167"/>
      <c r="N8" s="167"/>
      <c r="O8" s="167"/>
      <c r="P8" s="167"/>
    </row>
    <row r="9" spans="1:20" ht="24.75" customHeight="1">
      <c r="A9" t="s">
        <v>196</v>
      </c>
      <c r="B9">
        <v>4</v>
      </c>
      <c r="C9" s="167">
        <v>6</v>
      </c>
      <c r="D9" s="167">
        <v>5</v>
      </c>
      <c r="E9" s="167">
        <v>12</v>
      </c>
      <c r="F9" s="167">
        <v>16</v>
      </c>
      <c r="G9" s="167">
        <v>25</v>
      </c>
      <c r="H9" s="167">
        <v>5</v>
      </c>
      <c r="I9" s="167">
        <v>15</v>
      </c>
      <c r="J9" s="167">
        <v>9</v>
      </c>
      <c r="K9" s="167">
        <v>24</v>
      </c>
      <c r="L9" s="167">
        <v>32</v>
      </c>
      <c r="M9" s="167">
        <v>39</v>
      </c>
      <c r="N9" s="167">
        <v>13</v>
      </c>
      <c r="O9" s="167">
        <v>5</v>
      </c>
      <c r="P9" s="167">
        <v>14</v>
      </c>
    </row>
    <row r="10" spans="1:20" ht="24.75" customHeight="1">
      <c r="A10" t="s">
        <v>593</v>
      </c>
      <c r="B10" s="140">
        <f>B9/B4</f>
        <v>5.235602094240838E-3</v>
      </c>
      <c r="C10" s="140">
        <f>C9/C4</f>
        <v>3.3745781777277839E-3</v>
      </c>
      <c r="D10" s="140">
        <f t="shared" ref="D10:Q10" si="0">D9/D4</f>
        <v>5.1440329218106996E-3</v>
      </c>
      <c r="E10" s="140">
        <f t="shared" si="0"/>
        <v>1.1673151750972763E-2</v>
      </c>
      <c r="F10" s="140">
        <f t="shared" si="0"/>
        <v>5.0632911392405064E-3</v>
      </c>
      <c r="G10" s="140">
        <f t="shared" si="0"/>
        <v>1.95160031225605E-2</v>
      </c>
      <c r="H10" s="140">
        <f t="shared" si="0"/>
        <v>3.0266343825665859E-3</v>
      </c>
      <c r="I10" s="140">
        <f t="shared" si="0"/>
        <v>1.3392857142857142E-2</v>
      </c>
      <c r="J10" s="140">
        <f t="shared" si="0"/>
        <v>5.8027079303675051E-3</v>
      </c>
      <c r="K10" s="140">
        <f t="shared" si="0"/>
        <v>1.4879107253564786E-2</v>
      </c>
      <c r="L10" s="140">
        <f t="shared" si="0"/>
        <v>2.3460410557184751E-2</v>
      </c>
      <c r="M10" s="140">
        <f t="shared" si="0"/>
        <v>3.1914893617021274E-2</v>
      </c>
      <c r="N10" s="140">
        <f t="shared" si="0"/>
        <v>9.8709187547456334E-3</v>
      </c>
      <c r="O10" s="140">
        <f t="shared" si="0"/>
        <v>3.4482758620689655E-3</v>
      </c>
      <c r="P10" s="140">
        <f t="shared" si="0"/>
        <v>1.1945392491467578E-2</v>
      </c>
      <c r="Q10" s="140" t="e">
        <f t="shared" si="0"/>
        <v>#DIV/0!</v>
      </c>
    </row>
    <row r="11" spans="1:20" ht="150" customHeight="1">
      <c r="A11" t="s">
        <v>594</v>
      </c>
      <c r="C11" s="261"/>
      <c r="D11" s="261"/>
      <c r="E11" s="261" t="s">
        <v>673</v>
      </c>
      <c r="F11" s="261" t="s">
        <v>674</v>
      </c>
      <c r="G11" s="262"/>
      <c r="H11" s="261"/>
      <c r="I11" s="261" t="s">
        <v>675</v>
      </c>
      <c r="J11" s="262" t="s">
        <v>676</v>
      </c>
      <c r="K11" s="261" t="s">
        <v>677</v>
      </c>
      <c r="L11" s="261" t="s">
        <v>678</v>
      </c>
      <c r="M11" s="261" t="s">
        <v>679</v>
      </c>
      <c r="N11" s="261" t="s">
        <v>680</v>
      </c>
      <c r="O11" s="261" t="s">
        <v>681</v>
      </c>
      <c r="P11" s="261" t="s">
        <v>682</v>
      </c>
      <c r="Q11" s="261" t="s">
        <v>683</v>
      </c>
    </row>
  </sheetData>
  <phoneticPr fontId="1"/>
  <conditionalFormatting sqref="B4:M4">
    <cfRule type="cellIs" dxfId="0" priority="1" operator="equal">
      <formula>#DIV/0!</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AA18E97-371B-482E-8A3A-C34F7CEE4B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19</vt:i4>
      </vt:variant>
    </vt:vector>
  </HeadingPairs>
  <TitlesOfParts>
    <vt:vector size="19" baseType="lpstr">
      <vt:lpstr>2025年度実績確認</vt:lpstr>
      <vt:lpstr>UN｜KPIツリー（構造確認用）</vt:lpstr>
      <vt:lpstr>SCH｜KPIツリー（構造確認用）</vt:lpstr>
      <vt:lpstr>MED｜KPIツリー（構造確認用）</vt:lpstr>
      <vt:lpstr>IS｜KPIツリー（構造確認用）</vt:lpstr>
      <vt:lpstr>※作成中※　UN｜KPIツリー（数値管理用）</vt:lpstr>
      <vt:lpstr>UN | 施策運用表_流入施策</vt:lpstr>
      <vt:lpstr>UN｜施策運用表_CVR施策</vt:lpstr>
      <vt:lpstr>定義</vt:lpstr>
      <vt:lpstr>KGI設定</vt:lpstr>
      <vt:lpstr>ファネル計画</vt:lpstr>
      <vt:lpstr>施策入力</vt:lpstr>
      <vt:lpstr>施策集計</vt:lpstr>
      <vt:lpstr>ダッシュボード</vt:lpstr>
      <vt:lpstr>Sheet1</vt:lpstr>
      <vt:lpstr>UN｜月次定例レポート用｜施策と実績</vt:lpstr>
      <vt:lpstr>SCH｜月次定例レポート用｜施策と実績</vt:lpstr>
      <vt:lpstr>MED｜月次定例レポート用｜施策と実績</vt:lpstr>
      <vt:lpstr>IS｜月次定例レポート用｜施策と実績</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鳥谷部 鮎 (Toriyabe, Ayu)</dc:creator>
  <cp:keywords/>
  <dc:description/>
  <cp:lastModifiedBy>長谷川 慎 (Hasegawa, Shin)</cp:lastModifiedBy>
  <cp:revision/>
  <dcterms:created xsi:type="dcterms:W3CDTF">2026-04-23T23:56:55Z</dcterms:created>
  <dcterms:modified xsi:type="dcterms:W3CDTF">2026-07-13T09:58:52Z</dcterms:modified>
  <cp:category/>
  <cp:contentStatus/>
</cp:coreProperties>
</file>